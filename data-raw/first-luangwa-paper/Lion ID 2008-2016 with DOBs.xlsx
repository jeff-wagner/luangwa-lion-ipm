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codeName="ThisWorkbook"/>
  <mc:AlternateContent xmlns:mc="http://schemas.openxmlformats.org/markup-compatibility/2006">
    <mc:Choice Requires="x15">
      <x15ac:absPath xmlns:x15ac="http://schemas.microsoft.com/office/spreadsheetml/2010/11/ac" url="https://uwy-my.sharepoint.com/personal/jwagne31_uwyo_edu/Documents/Luangwa Lion/Code/first luangwa paper/"/>
    </mc:Choice>
  </mc:AlternateContent>
  <xr:revisionPtr revIDLastSave="4" documentId="11_7373BFFFF0F479C7A67E511B120F9D87C6D21902" xr6:coauthVersionLast="47" xr6:coauthVersionMax="47" xr10:uidLastSave="{97B20DA3-6B2D-4164-ABA6-38184DCAE210}"/>
  <bookViews>
    <workbookView xWindow="1395" yWindow="1740" windowWidth="23715" windowHeight="19050" tabRatio="820" xr2:uid="{00000000-000D-0000-FFFF-FFFF00000000}"/>
  </bookViews>
  <sheets>
    <sheet name="All Lions" sheetId="1" r:id="rId1"/>
    <sheet name="Cubs-2013-15" sheetId="12" r:id="rId2"/>
    <sheet name="08-12 Cubs by litter" sheetId="15" r:id="rId3"/>
  </sheets>
  <externalReferences>
    <externalReference r:id="rId4"/>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 i="15" l="1"/>
  <c r="I3" i="12"/>
  <c r="I4" i="12"/>
  <c r="I5" i="12"/>
  <c r="I6" i="12"/>
  <c r="I7" i="12"/>
  <c r="I8" i="12"/>
  <c r="I9" i="12"/>
  <c r="I10" i="12"/>
  <c r="I11" i="12"/>
  <c r="I12" i="12"/>
  <c r="I13" i="12"/>
  <c r="I14" i="12"/>
  <c r="I15" i="12"/>
  <c r="I16" i="12"/>
  <c r="I17" i="12"/>
  <c r="I18" i="12"/>
  <c r="I19" i="12"/>
  <c r="I20" i="12"/>
  <c r="I21" i="12"/>
  <c r="I22" i="12"/>
  <c r="I23" i="12"/>
  <c r="I24" i="12"/>
  <c r="I25" i="12"/>
  <c r="I26" i="12"/>
  <c r="I27" i="12"/>
  <c r="I28" i="12"/>
  <c r="I29" i="12"/>
  <c r="I30" i="12"/>
  <c r="I31" i="12"/>
  <c r="I32" i="12"/>
  <c r="I33" i="12"/>
  <c r="I34" i="12"/>
  <c r="I35" i="12"/>
  <c r="I36" i="12"/>
  <c r="I37" i="12"/>
  <c r="I38" i="12"/>
  <c r="I39" i="12"/>
  <c r="I40" i="12"/>
  <c r="I41" i="12"/>
  <c r="I42" i="12"/>
  <c r="I43" i="12"/>
  <c r="I44" i="12"/>
  <c r="I45" i="12"/>
  <c r="I46" i="12"/>
  <c r="I47" i="12"/>
  <c r="I48" i="12"/>
  <c r="I49" i="12"/>
  <c r="I50" i="12"/>
  <c r="I51" i="12"/>
  <c r="I52" i="12"/>
  <c r="I53" i="12"/>
  <c r="I54" i="12"/>
  <c r="I55" i="12"/>
  <c r="I56" i="12"/>
  <c r="I57" i="12"/>
  <c r="I58" i="12"/>
  <c r="I59" i="12"/>
  <c r="I60" i="12"/>
  <c r="I61" i="12"/>
  <c r="I62" i="12"/>
  <c r="I63" i="12"/>
  <c r="I64" i="12"/>
  <c r="I65" i="12"/>
  <c r="I66" i="12"/>
  <c r="I67" i="12"/>
  <c r="I68" i="12"/>
  <c r="I69" i="12"/>
  <c r="I70" i="12"/>
  <c r="I71" i="12"/>
  <c r="I72" i="12"/>
  <c r="I73" i="12"/>
  <c r="I74" i="12"/>
  <c r="I75" i="12"/>
  <c r="I76" i="12"/>
  <c r="I77" i="12"/>
  <c r="I78" i="12"/>
  <c r="I79" i="12"/>
  <c r="I80" i="12"/>
  <c r="I81" i="12"/>
  <c r="I82" i="12"/>
  <c r="I83" i="12"/>
  <c r="I84" i="12"/>
  <c r="I85" i="12"/>
  <c r="I86" i="12"/>
  <c r="I87" i="12"/>
  <c r="I88" i="12"/>
  <c r="I89" i="12"/>
  <c r="I90" i="12"/>
  <c r="I91" i="12"/>
  <c r="I92" i="12"/>
  <c r="I93" i="12"/>
  <c r="I94" i="12"/>
  <c r="I95" i="12"/>
  <c r="I96" i="12"/>
  <c r="I97" i="12"/>
  <c r="I98" i="12"/>
  <c r="I99" i="12"/>
  <c r="I100" i="12"/>
  <c r="I101" i="12"/>
  <c r="I102" i="12"/>
  <c r="I103" i="12"/>
  <c r="I104" i="12"/>
  <c r="I105" i="12"/>
  <c r="I106" i="12"/>
  <c r="I107" i="12"/>
  <c r="I108" i="12"/>
  <c r="I109" i="12"/>
  <c r="I110" i="12"/>
  <c r="I111" i="12"/>
  <c r="I112" i="12"/>
  <c r="I113" i="12"/>
  <c r="I114" i="12"/>
  <c r="I115" i="12"/>
  <c r="I116" i="12"/>
  <c r="I117" i="12"/>
  <c r="I118" i="12"/>
  <c r="I119" i="12"/>
  <c r="I120" i="12"/>
  <c r="I121" i="12"/>
  <c r="I122" i="12"/>
  <c r="I123" i="12"/>
  <c r="I124" i="12"/>
  <c r="I125" i="12"/>
  <c r="I126" i="12"/>
  <c r="I127" i="12"/>
  <c r="I128" i="12"/>
  <c r="I129" i="12"/>
  <c r="I130" i="12"/>
  <c r="I131" i="12"/>
  <c r="I132" i="12"/>
  <c r="I133" i="12"/>
  <c r="I134" i="12"/>
  <c r="I135" i="12"/>
  <c r="I136" i="12"/>
  <c r="I137" i="12"/>
  <c r="I138" i="12"/>
  <c r="I139" i="12"/>
  <c r="I140" i="12"/>
  <c r="I141" i="12"/>
  <c r="I142" i="12"/>
  <c r="I143" i="12"/>
  <c r="I144" i="12"/>
  <c r="I145" i="12"/>
  <c r="I146" i="12"/>
  <c r="I147" i="12"/>
  <c r="I148" i="12"/>
  <c r="I149" i="12"/>
  <c r="I150" i="12"/>
  <c r="I151" i="12"/>
  <c r="I152" i="12"/>
  <c r="I153" i="12"/>
  <c r="I154" i="12"/>
  <c r="I155" i="12"/>
  <c r="I156" i="12"/>
  <c r="I157" i="12"/>
  <c r="I158" i="12"/>
  <c r="I159" i="12"/>
  <c r="I160" i="12"/>
  <c r="I161" i="12"/>
  <c r="I162" i="12"/>
  <c r="I163" i="12"/>
  <c r="I164" i="12"/>
  <c r="I165" i="12"/>
  <c r="I166" i="12"/>
  <c r="I167" i="12"/>
  <c r="I168" i="12"/>
  <c r="I169" i="12"/>
  <c r="I170" i="12"/>
  <c r="I171" i="12"/>
  <c r="I172" i="12"/>
  <c r="I173" i="12"/>
  <c r="I174" i="12"/>
  <c r="I175" i="12"/>
  <c r="I176" i="12"/>
  <c r="I177" i="12"/>
  <c r="I178" i="12"/>
  <c r="I179" i="12"/>
  <c r="I180" i="12"/>
  <c r="I181" i="12"/>
  <c r="I182" i="12"/>
  <c r="I183" i="12"/>
  <c r="I184" i="12"/>
  <c r="I185" i="12"/>
  <c r="I186" i="12"/>
  <c r="I187" i="12"/>
  <c r="I188" i="12"/>
  <c r="I189" i="12"/>
  <c r="I190" i="12"/>
  <c r="I191" i="12"/>
  <c r="I192" i="12"/>
  <c r="I193" i="12"/>
  <c r="I194" i="12"/>
  <c r="I195" i="12"/>
  <c r="I196" i="12"/>
  <c r="I197" i="12"/>
  <c r="I198" i="12"/>
  <c r="I199" i="12"/>
  <c r="I200" i="12"/>
  <c r="I201" i="12"/>
  <c r="I202" i="12"/>
  <c r="I203" i="12"/>
  <c r="I204" i="12"/>
  <c r="I205" i="12"/>
  <c r="I206" i="12"/>
  <c r="I207" i="12"/>
  <c r="I208" i="12"/>
  <c r="I209" i="12"/>
  <c r="I210" i="12"/>
  <c r="I211" i="12"/>
  <c r="I212" i="12"/>
  <c r="I213" i="12"/>
  <c r="I214" i="12"/>
  <c r="I215" i="12"/>
  <c r="I216" i="12"/>
  <c r="I217" i="12"/>
  <c r="I218" i="12"/>
  <c r="I219" i="12"/>
  <c r="I220" i="12"/>
  <c r="I221" i="12"/>
  <c r="I222" i="12"/>
  <c r="I223" i="12"/>
  <c r="I224" i="12"/>
  <c r="I225" i="12"/>
  <c r="I226" i="12"/>
  <c r="I227" i="12"/>
  <c r="I228" i="12"/>
  <c r="I229" i="12"/>
  <c r="I230" i="12"/>
  <c r="I231" i="12"/>
  <c r="I232" i="12"/>
  <c r="I2" i="12"/>
  <c r="J3" i="15"/>
  <c r="J4" i="15"/>
  <c r="J5" i="15"/>
  <c r="J6" i="15"/>
  <c r="J7" i="15"/>
  <c r="J8" i="15"/>
  <c r="J9" i="15"/>
  <c r="J10" i="15"/>
  <c r="J11" i="15"/>
  <c r="J12" i="15"/>
  <c r="J13" i="15"/>
  <c r="J14" i="15"/>
  <c r="J15" i="15"/>
  <c r="J16" i="15"/>
  <c r="J17" i="15"/>
  <c r="J18" i="15"/>
  <c r="J19" i="15"/>
  <c r="J20" i="15"/>
  <c r="J21" i="15"/>
  <c r="J22" i="15"/>
  <c r="J23" i="15"/>
  <c r="J24" i="15"/>
  <c r="J25" i="15"/>
  <c r="J26" i="15"/>
  <c r="J27" i="15"/>
  <c r="J28" i="15"/>
  <c r="J29" i="15"/>
  <c r="J30" i="15"/>
  <c r="J31" i="15"/>
  <c r="J32" i="15"/>
  <c r="J33" i="15"/>
  <c r="J34" i="15"/>
  <c r="J35" i="15"/>
  <c r="J36" i="15"/>
  <c r="J37" i="15"/>
  <c r="J38" i="15"/>
  <c r="J39" i="15"/>
  <c r="J42" i="15"/>
  <c r="J43" i="15"/>
  <c r="J44" i="15"/>
  <c r="J45" i="15"/>
  <c r="J46" i="15"/>
  <c r="J47" i="15"/>
  <c r="J48" i="15"/>
  <c r="J49" i="15"/>
  <c r="J50" i="15"/>
  <c r="J51" i="15"/>
  <c r="J52" i="15"/>
  <c r="J53" i="15"/>
  <c r="J54" i="15"/>
  <c r="J55" i="15"/>
  <c r="J56" i="15"/>
  <c r="J57" i="15"/>
  <c r="J58" i="15"/>
  <c r="J59" i="15"/>
  <c r="J60" i="15"/>
  <c r="J61" i="15"/>
  <c r="J62" i="15"/>
  <c r="J63" i="15"/>
  <c r="J66" i="15"/>
  <c r="J67" i="15"/>
  <c r="J68" i="15"/>
  <c r="J69" i="15"/>
  <c r="J70" i="15"/>
  <c r="J71" i="15"/>
  <c r="J72" i="15"/>
  <c r="J73" i="15"/>
  <c r="J74" i="15"/>
  <c r="J75" i="15"/>
  <c r="J76" i="15"/>
  <c r="J77" i="15"/>
  <c r="J78" i="15"/>
  <c r="J79" i="15"/>
  <c r="J80" i="15"/>
  <c r="J81" i="15"/>
  <c r="J82" i="15"/>
  <c r="J83" i="15"/>
  <c r="J84" i="15"/>
  <c r="J87" i="15"/>
  <c r="J88" i="15"/>
  <c r="J89" i="15"/>
  <c r="J90" i="15"/>
  <c r="J91" i="15"/>
  <c r="J92" i="15"/>
  <c r="J93" i="15"/>
  <c r="J94" i="15"/>
  <c r="J95" i="15"/>
  <c r="J96" i="15"/>
  <c r="J97" i="15"/>
  <c r="J98" i="15"/>
  <c r="J99" i="15"/>
  <c r="J100" i="15"/>
  <c r="J101" i="15"/>
  <c r="J102" i="15"/>
  <c r="J103" i="15"/>
  <c r="J104" i="15"/>
  <c r="J105" i="15"/>
  <c r="J106" i="15"/>
  <c r="J107" i="15"/>
  <c r="J108" i="15"/>
  <c r="J109" i="15"/>
  <c r="J110" i="15"/>
  <c r="J113" i="15"/>
  <c r="J114" i="15"/>
  <c r="J115" i="15"/>
  <c r="J116" i="15"/>
  <c r="J117" i="15"/>
  <c r="J118" i="15"/>
  <c r="J119" i="15"/>
  <c r="J120" i="15"/>
  <c r="J121" i="15"/>
  <c r="J122" i="15"/>
  <c r="J123" i="15"/>
  <c r="J124" i="15"/>
  <c r="J125" i="15"/>
  <c r="J2" i="15"/>
  <c r="I3" i="15"/>
  <c r="I4" i="15"/>
  <c r="I5" i="15"/>
  <c r="I6" i="15"/>
  <c r="I7" i="15"/>
  <c r="I8" i="15"/>
  <c r="I9" i="15"/>
  <c r="I10" i="15"/>
  <c r="I11" i="15"/>
  <c r="I12" i="15"/>
  <c r="I13" i="15"/>
  <c r="I14" i="15"/>
  <c r="I15" i="15"/>
  <c r="I16" i="15"/>
  <c r="I17" i="15"/>
  <c r="I18" i="15"/>
  <c r="I19" i="15"/>
  <c r="I20" i="15"/>
  <c r="I21" i="15"/>
  <c r="I22" i="15"/>
  <c r="I23" i="15"/>
  <c r="I24" i="15"/>
  <c r="I25" i="15"/>
  <c r="I26" i="15"/>
  <c r="I27" i="15"/>
  <c r="I28" i="15"/>
  <c r="I29" i="15"/>
  <c r="I30" i="15"/>
  <c r="I31" i="15"/>
  <c r="I32" i="15"/>
  <c r="I33" i="15"/>
  <c r="I34" i="15"/>
  <c r="I35" i="15"/>
  <c r="I36" i="15"/>
  <c r="I37" i="15"/>
  <c r="I38" i="15"/>
  <c r="I39" i="15"/>
  <c r="I42" i="15"/>
  <c r="I43" i="15"/>
  <c r="I44" i="15"/>
  <c r="I45" i="15"/>
  <c r="I46" i="15"/>
  <c r="I47" i="15"/>
  <c r="I48" i="15"/>
  <c r="I49" i="15"/>
  <c r="I50" i="15"/>
  <c r="I51" i="15"/>
  <c r="I52" i="15"/>
  <c r="I53" i="15"/>
  <c r="I54" i="15"/>
  <c r="I55" i="15"/>
  <c r="I56" i="15"/>
  <c r="I57" i="15"/>
  <c r="I58" i="15"/>
  <c r="I59" i="15"/>
  <c r="I60" i="15"/>
  <c r="I61" i="15"/>
  <c r="I62" i="15"/>
  <c r="I63" i="15"/>
  <c r="I66" i="15"/>
  <c r="I67" i="15"/>
  <c r="I68" i="15"/>
  <c r="I69" i="15"/>
  <c r="I70" i="15"/>
  <c r="I71" i="15"/>
  <c r="I72" i="15"/>
  <c r="I73" i="15"/>
  <c r="I74" i="15"/>
  <c r="I75" i="15"/>
  <c r="I76" i="15"/>
  <c r="I77" i="15"/>
  <c r="I78" i="15"/>
  <c r="I79" i="15"/>
  <c r="I80" i="15"/>
  <c r="I81" i="15"/>
  <c r="I82" i="15"/>
  <c r="I83" i="15"/>
  <c r="I84" i="15"/>
  <c r="I87" i="15"/>
  <c r="I88" i="15"/>
  <c r="I89" i="15"/>
  <c r="I90" i="15"/>
  <c r="I91" i="15"/>
  <c r="I92" i="15"/>
  <c r="I93" i="15"/>
  <c r="I94" i="15"/>
  <c r="I95" i="15"/>
  <c r="I96" i="15"/>
  <c r="I97" i="15"/>
  <c r="I98" i="15"/>
  <c r="I99" i="15"/>
  <c r="I100" i="15"/>
  <c r="I101" i="15"/>
  <c r="I102" i="15"/>
  <c r="I103" i="15"/>
  <c r="I104" i="15"/>
  <c r="I105" i="15"/>
  <c r="I106" i="15"/>
  <c r="I107" i="15"/>
  <c r="I108" i="15"/>
  <c r="I109" i="15"/>
  <c r="I110" i="15"/>
  <c r="I113" i="15"/>
  <c r="I114" i="15"/>
  <c r="I115" i="15"/>
  <c r="I116" i="15"/>
  <c r="I117" i="15"/>
  <c r="I118" i="15"/>
  <c r="I119" i="15"/>
  <c r="I120" i="15"/>
  <c r="I121" i="15"/>
  <c r="I122" i="15"/>
  <c r="I123" i="15"/>
  <c r="I124" i="15"/>
  <c r="I125" i="15"/>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80"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20"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5" i="1"/>
  <c r="O66" i="1"/>
  <c r="O67" i="1"/>
  <c r="O69" i="1"/>
  <c r="O70" i="1"/>
  <c r="O71" i="1"/>
  <c r="O72" i="1"/>
  <c r="O73" i="1"/>
  <c r="O74"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6" i="1"/>
  <c r="O177" i="1"/>
  <c r="O179" i="1"/>
  <c r="O183" i="1"/>
  <c r="O184" i="1"/>
  <c r="O185" i="1"/>
  <c r="O186" i="1"/>
  <c r="O187" i="1"/>
  <c r="O188" i="1"/>
  <c r="O189" i="1"/>
  <c r="O190" i="1"/>
  <c r="O191" i="1"/>
  <c r="O192"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5" i="1"/>
  <c r="O234" i="1"/>
  <c r="O237" i="1"/>
  <c r="O238" i="1"/>
  <c r="O239" i="1"/>
  <c r="O240" i="1"/>
  <c r="O241" i="1"/>
  <c r="O242" i="1"/>
  <c r="O243" i="1"/>
  <c r="O244"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5" i="1"/>
  <c r="N66" i="1"/>
  <c r="N67" i="1"/>
  <c r="N69" i="1"/>
  <c r="N70" i="1"/>
  <c r="N71" i="1"/>
  <c r="N72" i="1"/>
  <c r="N73" i="1"/>
  <c r="N74"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6" i="1"/>
  <c r="N177" i="1"/>
  <c r="N179" i="1"/>
  <c r="N183" i="1"/>
  <c r="N184" i="1"/>
  <c r="N185" i="1"/>
  <c r="N186" i="1"/>
  <c r="N187" i="1"/>
  <c r="N188" i="1"/>
  <c r="N189" i="1"/>
  <c r="N190" i="1"/>
  <c r="N191" i="1"/>
  <c r="N192"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5" i="1"/>
  <c r="N234" i="1"/>
  <c r="N237" i="1"/>
  <c r="N238" i="1"/>
  <c r="N239" i="1"/>
  <c r="N240" i="1"/>
  <c r="N241" i="1"/>
  <c r="N242" i="1"/>
  <c r="N243" i="1"/>
  <c r="N244"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P2" i="1"/>
  <c r="F116" i="12" l="1"/>
  <c r="G116" i="12" s="1"/>
  <c r="F65" i="12"/>
  <c r="G65" i="12" s="1"/>
  <c r="F32" i="12" l="1"/>
  <c r="G32" i="12" s="1"/>
  <c r="F33" i="12"/>
  <c r="G33" i="12" s="1"/>
  <c r="F34" i="12"/>
  <c r="G34" i="12" s="1"/>
  <c r="F35" i="12"/>
  <c r="G35" i="12" s="1"/>
  <c r="F36" i="12"/>
  <c r="G36" i="12" s="1"/>
  <c r="F37" i="12"/>
  <c r="G37" i="12" s="1"/>
  <c r="F39" i="12"/>
  <c r="G39" i="12" s="1"/>
  <c r="F40" i="12"/>
  <c r="G40" i="12" s="1"/>
  <c r="F41" i="12"/>
  <c r="G41" i="12" s="1"/>
  <c r="F42" i="12"/>
  <c r="G42" i="12" s="1"/>
  <c r="F43" i="12"/>
  <c r="G43" i="12" s="1"/>
  <c r="F44" i="12"/>
  <c r="G44" i="12" s="1"/>
  <c r="F45" i="12"/>
  <c r="G45" i="12" s="1"/>
  <c r="F46" i="12"/>
  <c r="G46" i="12" s="1"/>
  <c r="F47" i="12"/>
  <c r="G47" i="12" s="1"/>
  <c r="F48" i="12"/>
  <c r="G48" i="12" s="1"/>
  <c r="F49" i="12"/>
  <c r="G49" i="12" s="1"/>
  <c r="F50" i="12"/>
  <c r="G50" i="12" s="1"/>
  <c r="F51" i="12"/>
  <c r="G51" i="12" s="1"/>
  <c r="F52" i="12"/>
  <c r="G52" i="12" s="1"/>
  <c r="F53" i="12"/>
  <c r="G53" i="12" s="1"/>
  <c r="F54" i="12"/>
  <c r="G54" i="12" s="1"/>
  <c r="F55" i="12"/>
  <c r="G55" i="12" s="1"/>
  <c r="F56" i="12"/>
  <c r="G56" i="12" s="1"/>
  <c r="F57" i="12"/>
  <c r="G57" i="12" s="1"/>
  <c r="F58" i="12"/>
  <c r="G58" i="12" s="1"/>
  <c r="F59" i="12"/>
  <c r="G59" i="12" s="1"/>
  <c r="F60" i="12"/>
  <c r="G60" i="12" s="1"/>
  <c r="F61" i="12"/>
  <c r="G61" i="12" s="1"/>
  <c r="F62" i="12"/>
  <c r="G62" i="12" s="1"/>
  <c r="F63" i="12"/>
  <c r="G63" i="12" s="1"/>
  <c r="F64" i="12"/>
  <c r="G64" i="12" s="1"/>
  <c r="F66" i="12"/>
  <c r="G66" i="12" s="1"/>
  <c r="F67" i="12"/>
  <c r="G67" i="12" s="1"/>
  <c r="F68" i="12"/>
  <c r="G68" i="12" s="1"/>
  <c r="F69" i="12"/>
  <c r="G69" i="12" s="1"/>
  <c r="F70" i="12"/>
  <c r="G70" i="12" s="1"/>
  <c r="F71" i="12"/>
  <c r="G71" i="12" s="1"/>
  <c r="F72" i="12"/>
  <c r="G72" i="12" s="1"/>
  <c r="F74" i="12"/>
  <c r="G74" i="12" s="1"/>
  <c r="F75" i="12"/>
  <c r="G75" i="12" s="1"/>
  <c r="F120" i="12"/>
  <c r="F76" i="12"/>
  <c r="G76" i="12" s="1"/>
  <c r="F77" i="12"/>
  <c r="G77" i="12" s="1"/>
  <c r="F78" i="12"/>
  <c r="G78" i="12" s="1"/>
  <c r="F79" i="12"/>
  <c r="G79" i="12" s="1"/>
  <c r="F80" i="12"/>
  <c r="G80" i="12" s="1"/>
  <c r="F81" i="12"/>
  <c r="G81" i="12" s="1"/>
  <c r="F82" i="12"/>
  <c r="G82" i="12" s="1"/>
  <c r="F83" i="12"/>
  <c r="G83" i="12" s="1"/>
  <c r="F84" i="12"/>
  <c r="G84" i="12" s="1"/>
  <c r="F85" i="12"/>
  <c r="G85" i="12" s="1"/>
  <c r="F86" i="12"/>
  <c r="G86" i="12" s="1"/>
  <c r="F87" i="12"/>
  <c r="G87" i="12" s="1"/>
  <c r="F88" i="12"/>
  <c r="G88" i="12" s="1"/>
  <c r="F89" i="12"/>
  <c r="G89" i="12" s="1"/>
  <c r="F90" i="12"/>
  <c r="G90" i="12" s="1"/>
  <c r="F119" i="12"/>
  <c r="F91" i="12"/>
  <c r="G91" i="12" s="1"/>
  <c r="F92" i="12"/>
  <c r="G92" i="12" s="1"/>
  <c r="F93" i="12"/>
  <c r="G93" i="12" s="1"/>
  <c r="F94" i="12"/>
  <c r="G94" i="12" s="1"/>
  <c r="F95" i="12"/>
  <c r="G95" i="12" s="1"/>
  <c r="F96" i="12"/>
  <c r="G96" i="12" s="1"/>
  <c r="F97" i="12"/>
  <c r="G97" i="12" s="1"/>
  <c r="F98" i="12"/>
  <c r="G98" i="12" s="1"/>
  <c r="F99" i="12"/>
  <c r="G99" i="12" s="1"/>
  <c r="F100" i="12"/>
  <c r="G100" i="12" s="1"/>
  <c r="F101" i="12"/>
  <c r="G101" i="12" s="1"/>
  <c r="F102" i="12"/>
  <c r="G102" i="12" s="1"/>
  <c r="F103" i="12"/>
  <c r="G103" i="12" s="1"/>
  <c r="F104" i="12"/>
  <c r="G104" i="12" s="1"/>
  <c r="F105" i="12"/>
  <c r="G105" i="12" s="1"/>
  <c r="F106" i="12"/>
  <c r="G106" i="12" s="1"/>
  <c r="F107" i="12"/>
  <c r="G107" i="12" s="1"/>
  <c r="F108" i="12"/>
  <c r="G108" i="12" s="1"/>
  <c r="F109" i="12"/>
  <c r="G109" i="12" s="1"/>
  <c r="F110" i="12"/>
  <c r="G110" i="12" s="1"/>
  <c r="F111" i="12"/>
  <c r="G111" i="12" s="1"/>
  <c r="F112" i="12"/>
  <c r="G112" i="12" s="1"/>
  <c r="F113" i="12"/>
  <c r="G113" i="12" s="1"/>
  <c r="F114" i="12"/>
  <c r="G114" i="12" s="1"/>
  <c r="F115" i="12"/>
  <c r="G115" i="12" s="1"/>
  <c r="F13" i="12"/>
  <c r="G13" i="12" s="1"/>
  <c r="F14" i="12"/>
  <c r="G14" i="12" s="1"/>
  <c r="F15" i="12"/>
  <c r="G15" i="12" s="1"/>
  <c r="F16" i="12"/>
  <c r="G16" i="12" s="1"/>
  <c r="F17" i="12"/>
  <c r="G17" i="12" s="1"/>
  <c r="F18" i="12"/>
  <c r="G18" i="12" s="1"/>
  <c r="F19" i="12"/>
  <c r="G19" i="12" s="1"/>
  <c r="F20" i="12"/>
  <c r="G20" i="12" s="1"/>
  <c r="F21" i="12"/>
  <c r="G21" i="12" s="1"/>
  <c r="F22" i="12"/>
  <c r="G22" i="12" s="1"/>
  <c r="F23" i="12"/>
  <c r="G23" i="12" s="1"/>
  <c r="F24" i="12"/>
  <c r="G24" i="12" s="1"/>
  <c r="F25" i="12"/>
  <c r="G25" i="12" s="1"/>
  <c r="F26" i="12"/>
  <c r="G26" i="12" s="1"/>
  <c r="F27" i="12"/>
  <c r="G27" i="12" s="1"/>
  <c r="F28" i="12"/>
  <c r="G28" i="12" s="1"/>
  <c r="F29" i="12"/>
  <c r="G29" i="12" s="1"/>
  <c r="F30" i="12"/>
  <c r="G30" i="12" s="1"/>
  <c r="F31" i="12"/>
  <c r="G31" i="12" s="1"/>
  <c r="F6" i="12"/>
  <c r="G6" i="12" s="1"/>
  <c r="F7" i="12"/>
  <c r="G7" i="12" s="1"/>
  <c r="F8" i="12"/>
  <c r="G8" i="12" s="1"/>
  <c r="F9" i="12"/>
  <c r="G9" i="12" s="1"/>
  <c r="F10" i="12"/>
  <c r="G10" i="12" s="1"/>
  <c r="F11" i="12"/>
  <c r="G11" i="12" s="1"/>
  <c r="F12" i="12"/>
  <c r="G12" i="12" s="1"/>
  <c r="F3" i="12"/>
  <c r="G3" i="12" s="1"/>
  <c r="F4" i="12"/>
  <c r="G4" i="12" s="1"/>
  <c r="F5" i="12"/>
  <c r="G5" i="12" s="1"/>
  <c r="F2" i="12"/>
  <c r="G2" i="12" s="1"/>
  <c r="O13" i="12" l="1"/>
  <c r="O12" i="12"/>
  <c r="O11" i="12"/>
  <c r="B52" i="12"/>
  <c r="B56" i="12"/>
  <c r="B55" i="12"/>
</calcChain>
</file>

<file path=xl/sharedStrings.xml><?xml version="1.0" encoding="utf-8"?>
<sst xmlns="http://schemas.openxmlformats.org/spreadsheetml/2006/main" count="2820" uniqueCount="889">
  <si>
    <t>MARKID</t>
  </si>
  <si>
    <t>Nickname</t>
  </si>
  <si>
    <t>Sex</t>
  </si>
  <si>
    <t>DOB</t>
  </si>
  <si>
    <t>error DOB</t>
  </si>
  <si>
    <t>dateoffirstdetection</t>
  </si>
  <si>
    <t>Date of Death</t>
  </si>
  <si>
    <t>Cause of Death</t>
  </si>
  <si>
    <t>Suspected Mother</t>
  </si>
  <si>
    <t>Suspected Father</t>
  </si>
  <si>
    <t>Comments</t>
  </si>
  <si>
    <t>ELI-143</t>
  </si>
  <si>
    <t>Big Pride F09</t>
  </si>
  <si>
    <t>Female</t>
  </si>
  <si>
    <t>ELI-218</t>
  </si>
  <si>
    <t>Big Pride F08</t>
  </si>
  <si>
    <t>Infected left eye.</t>
  </si>
  <si>
    <t>ELI-219</t>
  </si>
  <si>
    <t>Big Pride F10</t>
  </si>
  <si>
    <t>ELI-220</t>
  </si>
  <si>
    <t>Big Pride F07</t>
  </si>
  <si>
    <t>ELI-221</t>
  </si>
  <si>
    <t>Big Pride M02</t>
  </si>
  <si>
    <t>Male</t>
  </si>
  <si>
    <t>ELI-222</t>
  </si>
  <si>
    <t>Big Pride M03</t>
  </si>
  <si>
    <t>ELI-223</t>
  </si>
  <si>
    <t>Big Pride F06</t>
  </si>
  <si>
    <t>Unknown</t>
  </si>
  <si>
    <t>ELI-224</t>
  </si>
  <si>
    <t>Big Pride F04</t>
  </si>
  <si>
    <t>ELI-225</t>
  </si>
  <si>
    <t>Big Pride F03</t>
  </si>
  <si>
    <t>ELI-227</t>
  </si>
  <si>
    <t>Big Pride M01</t>
  </si>
  <si>
    <t>ELI-242</t>
  </si>
  <si>
    <t>Big Pride F02</t>
  </si>
  <si>
    <t>ELI-243</t>
  </si>
  <si>
    <t>Big Pride F01</t>
  </si>
  <si>
    <t>ELI-244</t>
  </si>
  <si>
    <t>Big Pride F11</t>
  </si>
  <si>
    <t>ELI-172</t>
  </si>
  <si>
    <t>Not seen after October 2009.</t>
  </si>
  <si>
    <t>ELI-245</t>
  </si>
  <si>
    <t>Big Pride F05</t>
  </si>
  <si>
    <t>ELI-385</t>
  </si>
  <si>
    <t>Big Pride 2010 Cub 01</t>
  </si>
  <si>
    <t>NA</t>
  </si>
  <si>
    <t>Infanticide</t>
  </si>
  <si>
    <t>ELI-386</t>
  </si>
  <si>
    <t>Big Pride 2010 Cub 02</t>
  </si>
  <si>
    <t>ELI-387</t>
  </si>
  <si>
    <t>Big Pride 2010 Cub 03</t>
  </si>
  <si>
    <t>ELI-399</t>
  </si>
  <si>
    <t>Big Pride Cub 01 '11</t>
  </si>
  <si>
    <t>ELI-234</t>
  </si>
  <si>
    <t>Chichele male is probably father, ELI-223 or ELI-226 is mother. Last seen July 22, 2011.</t>
  </si>
  <si>
    <t>ELI-409</t>
  </si>
  <si>
    <t>Big Pride Cub 02 11</t>
  </si>
  <si>
    <t>ELI-410</t>
  </si>
  <si>
    <t>Big Pride Cub 03 11</t>
  </si>
  <si>
    <t>ELI-495</t>
  </si>
  <si>
    <t>Big Pride Cub 04 '11</t>
  </si>
  <si>
    <t>ELI-496</t>
  </si>
  <si>
    <t>Big Pride F12</t>
  </si>
  <si>
    <t>ELI-497</t>
  </si>
  <si>
    <t>Big Pride Cub 06 '11</t>
  </si>
  <si>
    <t>ELI-499</t>
  </si>
  <si>
    <t>Big Pride Cub 07 '11</t>
  </si>
  <si>
    <t>ELI-500</t>
  </si>
  <si>
    <t>Big Pride Cub 08 '11</t>
  </si>
  <si>
    <t>ELI-501</t>
  </si>
  <si>
    <t>Big Pride Cub 09 '11</t>
  </si>
  <si>
    <t>ELI-502</t>
  </si>
  <si>
    <t>Big Pride Cub 10 '11</t>
  </si>
  <si>
    <t>ELI-503</t>
  </si>
  <si>
    <t>Big Pride Cub 11 '11</t>
  </si>
  <si>
    <t>ELI-504</t>
  </si>
  <si>
    <t>Big Pride Cub 12 '11</t>
  </si>
  <si>
    <t>ELI-505</t>
  </si>
  <si>
    <t>Big Pride Cub 13 '11</t>
  </si>
  <si>
    <t>ELI-581</t>
  </si>
  <si>
    <t>Big F09</t>
  </si>
  <si>
    <t>ELI-583</t>
  </si>
  <si>
    <t>Big Pride 2013 Cub 1</t>
  </si>
  <si>
    <t>1st det. from TM's data</t>
  </si>
  <si>
    <t>ELI-584</t>
  </si>
  <si>
    <t>Big Pride 2013 Cub 2</t>
  </si>
  <si>
    <t>ELI-585</t>
  </si>
  <si>
    <t>Big Pride 2013 Cub 3</t>
  </si>
  <si>
    <t>ELI-586</t>
  </si>
  <si>
    <t>Big Pride 2013 Cub 4</t>
  </si>
  <si>
    <t>ELI-587</t>
  </si>
  <si>
    <t>Big Pride 2013 Cub 5</t>
  </si>
  <si>
    <t>ELI-590</t>
  </si>
  <si>
    <t>Big Pride 2013 Cub 6</t>
  </si>
  <si>
    <t>ELI-591</t>
  </si>
  <si>
    <t>Big Pride 2013 Cub 7</t>
  </si>
  <si>
    <t>ELI-592</t>
  </si>
  <si>
    <t>Big Pride 2013 Cub 8</t>
  </si>
  <si>
    <t>ELI-593</t>
  </si>
  <si>
    <t>Big Pride 2013 Cub 9</t>
  </si>
  <si>
    <t>ELI-594</t>
  </si>
  <si>
    <t>Big Pride 2013 Cub 10</t>
  </si>
  <si>
    <t>ELI-595</t>
  </si>
  <si>
    <t>Big Pride 2013 Cub 11</t>
  </si>
  <si>
    <t>ELI-596</t>
  </si>
  <si>
    <t>Big Pride 2013 Cub 12</t>
  </si>
  <si>
    <t>ELI-192</t>
  </si>
  <si>
    <t>Chamilandu F01</t>
  </si>
  <si>
    <t>ELI-193</t>
  </si>
  <si>
    <t>Chamilandu F02</t>
  </si>
  <si>
    <t>ELI-194</t>
  </si>
  <si>
    <t>Chamilandu F03</t>
  </si>
  <si>
    <t>ELI-195</t>
  </si>
  <si>
    <t>Chamilandu F04</t>
  </si>
  <si>
    <t>ELI-196</t>
  </si>
  <si>
    <t>Chamilandu Male Cub 01</t>
  </si>
  <si>
    <t>ELI-228</t>
  </si>
  <si>
    <t>Chamilandu F05</t>
  </si>
  <si>
    <t>ELI-229</t>
  </si>
  <si>
    <t>Chamilandu M02</t>
  </si>
  <si>
    <t>ELI-398</t>
  </si>
  <si>
    <t>Chamilandu F06</t>
  </si>
  <si>
    <t>ELI-404</t>
  </si>
  <si>
    <t>Chamilandu M03</t>
  </si>
  <si>
    <t>ELI-437</t>
  </si>
  <si>
    <t>Chamilandu F11</t>
  </si>
  <si>
    <t>ELI-438</t>
  </si>
  <si>
    <t>2011 Cub U01</t>
  </si>
  <si>
    <t>ELI-439</t>
  </si>
  <si>
    <t>Chamilandu F09</t>
  </si>
  <si>
    <t>ELI-440</t>
  </si>
  <si>
    <t>Chamilandu F10</t>
  </si>
  <si>
    <t>ELI-441</t>
  </si>
  <si>
    <t>2011 Cub U02</t>
  </si>
  <si>
    <t>2116</t>
  </si>
  <si>
    <t>ELI-442</t>
  </si>
  <si>
    <t>2011 Cub U03</t>
  </si>
  <si>
    <t>ELI-443</t>
  </si>
  <si>
    <t>2011 Cub U04</t>
  </si>
  <si>
    <t>ELI-444</t>
  </si>
  <si>
    <t>Chamilandu F08</t>
  </si>
  <si>
    <t>ELI-405 (formerly 1203939) determined to be a duplicate of ELI-444</t>
  </si>
  <si>
    <t>ELI-918</t>
  </si>
  <si>
    <t>Chamilandu Cub 2013</t>
  </si>
  <si>
    <t>ELI-919</t>
  </si>
  <si>
    <t>Chamilandu Cub 2014</t>
  </si>
  <si>
    <t>ELI-235</t>
  </si>
  <si>
    <t>Chichele F03</t>
  </si>
  <si>
    <t>Chichele</t>
  </si>
  <si>
    <t>ELI-236</t>
  </si>
  <si>
    <t>Chichele F02</t>
  </si>
  <si>
    <t>ELI-237</t>
  </si>
  <si>
    <t>Chichele F01</t>
  </si>
  <si>
    <t>Buffalo</t>
  </si>
  <si>
    <t>Euthanized by ZAWA on July 8 21 after being hammered by a buffalo on June 21 21 around 19:, after wich she lost the use of her back legs. Autopsy revealed a dislocated pelvis.</t>
  </si>
  <si>
    <t>ELI-238</t>
  </si>
  <si>
    <t>Chichele M02</t>
  </si>
  <si>
    <t>ELI-397</t>
  </si>
  <si>
    <t>Chichele 2010 Cub 01</t>
  </si>
  <si>
    <t>ELI-554</t>
  </si>
  <si>
    <t>Chichele F04</t>
  </si>
  <si>
    <t>ELI-445</t>
  </si>
  <si>
    <t>ELI-555</t>
  </si>
  <si>
    <t>Chichele F05</t>
  </si>
  <si>
    <t>ELI-556</t>
  </si>
  <si>
    <t>Chichele M03</t>
  </si>
  <si>
    <t>Shaka</t>
  </si>
  <si>
    <t>also same as 1203915 detected in 2010 and 2011 per correspondence with ER in september 2015</t>
  </si>
  <si>
    <t>ELI-408</t>
  </si>
  <si>
    <t>Stumpy Tail female</t>
  </si>
  <si>
    <t>Chowo</t>
  </si>
  <si>
    <t>Female with a tail of about 15 cm long.</t>
  </si>
  <si>
    <t>ELI-413</t>
  </si>
  <si>
    <t>Chowo F04</t>
  </si>
  <si>
    <t>1</t>
  </si>
  <si>
    <t>ELI-414</t>
  </si>
  <si>
    <t>Chowo F01</t>
  </si>
  <si>
    <t>ELI-415</t>
  </si>
  <si>
    <t>Chowo F02</t>
  </si>
  <si>
    <t>ELI-416</t>
  </si>
  <si>
    <t>Chowo M01</t>
  </si>
  <si>
    <t>ELI-417</t>
  </si>
  <si>
    <t>Chowo M02</t>
  </si>
  <si>
    <t>ELI-436</t>
  </si>
  <si>
    <t>Chowo F03</t>
  </si>
  <si>
    <t>ELI-493</t>
  </si>
  <si>
    <t>Chowo F05</t>
  </si>
  <si>
    <t>ELI-494</t>
  </si>
  <si>
    <t>Chowo F06</t>
  </si>
  <si>
    <t>ELI-523</t>
  </si>
  <si>
    <t>Chowo U01</t>
  </si>
  <si>
    <t>ELI-524</t>
  </si>
  <si>
    <t>Chowo U02</t>
  </si>
  <si>
    <t>ELI-525</t>
  </si>
  <si>
    <t>Chowo U03</t>
  </si>
  <si>
    <t>ELI-197</t>
  </si>
  <si>
    <t>Hollywood F01</t>
  </si>
  <si>
    <t>ELI-198</t>
  </si>
  <si>
    <t>Hollywood F02</t>
  </si>
  <si>
    <t>ELI-230</t>
  </si>
  <si>
    <t>Hollywood F03</t>
  </si>
  <si>
    <t>ELI-231</t>
  </si>
  <si>
    <t>Hollywood F04</t>
  </si>
  <si>
    <t>ELI-232</t>
  </si>
  <si>
    <t>Hollywood F05</t>
  </si>
  <si>
    <t>ELI-233</t>
  </si>
  <si>
    <t>Hollwyood M01</t>
  </si>
  <si>
    <t>ELI-400</t>
  </si>
  <si>
    <t>Hollywood Cub 01 '10</t>
  </si>
  <si>
    <t>ELI-401</t>
  </si>
  <si>
    <t>Hollywood Cub 02 '10</t>
  </si>
  <si>
    <t>ELI-424</t>
  </si>
  <si>
    <t>Hollywood F06</t>
  </si>
  <si>
    <t>ELI-425</t>
  </si>
  <si>
    <t>Hollywood F07</t>
  </si>
  <si>
    <t>69</t>
  </si>
  <si>
    <t>ELI-HW2</t>
  </si>
  <si>
    <t>Hollywood 2013Cub8</t>
  </si>
  <si>
    <t>ELI-256</t>
  </si>
  <si>
    <t>Hot Springs F02</t>
  </si>
  <si>
    <t>Adult in 2009</t>
  </si>
  <si>
    <t>ELI-258</t>
  </si>
  <si>
    <t>Hot Springs F01</t>
  </si>
  <si>
    <t>ELI-362</t>
  </si>
  <si>
    <t>Hot Springs F03</t>
  </si>
  <si>
    <t>ELI-379</t>
  </si>
  <si>
    <t>Hot Springs M01</t>
  </si>
  <si>
    <t>ELI-380</t>
  </si>
  <si>
    <t>Hot Springs M02</t>
  </si>
  <si>
    <t>Not seen anymore in 2011 field season</t>
  </si>
  <si>
    <t>ELI-466</t>
  </si>
  <si>
    <t>ELI-368</t>
  </si>
  <si>
    <t>ELI-474</t>
  </si>
  <si>
    <t>Limpy</t>
  </si>
  <si>
    <t>Limping badly for several months in 2011, practically immobile for &gt;1 month.</t>
  </si>
  <si>
    <t>ELI-203</t>
  </si>
  <si>
    <t>Kapamba F01</t>
  </si>
  <si>
    <t>ELI-204</t>
  </si>
  <si>
    <t>Kapamba F02</t>
  </si>
  <si>
    <t>ELI-205</t>
  </si>
  <si>
    <t>Kapamba Cub 01 M</t>
  </si>
  <si>
    <t>ELI-206</t>
  </si>
  <si>
    <t>Kapamba Cub 02 M</t>
  </si>
  <si>
    <t>ELI-470</t>
  </si>
  <si>
    <t>Kapamba F05</t>
  </si>
  <si>
    <t>ELI-471</t>
  </si>
  <si>
    <t>Kapamba F06</t>
  </si>
  <si>
    <t>ELI-472</t>
  </si>
  <si>
    <t>Kapamba F07</t>
  </si>
  <si>
    <t>ELI-473</t>
  </si>
  <si>
    <t>Kapamba F08</t>
  </si>
  <si>
    <t>ELI-480</t>
  </si>
  <si>
    <t>New Kapamba F03</t>
  </si>
  <si>
    <t>ELI-481</t>
  </si>
  <si>
    <t>Kapamba Cut Ear</t>
  </si>
  <si>
    <t>ELI-482</t>
  </si>
  <si>
    <t>Kapamba Cauliflower</t>
  </si>
  <si>
    <t>ELI-532</t>
  </si>
  <si>
    <t>Kapamba F09</t>
  </si>
  <si>
    <t>ELI-533</t>
  </si>
  <si>
    <t>Kapamba M04</t>
  </si>
  <si>
    <t>ELI-534</t>
  </si>
  <si>
    <t>Kapamba M03</t>
  </si>
  <si>
    <t>ELI-535</t>
  </si>
  <si>
    <t>Kapamba M05</t>
  </si>
  <si>
    <t>ELI-536</t>
  </si>
  <si>
    <t>Kapamba M06</t>
  </si>
  <si>
    <t>ELI-202</t>
  </si>
  <si>
    <t>Scarface</t>
  </si>
  <si>
    <t>ELI-239</t>
  </si>
  <si>
    <t>Kapamba Coa M02</t>
  </si>
  <si>
    <t>ELI-240</t>
  </si>
  <si>
    <t>Kapamba Coa M03</t>
  </si>
  <si>
    <t>ELI-406</t>
  </si>
  <si>
    <t>Kaukonje M01</t>
  </si>
  <si>
    <t>Hunted by Fico</t>
  </si>
  <si>
    <t>ELI-407</t>
  </si>
  <si>
    <t>Kaukonje M02</t>
  </si>
  <si>
    <t>ELI-879</t>
  </si>
  <si>
    <t>Kauluzi F01</t>
  </si>
  <si>
    <t>ELI-880</t>
  </si>
  <si>
    <t>Kauluzi F02</t>
  </si>
  <si>
    <t>ELI-881</t>
  </si>
  <si>
    <t>Kauluzi F03</t>
  </si>
  <si>
    <t>ELI-882</t>
  </si>
  <si>
    <t>Kauluzi Cub1</t>
  </si>
  <si>
    <t>ELI-175</t>
  </si>
  <si>
    <t>Lion Plain M01</t>
  </si>
  <si>
    <t>ELI-176</t>
  </si>
  <si>
    <t>Lion Plain M02</t>
  </si>
  <si>
    <t>Suspected to be harvested</t>
  </si>
  <si>
    <t>ELI-177</t>
  </si>
  <si>
    <t>Lion Plain M03</t>
  </si>
  <si>
    <t>ELI-562</t>
  </si>
  <si>
    <t>Luamfwa F01</t>
  </si>
  <si>
    <t>ELI-402</t>
  </si>
  <si>
    <t>Luamfwa M01</t>
  </si>
  <si>
    <t>ELI-403</t>
  </si>
  <si>
    <t>Luamfwa M02</t>
  </si>
  <si>
    <t>ELI-152</t>
  </si>
  <si>
    <t>Luwi F01</t>
  </si>
  <si>
    <t>ELI-153</t>
  </si>
  <si>
    <t>Nose Scar</t>
  </si>
  <si>
    <t>ELI-154</t>
  </si>
  <si>
    <t>Luwi F03</t>
  </si>
  <si>
    <t>ELI-155</t>
  </si>
  <si>
    <t>Luwi F04</t>
  </si>
  <si>
    <t>ELI-156</t>
  </si>
  <si>
    <t>Luwi F05</t>
  </si>
  <si>
    <t>ELI-157</t>
  </si>
  <si>
    <t>Luwi F06</t>
  </si>
  <si>
    <t>assigned median age to fit models</t>
  </si>
  <si>
    <t>ELI-159</t>
  </si>
  <si>
    <t>Manky Ear</t>
  </si>
  <si>
    <t>ELI-160</t>
  </si>
  <si>
    <t>Luwi F08</t>
  </si>
  <si>
    <t>ELI-164</t>
  </si>
  <si>
    <t>Luwi Cub 07</t>
  </si>
  <si>
    <t>ELI-165</t>
  </si>
  <si>
    <t>Luwi Cub 08</t>
  </si>
  <si>
    <t>Unknwon</t>
  </si>
  <si>
    <t>ELI-241</t>
  </si>
  <si>
    <t>Luwi F09</t>
  </si>
  <si>
    <t>ELI-369</t>
  </si>
  <si>
    <t>Luwi F10</t>
  </si>
  <si>
    <t>178</t>
  </si>
  <si>
    <t>ELI-370</t>
  </si>
  <si>
    <t>Luwi M05</t>
  </si>
  <si>
    <t>ELI-371</t>
  </si>
  <si>
    <t>Luwi Pride cub 2010 03</t>
  </si>
  <si>
    <t>Not seen after May 21 2011</t>
  </si>
  <si>
    <t>ELI-372</t>
  </si>
  <si>
    <t>Luwi Pride cub 2010 04</t>
  </si>
  <si>
    <t>ELI-170</t>
  </si>
  <si>
    <t>Grumpy</t>
  </si>
  <si>
    <t>Found dead after the 2010-2011 rains. Only the collar and jaw found in the Luwi river.</t>
  </si>
  <si>
    <t>ELI-171</t>
  </si>
  <si>
    <t>Stewart</t>
  </si>
  <si>
    <t>Euthanized by ZAWA after his guts were hanging out after being, presumably, gored by a buffalo.</t>
  </si>
  <si>
    <t>Slit</t>
  </si>
  <si>
    <t>ELI-158</t>
  </si>
  <si>
    <t>Luwi M01</t>
  </si>
  <si>
    <t>ELI-161</t>
  </si>
  <si>
    <t>Luwi M02</t>
  </si>
  <si>
    <t>ELI-162</t>
  </si>
  <si>
    <t>Ginger</t>
  </si>
  <si>
    <t>ELI-163</t>
  </si>
  <si>
    <t>Luwi M04</t>
  </si>
  <si>
    <t>ELI-563</t>
  </si>
  <si>
    <t>Malama Coa M01</t>
  </si>
  <si>
    <t>ELI-115</t>
  </si>
  <si>
    <t>Mfuwe F01</t>
  </si>
  <si>
    <t>ELI-116</t>
  </si>
  <si>
    <t>Mfuwe F02</t>
  </si>
  <si>
    <t>ELI-117</t>
  </si>
  <si>
    <t>Mfuwe M01</t>
  </si>
  <si>
    <t>ELI-113</t>
  </si>
  <si>
    <t>ELI-118</t>
  </si>
  <si>
    <t>Mfuwe F03</t>
  </si>
  <si>
    <t>ELI-119</t>
  </si>
  <si>
    <t>Mfuwe F04</t>
  </si>
  <si>
    <t>ELI-121</t>
  </si>
  <si>
    <t>Mfuwe M03</t>
  </si>
  <si>
    <t>ELI-122</t>
  </si>
  <si>
    <t>Mfuwe F05</t>
  </si>
  <si>
    <t>Went missing as a cub</t>
  </si>
  <si>
    <t>Mfuwe Male</t>
  </si>
  <si>
    <t>ELI-991</t>
  </si>
  <si>
    <t>Muchinga 01</t>
  </si>
  <si>
    <t>ELI-420</t>
  </si>
  <si>
    <t>Mwamba Coa M01</t>
  </si>
  <si>
    <t>ELI-421</t>
  </si>
  <si>
    <t>Mwamba Coa M02</t>
  </si>
  <si>
    <t>ELI-422</t>
  </si>
  <si>
    <t>Mwamba Coa M03</t>
  </si>
  <si>
    <t>ELI-124</t>
  </si>
  <si>
    <t>Mwamba I F01</t>
  </si>
  <si>
    <t>Mwamba I</t>
  </si>
  <si>
    <t>ELI-125</t>
  </si>
  <si>
    <t>Mwamba I F02</t>
  </si>
  <si>
    <t>ELI-126</t>
  </si>
  <si>
    <t>Mwamba I F04</t>
  </si>
  <si>
    <t>ELI-127</t>
  </si>
  <si>
    <t>Mwamba I F05</t>
  </si>
  <si>
    <t>ELI-128</t>
  </si>
  <si>
    <t>Mwamba I F06</t>
  </si>
  <si>
    <t>ELI-129</t>
  </si>
  <si>
    <t>Mwamba I F07</t>
  </si>
  <si>
    <t>ELI-130</t>
  </si>
  <si>
    <t>Mwamba I M03</t>
  </si>
  <si>
    <t>ELI-132</t>
  </si>
  <si>
    <t>Mwamba I sub M01</t>
  </si>
  <si>
    <t>ELI-133</t>
  </si>
  <si>
    <t>Mwamba I Sub M02</t>
  </si>
  <si>
    <t>ELI-246</t>
  </si>
  <si>
    <t>Mwamba I F03</t>
  </si>
  <si>
    <t>ELI-423</t>
  </si>
  <si>
    <t>Mwamba I F08</t>
  </si>
  <si>
    <t>ELI-469</t>
  </si>
  <si>
    <t>Mwamba I F09</t>
  </si>
  <si>
    <t>ELI-134</t>
  </si>
  <si>
    <t>Mwamba II F01</t>
  </si>
  <si>
    <t>Mwamba II</t>
  </si>
  <si>
    <t>ELI-135</t>
  </si>
  <si>
    <t>Mwamba II F02</t>
  </si>
  <si>
    <t>ELI-136</t>
  </si>
  <si>
    <t>Mwamba II F03</t>
  </si>
  <si>
    <t>ELI-137</t>
  </si>
  <si>
    <t>Mwamba II F04</t>
  </si>
  <si>
    <t>ELI-138</t>
  </si>
  <si>
    <t>Mwamba II F05</t>
  </si>
  <si>
    <t>ELI-139</t>
  </si>
  <si>
    <t>Mwamba II F06</t>
  </si>
  <si>
    <t>ELI-140</t>
  </si>
  <si>
    <t>Mwamba II M01</t>
  </si>
  <si>
    <t>ELI-426</t>
  </si>
  <si>
    <t>New Mwamba F01</t>
  </si>
  <si>
    <t>ELI-427</t>
  </si>
  <si>
    <t>New Mwamba F02</t>
  </si>
  <si>
    <t>ELI-428</t>
  </si>
  <si>
    <t>New Mwamba F03</t>
  </si>
  <si>
    <t>ELI-429</t>
  </si>
  <si>
    <t>New Mwamba F04</t>
  </si>
  <si>
    <t>ELI-430</t>
  </si>
  <si>
    <t>New Mwamba M01</t>
  </si>
  <si>
    <t>ELI-173</t>
  </si>
  <si>
    <t>Nsefu F01</t>
  </si>
  <si>
    <t>Nsefu</t>
  </si>
  <si>
    <t>ELI-174</t>
  </si>
  <si>
    <t>Nsefu F02</t>
  </si>
  <si>
    <t>ELI-247</t>
  </si>
  <si>
    <t>Nsefu F03</t>
  </si>
  <si>
    <t>ELI-248</t>
  </si>
  <si>
    <t>Nsefu F04</t>
  </si>
  <si>
    <t>ELI-249</t>
  </si>
  <si>
    <t>Nsefu F05</t>
  </si>
  <si>
    <t>ELI-250</t>
  </si>
  <si>
    <t>Nsefu F06</t>
  </si>
  <si>
    <t>ELI-251</t>
  </si>
  <si>
    <t>Nsefu M02</t>
  </si>
  <si>
    <t>Not seen again in 2010 season.</t>
  </si>
  <si>
    <t>ELI-252</t>
  </si>
  <si>
    <t>Nsefu F08</t>
  </si>
  <si>
    <t>ELI-253</t>
  </si>
  <si>
    <t>Nsefu M01</t>
  </si>
  <si>
    <t>Not seen after the 2009 season.</t>
  </si>
  <si>
    <t>ELI-254</t>
  </si>
  <si>
    <t>Nsefu F09</t>
  </si>
  <si>
    <t>ELI-255</t>
  </si>
  <si>
    <t>Nsefu F10</t>
  </si>
  <si>
    <t>ELI-373</t>
  </si>
  <si>
    <t>ELI-374</t>
  </si>
  <si>
    <t>Nsefu Pride 2010 cub 02</t>
  </si>
  <si>
    <t>Died early on.</t>
  </si>
  <si>
    <t>ELI-375</t>
  </si>
  <si>
    <t>Nsefu M03</t>
  </si>
  <si>
    <t>ELI-376</t>
  </si>
  <si>
    <t>Nsefu M05</t>
  </si>
  <si>
    <t>ELI-377</t>
  </si>
  <si>
    <t>Nsefu M04</t>
  </si>
  <si>
    <t>ELI-378</t>
  </si>
  <si>
    <t>Nsefu F11</t>
  </si>
  <si>
    <t>ELI-462</t>
  </si>
  <si>
    <t>Nsefu F07</t>
  </si>
  <si>
    <t>ELI-463</t>
  </si>
  <si>
    <t>Nsefu F12</t>
  </si>
  <si>
    <t>ELI-464</t>
  </si>
  <si>
    <t>Nsefu M06</t>
  </si>
  <si>
    <t>ELI-515</t>
  </si>
  <si>
    <t>Nsefu F13</t>
  </si>
  <si>
    <t>247</t>
  </si>
  <si>
    <t>175</t>
  </si>
  <si>
    <t>ELI-553</t>
  </si>
  <si>
    <t>Nsefu M07</t>
  </si>
  <si>
    <t>ELI-588</t>
  </si>
  <si>
    <t>Nsefu M08</t>
  </si>
  <si>
    <t>ELI-589</t>
  </si>
  <si>
    <t>Nsefu F14</t>
  </si>
  <si>
    <t>ELI-208</t>
  </si>
  <si>
    <t>Nsolo Pride F01</t>
  </si>
  <si>
    <t>ELI-209</t>
  </si>
  <si>
    <t>Nsolo Pride F02</t>
  </si>
  <si>
    <t>ELI-210</t>
  </si>
  <si>
    <t>Nsolo Pride F03</t>
  </si>
  <si>
    <t>ELI-211</t>
  </si>
  <si>
    <t>Nsolo Pride F04</t>
  </si>
  <si>
    <t>Probably killed by a buffalo. A very old female lion, found dead when the carcass was about a day old. Found at 21-4-2010. Lots of fresh buffalo tracks around.</t>
  </si>
  <si>
    <t>ELI-212</t>
  </si>
  <si>
    <t>Nsolo Pride F05</t>
  </si>
  <si>
    <t>ELI-215</t>
  </si>
  <si>
    <t>Nsolo F06</t>
  </si>
  <si>
    <t>ELI-454</t>
  </si>
  <si>
    <t>Nsolo F07</t>
  </si>
  <si>
    <t>ELI-455</t>
  </si>
  <si>
    <t>Nsolo F08</t>
  </si>
  <si>
    <t>ELI-456</t>
  </si>
  <si>
    <t>Nsolo M05</t>
  </si>
  <si>
    <t>ELI-457</t>
  </si>
  <si>
    <t>Nsolo M06</t>
  </si>
  <si>
    <t>ELI-458</t>
  </si>
  <si>
    <t>Nsolo F09</t>
  </si>
  <si>
    <t>ELI-459</t>
  </si>
  <si>
    <t>Nsolo F10</t>
  </si>
  <si>
    <t>ELI-460</t>
  </si>
  <si>
    <t>Nsolo M07</t>
  </si>
  <si>
    <t>ELI-461</t>
  </si>
  <si>
    <t>Nsolo M04</t>
  </si>
  <si>
    <t>ELI-832</t>
  </si>
  <si>
    <t>Nsolo 2 Cub'15 01</t>
  </si>
  <si>
    <t>ELI-701</t>
  </si>
  <si>
    <t>ELI-833</t>
  </si>
  <si>
    <t>Nsolo 2 Cub'15 02</t>
  </si>
  <si>
    <t>ELI-207</t>
  </si>
  <si>
    <t>Nsolo I Coa M02</t>
  </si>
  <si>
    <t>Seen with ELI-362 (Nsolo I Coa M01) in March 2009 near the Katete river. Had a few porcupine quails in his throat and was obviously bothered by it and not in good condition. ELI-362 later in the year seen with Chamilandu Pride.</t>
  </si>
  <si>
    <t>ELI-213</t>
  </si>
  <si>
    <t>Nsolo II Coa M01</t>
  </si>
  <si>
    <t>ELI-214</t>
  </si>
  <si>
    <t>Nsolo II Coa M02</t>
  </si>
  <si>
    <t>ELI-216</t>
  </si>
  <si>
    <t>Nsolo II Coa M03</t>
  </si>
  <si>
    <t>ELI-217</t>
  </si>
  <si>
    <t>Nsolo Coalition M04</t>
  </si>
  <si>
    <t>ELI-419</t>
  </si>
  <si>
    <t>Nsolo | Coa M03</t>
  </si>
  <si>
    <t>ELI-001</t>
  </si>
  <si>
    <t>Nsolo I Coa M01</t>
  </si>
  <si>
    <t>ELI-267</t>
  </si>
  <si>
    <t>Puku Ridge M02</t>
  </si>
  <si>
    <t>Puku Ridge M01</t>
  </si>
  <si>
    <t>Shot by Ahmed (Tundwe)</t>
  </si>
  <si>
    <t>ELI-182</t>
  </si>
  <si>
    <t>Saltpan F01</t>
  </si>
  <si>
    <t>ELI-183</t>
  </si>
  <si>
    <t>Saltpan F07</t>
  </si>
  <si>
    <t>ELI-185</t>
  </si>
  <si>
    <t>Saltpan F04</t>
  </si>
  <si>
    <t>Infected right eye</t>
  </si>
  <si>
    <t>ELI-186</t>
  </si>
  <si>
    <t>Saltpan M01</t>
  </si>
  <si>
    <t>ELI-187</t>
  </si>
  <si>
    <t>Saltpan M04</t>
  </si>
  <si>
    <t>ELI-189</t>
  </si>
  <si>
    <t>Saltpan F08</t>
  </si>
  <si>
    <t>ELI-190</t>
  </si>
  <si>
    <t>Saltpan M03</t>
  </si>
  <si>
    <t>ELI-257</t>
  </si>
  <si>
    <t>Saltpan F06</t>
  </si>
  <si>
    <t>123776</t>
  </si>
  <si>
    <t>ELI-259</t>
  </si>
  <si>
    <t>Saltpan M02</t>
  </si>
  <si>
    <t>ELI-261</t>
  </si>
  <si>
    <t>Saltpan F03</t>
  </si>
  <si>
    <t>ELI-465</t>
  </si>
  <si>
    <t>Saltpan F09</t>
  </si>
  <si>
    <t>Old adult in 2011. In November 2011 left eye looked bad and she had a swelling on her right cheek.</t>
  </si>
  <si>
    <t>ELI-467</t>
  </si>
  <si>
    <t>Saltpan F10</t>
  </si>
  <si>
    <t>ELI-468</t>
  </si>
  <si>
    <t>Saltpan 2011 Cub U01</t>
  </si>
  <si>
    <t>ELI-566</t>
  </si>
  <si>
    <t>ELI-567</t>
  </si>
  <si>
    <t>ELI-178</t>
  </si>
  <si>
    <t>Saltpan Coa M01</t>
  </si>
  <si>
    <t>Trophy hunted</t>
  </si>
  <si>
    <t>Based on gps locations shot on 29 September 2010 (at 01:30 AM along Lukuzi river, at 13:30 PM in hunting camp Fico Vidale). Fico Vidale returned the collar a few days later.</t>
  </si>
  <si>
    <t>ELI-179</t>
  </si>
  <si>
    <t>Saltpan Coa M02</t>
  </si>
  <si>
    <t>ELI-180</t>
  </si>
  <si>
    <t>Saltpan Coa M03</t>
  </si>
  <si>
    <t>ELI-181</t>
  </si>
  <si>
    <t>Saltpan Coa M04</t>
  </si>
  <si>
    <t>ELI-167</t>
  </si>
  <si>
    <t>Big Pride M04</t>
  </si>
  <si>
    <t>1203740</t>
  </si>
  <si>
    <t>ELI-168</t>
  </si>
  <si>
    <t>Big Pride M05</t>
  </si>
  <si>
    <t>Li148</t>
  </si>
  <si>
    <t>ELI-169</t>
  </si>
  <si>
    <t>Big Pride M06</t>
  </si>
  <si>
    <t>Not seen after August 20, 2010. At the time he had an infected left eye.</t>
  </si>
  <si>
    <t>ELI-446</t>
  </si>
  <si>
    <t>Tafika Euthanized M</t>
  </si>
  <si>
    <t>snared foot and dislocated hip</t>
  </si>
  <si>
    <t>Euthanized by ZAWA. Animal hadn't moved since being de-snared on 29 Sep 2011.</t>
  </si>
  <si>
    <t>ELI-475</t>
  </si>
  <si>
    <t>Tafika F01</t>
  </si>
  <si>
    <t>ELI-476</t>
  </si>
  <si>
    <t>Tafika M01</t>
  </si>
  <si>
    <t>ELI-477</t>
  </si>
  <si>
    <t>Tafika M02</t>
  </si>
  <si>
    <t>ELI-478</t>
  </si>
  <si>
    <t>Tafika M03</t>
  </si>
  <si>
    <t>ELI-260</t>
  </si>
  <si>
    <t>Tena F01</t>
  </si>
  <si>
    <t>ELI-262</t>
  </si>
  <si>
    <t>Tena F02</t>
  </si>
  <si>
    <t>ELI-263</t>
  </si>
  <si>
    <t>Tena F03</t>
  </si>
  <si>
    <t>Seen alive in the morning, dead in the afternoon, by Bwana Mitch (Bwana.Mitch@bwanamitch.de). He sent pictures. She looked very skinny, yet had a bloated belly.</t>
  </si>
  <si>
    <t>ELI-264</t>
  </si>
  <si>
    <t>Tena F04</t>
  </si>
  <si>
    <t>ELI-265</t>
  </si>
  <si>
    <t>Tena F05</t>
  </si>
  <si>
    <t>123784</t>
  </si>
  <si>
    <t>ELI-266</t>
  </si>
  <si>
    <t>Tena F06</t>
  </si>
  <si>
    <t>ELI-564</t>
  </si>
  <si>
    <t>Tsetse Coa M01</t>
  </si>
  <si>
    <t>ELI-565</t>
  </si>
  <si>
    <t>Tsetse Coa M02</t>
  </si>
  <si>
    <t>ELI-131</t>
  </si>
  <si>
    <t>Mwamba | M04</t>
  </si>
  <si>
    <t>ELI-516</t>
  </si>
  <si>
    <t>Nsefu Cub 2012b</t>
  </si>
  <si>
    <t>ELI-517</t>
  </si>
  <si>
    <t>Nsefu Cub 2012c</t>
  </si>
  <si>
    <t>ELI-550</t>
  </si>
  <si>
    <t>Nsefu Cub 2012d</t>
  </si>
  <si>
    <t>ELI-551</t>
  </si>
  <si>
    <t>Nsefu Cub 2012e</t>
  </si>
  <si>
    <t>ELI-552</t>
  </si>
  <si>
    <t>Nsefu Cub 2012f</t>
  </si>
  <si>
    <t>ELI-597</t>
  </si>
  <si>
    <t>Snaring</t>
  </si>
  <si>
    <t>ELI-598</t>
  </si>
  <si>
    <t>ELI-599</t>
  </si>
  <si>
    <t>ELI-600</t>
  </si>
  <si>
    <t>ELI-601</t>
  </si>
  <si>
    <t>ELI-604</t>
  </si>
  <si>
    <t>ELI-606</t>
  </si>
  <si>
    <t>ELI-607</t>
  </si>
  <si>
    <t>ELI-608</t>
  </si>
  <si>
    <t>ELI-609</t>
  </si>
  <si>
    <t>ELI-611</t>
  </si>
  <si>
    <t>ELI-612</t>
  </si>
  <si>
    <t>ELI-613</t>
  </si>
  <si>
    <t>ELI-615</t>
  </si>
  <si>
    <t>ELI-616</t>
  </si>
  <si>
    <t>ELI-617</t>
  </si>
  <si>
    <t>ELI-618</t>
  </si>
  <si>
    <t>ELI-619</t>
  </si>
  <si>
    <t>ELI-628</t>
  </si>
  <si>
    <t>ELI-629</t>
  </si>
  <si>
    <t>ELI-647</t>
  </si>
  <si>
    <t>ELI-648</t>
  </si>
  <si>
    <t>ELI-649</t>
  </si>
  <si>
    <t>ELI-650</t>
  </si>
  <si>
    <t>ELI-651</t>
  </si>
  <si>
    <t>ELI-652</t>
  </si>
  <si>
    <t>ELI-653</t>
  </si>
  <si>
    <t>ELI-657</t>
  </si>
  <si>
    <t>ELI-658</t>
  </si>
  <si>
    <t>ELI-659</t>
  </si>
  <si>
    <t>ELI-660</t>
  </si>
  <si>
    <t>ELI-661</t>
  </si>
  <si>
    <t>ELI-662</t>
  </si>
  <si>
    <t>ELI-663</t>
  </si>
  <si>
    <t>ELI-664</t>
  </si>
  <si>
    <t>ELI-665</t>
  </si>
  <si>
    <t>ELI-666</t>
  </si>
  <si>
    <t>ELI-697</t>
  </si>
  <si>
    <t>ELI-698</t>
  </si>
  <si>
    <t>ELI-699</t>
  </si>
  <si>
    <t>ELI-700</t>
  </si>
  <si>
    <t>ELI-702</t>
  </si>
  <si>
    <t>ELI-703</t>
  </si>
  <si>
    <t>ELI-708</t>
  </si>
  <si>
    <t>701F</t>
  </si>
  <si>
    <t>779M</t>
  </si>
  <si>
    <t>ELI-709</t>
  </si>
  <si>
    <t>ELI-710</t>
  </si>
  <si>
    <t>ELI-711</t>
  </si>
  <si>
    <t>ELI-713</t>
  </si>
  <si>
    <t>ELI-714</t>
  </si>
  <si>
    <t>ELI-715</t>
  </si>
  <si>
    <t>ELI-716</t>
  </si>
  <si>
    <t>ELI-717</t>
  </si>
  <si>
    <t>ELI-718</t>
  </si>
  <si>
    <t>ELI-719</t>
  </si>
  <si>
    <t>ELI-720</t>
  </si>
  <si>
    <t>ELI-721</t>
  </si>
  <si>
    <t>ELI-722</t>
  </si>
  <si>
    <t>ELI-735</t>
  </si>
  <si>
    <t>ELI-736</t>
  </si>
  <si>
    <t>ELI-737</t>
  </si>
  <si>
    <t>ELI-738</t>
  </si>
  <si>
    <t>ELI-739</t>
  </si>
  <si>
    <t>ELI-750</t>
  </si>
  <si>
    <t>ELI-751</t>
  </si>
  <si>
    <t>ELI-752</t>
  </si>
  <si>
    <t>ELI-753</t>
  </si>
  <si>
    <t>ELI-754</t>
  </si>
  <si>
    <t>ELI-755</t>
  </si>
  <si>
    <t>ELI-756</t>
  </si>
  <si>
    <t>ELI-757</t>
  </si>
  <si>
    <t>ELI-758</t>
  </si>
  <si>
    <t>ELI-759</t>
  </si>
  <si>
    <t>ELI-765</t>
  </si>
  <si>
    <t>ELI-766</t>
  </si>
  <si>
    <t>ELI-767</t>
  </si>
  <si>
    <t>ELI-768</t>
  </si>
  <si>
    <t>ELI-769</t>
  </si>
  <si>
    <t>ELI-770</t>
  </si>
  <si>
    <t>ELI-771</t>
  </si>
  <si>
    <t>ELI-772</t>
  </si>
  <si>
    <t>ELI-773</t>
  </si>
  <si>
    <t>ELI-774</t>
  </si>
  <si>
    <t>ELI-775</t>
  </si>
  <si>
    <t>ELI-776</t>
  </si>
  <si>
    <t>ELI-777</t>
  </si>
  <si>
    <t>ELI-778</t>
  </si>
  <si>
    <t>ELI-779</t>
  </si>
  <si>
    <t>ELI-786</t>
  </si>
  <si>
    <t>ELI-800</t>
  </si>
  <si>
    <t>Hot Spring M04</t>
  </si>
  <si>
    <t>ELI-801</t>
  </si>
  <si>
    <t>Mwamba I 2015Cub 1</t>
  </si>
  <si>
    <t>ELI-802</t>
  </si>
  <si>
    <t>Mwamba I 2015Cub 2</t>
  </si>
  <si>
    <t>ELI-803</t>
  </si>
  <si>
    <t>Mwamba I 2015Cub 3</t>
  </si>
  <si>
    <t>ELI-804</t>
  </si>
  <si>
    <t>Mwamba I 2015Cub 4</t>
  </si>
  <si>
    <t>ELI-810</t>
  </si>
  <si>
    <t>Luwi 2015 Cub 1</t>
  </si>
  <si>
    <t>ELI-811</t>
  </si>
  <si>
    <t>Luwi 2015 Cub 2</t>
  </si>
  <si>
    <t>ELI-812</t>
  </si>
  <si>
    <t>Luwi 2015 Cub 3</t>
  </si>
  <si>
    <t>ELI-813</t>
  </si>
  <si>
    <t>Luwi 2015 Cub 4</t>
  </si>
  <si>
    <t>ELI-814</t>
  </si>
  <si>
    <t>Luwi 2015 Cub 5</t>
  </si>
  <si>
    <t>ELI-815</t>
  </si>
  <si>
    <t>Big Pride 2015 Cub1</t>
  </si>
  <si>
    <t>ELI-816</t>
  </si>
  <si>
    <t>Big Pride 2015 Cub2</t>
  </si>
  <si>
    <t>ELI-817</t>
  </si>
  <si>
    <t>Big Pride 2015 Cub3</t>
  </si>
  <si>
    <t>ELI-818</t>
  </si>
  <si>
    <t>Big Pride 2015 Cub4</t>
  </si>
  <si>
    <t>ELI-819</t>
  </si>
  <si>
    <t>Big Pride 2015 Cub5</t>
  </si>
  <si>
    <t>ELI-820</t>
  </si>
  <si>
    <t>Big Pride 2015 Cub6</t>
  </si>
  <si>
    <t>ELI-821</t>
  </si>
  <si>
    <t>Big Pride 2015 Cub7</t>
  </si>
  <si>
    <t>ELI-822</t>
  </si>
  <si>
    <t>Big Pride 2015 Cub8</t>
  </si>
  <si>
    <t>ELI-823</t>
  </si>
  <si>
    <t>Nsefu 2015 Cub1</t>
  </si>
  <si>
    <t>ELI-824</t>
  </si>
  <si>
    <t>Nsefu 2015 Cub2</t>
  </si>
  <si>
    <t>ELI-825</t>
  </si>
  <si>
    <t>Nsefu 2015 Cub3</t>
  </si>
  <si>
    <t>ELI-826</t>
  </si>
  <si>
    <t>Nsefu 2015 Cub4</t>
  </si>
  <si>
    <t>ELI-827</t>
  </si>
  <si>
    <t>Nsefu 2015 Cub5</t>
  </si>
  <si>
    <t>ELI-828</t>
  </si>
  <si>
    <t>Nsefu 2015 Cub6</t>
  </si>
  <si>
    <t>ELI-829</t>
  </si>
  <si>
    <t>Nsefu 2015 Cub7</t>
  </si>
  <si>
    <t>ELI-830</t>
  </si>
  <si>
    <t>Nsefu 2015 Cub8</t>
  </si>
  <si>
    <t>ELI-831</t>
  </si>
  <si>
    <t>Nsefu 2015 Cub9</t>
  </si>
  <si>
    <t>ELI-961</t>
  </si>
  <si>
    <t>ELI-962</t>
  </si>
  <si>
    <t>Mwamba II F07</t>
  </si>
  <si>
    <t>ELI-963</t>
  </si>
  <si>
    <t>Mwamba II F08</t>
  </si>
  <si>
    <t>ELI-965</t>
  </si>
  <si>
    <t>Mwamba II 2015 Cub 1</t>
  </si>
  <si>
    <t>ELI-966</t>
  </si>
  <si>
    <t>Mwamba II 2015 Cub 2</t>
  </si>
  <si>
    <t>ELI-967</t>
  </si>
  <si>
    <t>Mwamba II 2015 Cub 3</t>
  </si>
  <si>
    <t>ELI-968</t>
  </si>
  <si>
    <t>Mwamba II 2015 Cub 4</t>
  </si>
  <si>
    <t>ELI-969</t>
  </si>
  <si>
    <t>Mwamba II 2015 Cub 6</t>
  </si>
  <si>
    <t>ELI-970</t>
  </si>
  <si>
    <t>Mwamba II 2015 Cub 7</t>
  </si>
  <si>
    <t>ELI-971</t>
  </si>
  <si>
    <t>Mwamba II 2015 Cub 8</t>
  </si>
  <si>
    <t>ELI-972</t>
  </si>
  <si>
    <t>Floppy Coa M01</t>
  </si>
  <si>
    <t>ELI-976</t>
  </si>
  <si>
    <t>Kapanda male</t>
  </si>
  <si>
    <t>ELI-982</t>
  </si>
  <si>
    <t>Mvuu M01</t>
  </si>
  <si>
    <t>ELI-983</t>
  </si>
  <si>
    <t>Mvuu M02</t>
  </si>
  <si>
    <t>ELI-984</t>
  </si>
  <si>
    <t>Mvuu M03</t>
  </si>
  <si>
    <t>ELI-985</t>
  </si>
  <si>
    <t>Rambo</t>
  </si>
  <si>
    <t>ELI-986</t>
  </si>
  <si>
    <t>Stumpy</t>
  </si>
  <si>
    <t>ELI-987</t>
  </si>
  <si>
    <t>Scar</t>
  </si>
  <si>
    <t>ELI-989</t>
  </si>
  <si>
    <t>ELI-990</t>
  </si>
  <si>
    <t>Nchindeni</t>
  </si>
  <si>
    <t>ELI-992</t>
  </si>
  <si>
    <t>Mwamba II 2015 Cub 5</t>
  </si>
  <si>
    <t>l</t>
  </si>
  <si>
    <t>First seen by Teddy</t>
  </si>
  <si>
    <t>Reported by Nsefu Guides</t>
  </si>
  <si>
    <t>Henry's data</t>
  </si>
  <si>
    <t>Saltpan</t>
  </si>
  <si>
    <t>ID</t>
  </si>
  <si>
    <t>Group</t>
  </si>
  <si>
    <t>Detection date</t>
  </si>
  <si>
    <t>Age at first detection</t>
  </si>
  <si>
    <t>Age in Months</t>
  </si>
  <si>
    <t>Nsolo 2</t>
  </si>
  <si>
    <t>Hollywood</t>
  </si>
  <si>
    <t>Hotsprings</t>
  </si>
  <si>
    <t>Luwi</t>
  </si>
  <si>
    <t>Big Pride</t>
  </si>
  <si>
    <t>Chinzombo</t>
  </si>
  <si>
    <t>Tena</t>
  </si>
  <si>
    <t>ELI-688F</t>
  </si>
  <si>
    <t>ELI-683M</t>
  </si>
  <si>
    <t>Kapamba</t>
  </si>
  <si>
    <t>Chinzombo F03</t>
  </si>
  <si>
    <t>Nsefu 2014 Cub1</t>
  </si>
  <si>
    <t>Nsefu 2014 Cub2</t>
  </si>
  <si>
    <t>Nsefu 2014 Cub3</t>
  </si>
  <si>
    <t>Nsefu 2014 Cub4</t>
  </si>
  <si>
    <t>Nsefu 2014 Cub5</t>
  </si>
  <si>
    <t>Nsefu 2014 Cub6</t>
  </si>
  <si>
    <t>Nsefu 2014 Cub7</t>
  </si>
  <si>
    <t>Luwi 2014 Cub1</t>
  </si>
  <si>
    <t>Hollywood 2013Cub7</t>
  </si>
  <si>
    <t>Hollywood 2014Cub3</t>
  </si>
  <si>
    <t>Hollywood 2014Cub1</t>
  </si>
  <si>
    <t>Hollywood 2014Cub2</t>
  </si>
  <si>
    <t>Luwi 2014 Cub2</t>
  </si>
  <si>
    <t>Luwi 2014 Cub3</t>
  </si>
  <si>
    <t>Tena Tena Cub 1</t>
  </si>
  <si>
    <t>Tena Tena Cub 2</t>
  </si>
  <si>
    <t>Tena Tena Cub 3</t>
  </si>
  <si>
    <t>Tena Tena Cub 4</t>
  </si>
  <si>
    <t>Tena Tena Cub 5</t>
  </si>
  <si>
    <t>Tena Tena Cub 6</t>
  </si>
  <si>
    <t>Tena Tena Cub 7</t>
  </si>
  <si>
    <t>Tena Tena Cub 8</t>
  </si>
  <si>
    <t>2014 Cub 1</t>
  </si>
  <si>
    <t>2014 Cub 2</t>
  </si>
  <si>
    <t>2014 Cub 3</t>
  </si>
  <si>
    <t>2014 Cub 4</t>
  </si>
  <si>
    <t>2014 Cub 5</t>
  </si>
  <si>
    <t>Saltpan Cub1</t>
  </si>
  <si>
    <t>Saltpan Cub2</t>
  </si>
  <si>
    <t>Saltpan Cub3</t>
  </si>
  <si>
    <t>Saltpan Cub4</t>
  </si>
  <si>
    <t>Saltpan Cub5</t>
  </si>
  <si>
    <t>New Luwi</t>
  </si>
  <si>
    <t>Hot Springs Cub 1</t>
  </si>
  <si>
    <t>Hot Springs Cub 2</t>
  </si>
  <si>
    <t>Hot Springs Cub 3</t>
  </si>
  <si>
    <t>Hollywood 2013Cub1</t>
  </si>
  <si>
    <t>Hollywood 2013Cub2</t>
  </si>
  <si>
    <t>Hollywood 2013Cub3</t>
  </si>
  <si>
    <t>Hollywood 2013Cub4</t>
  </si>
  <si>
    <t>Hollywood 2013Cub5</t>
  </si>
  <si>
    <t>Hollywood 2013Cub6</t>
  </si>
  <si>
    <t>Tafika 1</t>
  </si>
  <si>
    <t>Tafika 2</t>
  </si>
  <si>
    <t>Zikomo</t>
  </si>
  <si>
    <t>ageatfirst</t>
  </si>
  <si>
    <t>Mother seen mating with Chichele male, Li123732 on November 2, 21. Assumed at least 1 days to get back into oestrus.  DC assumed data of sighting in database was transcribed incorrrect as february 10,2010 and should be October 2, 2010 (american date error).</t>
  </si>
  <si>
    <t xml:space="preserve">Mother seen mating with Chichele male, Li123732 on November 2, 21. Assumed at least 1 days to get back into oestrus.  DC sluethed this and determined date of sighting in database was transcribed incorrrectly as february 10,2010 and should be October 2, 2010 (american date error) Mother was seen mating with ELI-234 on 20 NOV 2010. </t>
  </si>
  <si>
    <t>only month of first detection indicate in date (as 28th of that month)</t>
  </si>
  <si>
    <t>Went missing before the end of the season. Only month of first detection known (using 28th as default).</t>
  </si>
  <si>
    <t>Only month of first detection known (using 28th as default).</t>
  </si>
  <si>
    <t>included_CJS_2018</t>
  </si>
  <si>
    <t>ER noted no sighting but one in database. Original id 2011020 suggest a 2011 sighting as well.</t>
  </si>
  <si>
    <t>monthatfirst</t>
  </si>
  <si>
    <t>yearatfirst</t>
  </si>
  <si>
    <t>yearofbirth</t>
  </si>
  <si>
    <t>Only month of first detection known (using 28th as default). Same detection history as ELI-619, so assigned it to that litter</t>
  </si>
  <si>
    <t>Access2026ID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</si>
</sst>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F800]dddd\,\ mmmm\ dd\,\ yyyy"/>
    <numFmt numFmtId="165" formatCode="[$-809]dd\ mmmm\ yyyy;@"/>
    <numFmt numFmtId="166" formatCode="0.0"/>
    <numFmt numFmtId="167" formatCode="0.000"/>
  </numFmts>
  <fonts count="6" x14ac:knownFonts="1">
    <font>
      <sz val="11"/>
      <color theme="1"/>
      <name val="Calibri"/>
      <family val="2"/>
      <scheme val="minor"/>
    </font>
    <font>
      <b/>
      <sz val="11"/>
      <color theme="1"/>
      <name val="Calibri"/>
      <family val="2"/>
      <scheme val="minor"/>
    </font>
    <font>
      <sz val="11"/>
      <color indexed="8"/>
      <name val="Calibri"/>
      <family val="2"/>
    </font>
    <font>
      <b/>
      <sz val="11"/>
      <color indexed="8"/>
      <name val="Calibri"/>
      <family val="2"/>
    </font>
    <font>
      <sz val="11"/>
      <name val="Calibri"/>
      <family val="2"/>
      <scheme val="minor"/>
    </font>
    <font>
      <sz val="11"/>
      <name val="Calibri"/>
      <family val="2"/>
    </font>
  </fonts>
  <fills count="33">
    <fill>
      <patternFill patternType="none"/>
    </fill>
    <fill>
      <patternFill patternType="gray125"/>
    </fill>
    <fill>
      <patternFill patternType="solid">
        <fgColor theme="9" tint="0.59999389629810485"/>
        <bgColor indexed="64"/>
      </patternFill>
    </fill>
    <fill>
      <patternFill patternType="solid">
        <fgColor theme="4" tint="0.39997558519241921"/>
        <bgColor indexed="64"/>
      </patternFill>
    </fill>
    <fill>
      <patternFill patternType="solid">
        <fgColor theme="2" tint="-0.249977111117893"/>
        <bgColor indexed="64"/>
      </patternFill>
    </fill>
    <fill>
      <patternFill patternType="solid">
        <fgColor theme="5" tint="0.39997558519241921"/>
        <bgColor indexed="64"/>
      </patternFill>
    </fill>
    <fill>
      <patternFill patternType="solid">
        <fgColor theme="6" tint="0.59999389629810485"/>
        <bgColor indexed="64"/>
      </patternFill>
    </fill>
    <fill>
      <patternFill patternType="solid">
        <fgColor theme="5" tint="0.59999389629810485"/>
        <bgColor indexed="64"/>
      </patternFill>
    </fill>
    <fill>
      <patternFill patternType="solid">
        <fgColor theme="4" tint="-0.249977111117893"/>
        <bgColor indexed="64"/>
      </patternFill>
    </fill>
    <fill>
      <patternFill patternType="solid">
        <fgColor theme="8" tint="0.59999389629810485"/>
        <bgColor indexed="64"/>
      </patternFill>
    </fill>
    <fill>
      <patternFill patternType="solid">
        <fgColor theme="9" tint="0.39997558519241921"/>
        <bgColor indexed="64"/>
      </patternFill>
    </fill>
    <fill>
      <patternFill patternType="solid">
        <fgColor theme="7" tint="0.59999389629810485"/>
        <bgColor indexed="64"/>
      </patternFill>
    </fill>
    <fill>
      <patternFill patternType="solid">
        <fgColor rgb="FF00B0F0"/>
        <bgColor indexed="64"/>
      </patternFill>
    </fill>
    <fill>
      <patternFill patternType="solid">
        <fgColor theme="3" tint="0.79998168889431442"/>
        <bgColor indexed="64"/>
      </patternFill>
    </fill>
    <fill>
      <patternFill patternType="solid">
        <fgColor theme="2" tint="-9.9978637043366805E-2"/>
        <bgColor indexed="64"/>
      </patternFill>
    </fill>
    <fill>
      <patternFill patternType="solid">
        <fgColor theme="3" tint="0.59999389629810485"/>
        <bgColor indexed="64"/>
      </patternFill>
    </fill>
    <fill>
      <patternFill patternType="solid">
        <fgColor theme="7" tint="-0.249977111117893"/>
        <bgColor indexed="64"/>
      </patternFill>
    </fill>
    <fill>
      <patternFill patternType="solid">
        <fgColor theme="7" tint="0.39997558519241921"/>
        <bgColor indexed="64"/>
      </patternFill>
    </fill>
    <fill>
      <patternFill patternType="solid">
        <fgColor theme="4" tint="0.59999389629810485"/>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theme="4"/>
        <bgColor indexed="64"/>
      </patternFill>
    </fill>
    <fill>
      <patternFill patternType="solid">
        <fgColor theme="5"/>
        <bgColor indexed="64"/>
      </patternFill>
    </fill>
    <fill>
      <patternFill patternType="solid">
        <fgColor theme="8" tint="0.39997558519241921"/>
        <bgColor indexed="64"/>
      </patternFill>
    </fill>
    <fill>
      <patternFill patternType="solid">
        <fgColor theme="6"/>
        <bgColor indexed="64"/>
      </patternFill>
    </fill>
    <fill>
      <patternFill patternType="solid">
        <fgColor theme="6" tint="-0.249977111117893"/>
        <bgColor indexed="64"/>
      </patternFill>
    </fill>
    <fill>
      <patternFill patternType="solid">
        <fgColor theme="8" tint="-0.249977111117893"/>
        <bgColor indexed="64"/>
      </patternFill>
    </fill>
    <fill>
      <patternFill patternType="solid">
        <fgColor theme="5" tint="-0.249977111117893"/>
        <bgColor indexed="64"/>
      </patternFill>
    </fill>
    <fill>
      <patternFill patternType="solid">
        <fgColor theme="9" tint="-0.249977111117893"/>
        <bgColor indexed="64"/>
      </patternFill>
    </fill>
    <fill>
      <patternFill patternType="solid">
        <fgColor theme="8"/>
        <bgColor indexed="64"/>
      </patternFill>
    </fill>
    <fill>
      <patternFill patternType="solid">
        <fgColor theme="9"/>
        <bgColor indexed="64"/>
      </patternFill>
    </fill>
    <fill>
      <patternFill patternType="solid">
        <fgColor rgb="FF00B050"/>
        <bgColor indexed="64"/>
      </patternFill>
    </fill>
    <fill>
      <patternFill patternType="solid">
        <fgColor rgb="FFFF0000"/>
        <bgColor indexed="64"/>
      </patternFill>
    </fill>
  </fills>
  <borders count="1">
    <border>
      <left/>
      <right/>
      <top/>
      <bottom/>
      <diagonal/>
    </border>
  </borders>
  <cellStyleXfs count="2">
    <xf numFmtId="0" fontId="0" fillId="0" borderId="0"/>
    <xf numFmtId="0" fontId="2" fillId="0" borderId="0"/>
  </cellStyleXfs>
  <cellXfs count="101">
    <xf numFmtId="0" fontId="0" fillId="0" borderId="0" xfId="0"/>
    <xf numFmtId="0" fontId="3" fillId="0" borderId="0" xfId="1" applyFont="1"/>
    <xf numFmtId="0" fontId="2" fillId="0" borderId="0" xfId="1"/>
    <xf numFmtId="165" fontId="2" fillId="0" borderId="0" xfId="1" applyNumberFormat="1"/>
    <xf numFmtId="1" fontId="2" fillId="0" borderId="0" xfId="1" applyNumberFormat="1"/>
    <xf numFmtId="14" fontId="2" fillId="0" borderId="0" xfId="1" applyNumberFormat="1"/>
    <xf numFmtId="49" fontId="0" fillId="0" borderId="0" xfId="0" applyNumberFormat="1" applyAlignment="1">
      <alignment horizontal="left"/>
    </xf>
    <xf numFmtId="0" fontId="1" fillId="0" borderId="0" xfId="0" applyFont="1"/>
    <xf numFmtId="2" fontId="0" fillId="0" borderId="0" xfId="0" applyNumberFormat="1"/>
    <xf numFmtId="0" fontId="0" fillId="3" borderId="0" xfId="0" applyFill="1"/>
    <xf numFmtId="0" fontId="0" fillId="5" borderId="0" xfId="0" applyFill="1"/>
    <xf numFmtId="49" fontId="0" fillId="5" borderId="0" xfId="0" applyNumberFormat="1" applyFill="1" applyAlignment="1">
      <alignment horizontal="left"/>
    </xf>
    <xf numFmtId="0" fontId="0" fillId="10" borderId="0" xfId="0" applyFill="1"/>
    <xf numFmtId="0" fontId="2" fillId="10" borderId="0" xfId="1" applyFill="1"/>
    <xf numFmtId="164" fontId="2" fillId="10" borderId="0" xfId="1" applyNumberFormat="1" applyFill="1"/>
    <xf numFmtId="165" fontId="2" fillId="10" borderId="0" xfId="1" applyNumberFormat="1" applyFill="1"/>
    <xf numFmtId="1" fontId="2" fillId="10" borderId="0" xfId="1" applyNumberFormat="1" applyFill="1"/>
    <xf numFmtId="49" fontId="0" fillId="10" borderId="0" xfId="0" applyNumberFormat="1" applyFill="1" applyAlignment="1">
      <alignment horizontal="left"/>
    </xf>
    <xf numFmtId="164" fontId="2" fillId="0" borderId="0" xfId="1" applyNumberFormat="1" applyAlignment="1">
      <alignment vertical="center"/>
    </xf>
    <xf numFmtId="14" fontId="2" fillId="10" borderId="0" xfId="1" applyNumberFormat="1" applyFill="1"/>
    <xf numFmtId="49" fontId="4" fillId="0" borderId="0" xfId="0" applyNumberFormat="1" applyFont="1" applyAlignment="1">
      <alignment horizontal="left"/>
    </xf>
    <xf numFmtId="0" fontId="5" fillId="0" borderId="0" xfId="1" applyFont="1"/>
    <xf numFmtId="165" fontId="5" fillId="0" borderId="0" xfId="1" applyNumberFormat="1" applyFont="1"/>
    <xf numFmtId="14" fontId="5" fillId="0" borderId="0" xfId="1" applyNumberFormat="1" applyFont="1"/>
    <xf numFmtId="0" fontId="4" fillId="0" borderId="0" xfId="0" applyFont="1"/>
    <xf numFmtId="14" fontId="2" fillId="0" borderId="0" xfId="1" applyNumberFormat="1" applyAlignment="1">
      <alignment vertical="center"/>
    </xf>
    <xf numFmtId="49" fontId="0" fillId="3" borderId="0" xfId="0" applyNumberFormat="1" applyFill="1" applyAlignment="1">
      <alignment horizontal="left"/>
    </xf>
    <xf numFmtId="0" fontId="2" fillId="3" borderId="0" xfId="1" applyFill="1"/>
    <xf numFmtId="14" fontId="2" fillId="3" borderId="0" xfId="1" applyNumberFormat="1" applyFill="1"/>
    <xf numFmtId="49" fontId="4" fillId="10" borderId="0" xfId="0" applyNumberFormat="1" applyFont="1" applyFill="1" applyAlignment="1">
      <alignment horizontal="left"/>
    </xf>
    <xf numFmtId="0" fontId="5" fillId="10" borderId="0" xfId="1" applyFont="1" applyFill="1"/>
    <xf numFmtId="14" fontId="5" fillId="10" borderId="0" xfId="1" applyNumberFormat="1" applyFont="1" applyFill="1"/>
    <xf numFmtId="0" fontId="2" fillId="5" borderId="0" xfId="1" applyFill="1"/>
    <xf numFmtId="165" fontId="2" fillId="5" borderId="0" xfId="1" applyNumberFormat="1" applyFill="1"/>
    <xf numFmtId="14" fontId="2" fillId="5" borderId="0" xfId="1" applyNumberFormat="1" applyFill="1"/>
    <xf numFmtId="1" fontId="2" fillId="5" borderId="0" xfId="1" applyNumberFormat="1" applyFill="1"/>
    <xf numFmtId="164" fontId="2" fillId="5" borderId="0" xfId="1" applyNumberFormat="1" applyFill="1" applyAlignment="1">
      <alignment vertical="center"/>
    </xf>
    <xf numFmtId="165" fontId="2" fillId="13" borderId="0" xfId="1" applyNumberFormat="1" applyFill="1"/>
    <xf numFmtId="164" fontId="2" fillId="3" borderId="0" xfId="1" applyNumberFormat="1" applyFill="1" applyAlignment="1">
      <alignment vertical="center"/>
    </xf>
    <xf numFmtId="164" fontId="2" fillId="3" borderId="0" xfId="1" applyNumberFormat="1" applyFill="1"/>
    <xf numFmtId="165" fontId="2" fillId="14" borderId="0" xfId="1" applyNumberFormat="1" applyFill="1"/>
    <xf numFmtId="164" fontId="2" fillId="8" borderId="0" xfId="1" applyNumberFormat="1" applyFill="1" applyAlignment="1">
      <alignment vertical="center"/>
    </xf>
    <xf numFmtId="164" fontId="2" fillId="15" borderId="0" xfId="1" applyNumberFormat="1" applyFill="1" applyAlignment="1">
      <alignment vertical="center"/>
    </xf>
    <xf numFmtId="165" fontId="2" fillId="4" borderId="0" xfId="1" applyNumberFormat="1" applyFill="1"/>
    <xf numFmtId="165" fontId="2" fillId="16" borderId="0" xfId="1" applyNumberFormat="1" applyFill="1"/>
    <xf numFmtId="0" fontId="2" fillId="17" borderId="0" xfId="1" applyFill="1"/>
    <xf numFmtId="164" fontId="2" fillId="17" borderId="0" xfId="1" applyNumberFormat="1" applyFill="1" applyAlignment="1">
      <alignment vertical="center"/>
    </xf>
    <xf numFmtId="14" fontId="2" fillId="17" borderId="0" xfId="1" applyNumberFormat="1" applyFill="1"/>
    <xf numFmtId="0" fontId="0" fillId="17" borderId="0" xfId="0" applyFill="1"/>
    <xf numFmtId="165" fontId="2" fillId="17" borderId="0" xfId="1" applyNumberFormat="1" applyFill="1"/>
    <xf numFmtId="164" fontId="2" fillId="18" borderId="0" xfId="1" applyNumberFormat="1" applyFill="1" applyAlignment="1">
      <alignment vertical="center"/>
    </xf>
    <xf numFmtId="164" fontId="2" fillId="9" borderId="0" xfId="1" applyNumberFormat="1" applyFill="1" applyAlignment="1">
      <alignment vertical="center"/>
    </xf>
    <xf numFmtId="164" fontId="2" fillId="2" borderId="0" xfId="1" applyNumberFormat="1" applyFill="1" applyAlignment="1">
      <alignment vertical="center"/>
    </xf>
    <xf numFmtId="164" fontId="2" fillId="11" borderId="0" xfId="1" applyNumberFormat="1" applyFill="1" applyAlignment="1">
      <alignment vertical="center"/>
    </xf>
    <xf numFmtId="164" fontId="2" fillId="21" borderId="0" xfId="1" applyNumberFormat="1" applyFill="1" applyAlignment="1">
      <alignment vertical="center"/>
    </xf>
    <xf numFmtId="165" fontId="2" fillId="22" borderId="0" xfId="1" applyNumberFormat="1" applyFill="1"/>
    <xf numFmtId="165" fontId="2" fillId="19" borderId="0" xfId="1" applyNumberFormat="1" applyFill="1"/>
    <xf numFmtId="165" fontId="2" fillId="20" borderId="0" xfId="1" applyNumberFormat="1" applyFill="1"/>
    <xf numFmtId="165" fontId="2" fillId="7" borderId="0" xfId="1" applyNumberFormat="1" applyFill="1"/>
    <xf numFmtId="165" fontId="2" fillId="11" borderId="0" xfId="1" applyNumberFormat="1" applyFill="1"/>
    <xf numFmtId="165" fontId="2" fillId="9" borderId="0" xfId="1" applyNumberFormat="1" applyFill="1"/>
    <xf numFmtId="165" fontId="2" fillId="2" borderId="0" xfId="1" applyNumberFormat="1" applyFill="1"/>
    <xf numFmtId="165" fontId="2" fillId="26" borderId="0" xfId="1" applyNumberFormat="1" applyFill="1"/>
    <xf numFmtId="165" fontId="2" fillId="18" borderId="0" xfId="1" applyNumberFormat="1" applyFill="1"/>
    <xf numFmtId="164" fontId="2" fillId="23" borderId="0" xfId="1" applyNumberFormat="1" applyFill="1"/>
    <xf numFmtId="165" fontId="5" fillId="27" borderId="0" xfId="1" applyNumberFormat="1" applyFont="1" applyFill="1"/>
    <xf numFmtId="165" fontId="2" fillId="27" borderId="0" xfId="1" applyNumberFormat="1" applyFill="1"/>
    <xf numFmtId="164" fontId="2" fillId="18" borderId="0" xfId="1" applyNumberFormat="1" applyFill="1"/>
    <xf numFmtId="164" fontId="2" fillId="22" borderId="0" xfId="1" applyNumberFormat="1" applyFill="1"/>
    <xf numFmtId="164" fontId="2" fillId="10" borderId="0" xfId="1" applyNumberFormat="1" applyFill="1" applyAlignment="1">
      <alignment vertical="center"/>
    </xf>
    <xf numFmtId="164" fontId="2" fillId="27" borderId="0" xfId="1" applyNumberFormat="1" applyFill="1" applyAlignment="1">
      <alignment vertical="center"/>
    </xf>
    <xf numFmtId="164" fontId="2" fillId="6" borderId="0" xfId="1" applyNumberFormat="1" applyFill="1" applyAlignment="1">
      <alignment vertical="center"/>
    </xf>
    <xf numFmtId="164" fontId="2" fillId="25" borderId="0" xfId="1" applyNumberFormat="1" applyFill="1" applyAlignment="1">
      <alignment vertical="center"/>
    </xf>
    <xf numFmtId="164" fontId="2" fillId="23" borderId="0" xfId="1" applyNumberFormat="1" applyFill="1" applyAlignment="1">
      <alignment vertical="center"/>
    </xf>
    <xf numFmtId="164" fontId="2" fillId="30" borderId="0" xfId="1" applyNumberFormat="1" applyFill="1"/>
    <xf numFmtId="0" fontId="1" fillId="17" borderId="0" xfId="0" applyFont="1" applyFill="1"/>
    <xf numFmtId="164" fontId="2" fillId="28" borderId="0" xfId="1" applyNumberFormat="1" applyFill="1" applyAlignment="1">
      <alignment vertical="center"/>
    </xf>
    <xf numFmtId="164" fontId="2" fillId="29" borderId="0" xfId="1" applyNumberFormat="1" applyFill="1" applyAlignment="1">
      <alignment vertical="center"/>
    </xf>
    <xf numFmtId="164" fontId="2" fillId="7" borderId="0" xfId="1" applyNumberFormat="1" applyFill="1" applyAlignment="1">
      <alignment vertical="center"/>
    </xf>
    <xf numFmtId="164" fontId="2" fillId="24" borderId="0" xfId="1" applyNumberFormat="1" applyFill="1" applyAlignment="1">
      <alignment vertical="center"/>
    </xf>
    <xf numFmtId="164" fontId="2" fillId="12" borderId="0" xfId="1" applyNumberFormat="1" applyFill="1" applyAlignment="1">
      <alignment vertical="center"/>
    </xf>
    <xf numFmtId="164" fontId="2" fillId="30" borderId="0" xfId="1" applyNumberFormat="1" applyFill="1" applyAlignment="1">
      <alignment vertical="center"/>
    </xf>
    <xf numFmtId="164" fontId="2" fillId="31" borderId="0" xfId="1" applyNumberFormat="1" applyFill="1" applyAlignment="1">
      <alignment vertical="center"/>
    </xf>
    <xf numFmtId="0" fontId="2" fillId="31" borderId="0" xfId="1" applyFill="1"/>
    <xf numFmtId="167" fontId="0" fillId="3" borderId="0" xfId="0" applyNumberFormat="1" applyFill="1"/>
    <xf numFmtId="167" fontId="0" fillId="0" borderId="0" xfId="0" applyNumberFormat="1"/>
    <xf numFmtId="49" fontId="0" fillId="32" borderId="0" xfId="0" applyNumberFormat="1" applyFill="1" applyAlignment="1">
      <alignment horizontal="left"/>
    </xf>
    <xf numFmtId="0" fontId="2" fillId="32" borderId="0" xfId="1" applyFill="1"/>
    <xf numFmtId="165" fontId="2" fillId="32" borderId="0" xfId="1" applyNumberFormat="1" applyFill="1"/>
    <xf numFmtId="14" fontId="2" fillId="32" borderId="0" xfId="1" applyNumberFormat="1" applyFill="1"/>
    <xf numFmtId="167" fontId="0" fillId="32" borderId="0" xfId="0" applyNumberFormat="1" applyFill="1"/>
    <xf numFmtId="0" fontId="0" fillId="32" borderId="0" xfId="0" applyFill="1"/>
    <xf numFmtId="164" fontId="2" fillId="32" borderId="0" xfId="1" applyNumberFormat="1" applyFill="1"/>
    <xf numFmtId="0" fontId="0" fillId="0" borderId="0" xfId="0" applyAlignment="1">
      <alignment horizontal="left"/>
    </xf>
    <xf numFmtId="2" fontId="0" fillId="32" borderId="0" xfId="0" applyNumberFormat="1" applyFill="1"/>
    <xf numFmtId="166" fontId="3" fillId="0" borderId="0" xfId="1" applyNumberFormat="1" applyFont="1"/>
    <xf numFmtId="166" fontId="2" fillId="0" borderId="0" xfId="1" applyNumberFormat="1"/>
    <xf numFmtId="14" fontId="0" fillId="0" borderId="0" xfId="0" applyNumberFormat="1"/>
    <xf numFmtId="166" fontId="0" fillId="0" borderId="0" xfId="0" applyNumberFormat="1"/>
    <xf numFmtId="14" fontId="3" fillId="0" borderId="0" xfId="1" applyNumberFormat="1" applyFont="1"/>
    <xf numFmtId="0" fontId="3" fillId="0" borderId="0" xfId="1" applyFont="1" applyFill="1"/>
  </cellXfs>
  <cellStyles count="2">
    <cellStyle name="Excel Built-in Normal" xfId="1" xr:uid="{00000000-0005-0000-0000-000000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 Id="rId9"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pcadmin\Dropbox\thandi\lion_capture_history\lion_ch_30mar2016\lion_id_2014_28mar16_tm.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CC"/>
      <sheetName val="NHK"/>
      <sheetName val="CH"/>
      <sheetName val="LM"/>
      <sheetName val="NS"/>
      <sheetName val="Coa"/>
      <sheetName val="allprides"/>
    </sheetNames>
    <sheetDataSet>
      <sheetData sheetId="0" refreshError="1"/>
      <sheetData sheetId="1" refreshError="1"/>
      <sheetData sheetId="2" refreshError="1"/>
      <sheetData sheetId="3" refreshError="1"/>
      <sheetData sheetId="4" refreshError="1"/>
      <sheetData sheetId="5" refreshError="1"/>
      <sheetData sheetId="6" refreshError="1">
        <row r="2">
          <cell r="A2" t="str">
            <v>ELI-583</v>
          </cell>
          <cell r="B2" t="str">
            <v>Big Pride</v>
          </cell>
          <cell r="C2" t="str">
            <v>Big Pride 2013 Cub 1</v>
          </cell>
          <cell r="D2">
            <v>0</v>
          </cell>
          <cell r="E2">
            <v>0</v>
          </cell>
          <cell r="F2">
            <v>0</v>
          </cell>
          <cell r="G2">
            <v>1</v>
          </cell>
          <cell r="H2">
            <v>1</v>
          </cell>
          <cell r="I2">
            <v>1</v>
          </cell>
          <cell r="J2">
            <v>0</v>
          </cell>
          <cell r="K2">
            <v>0</v>
          </cell>
          <cell r="L2">
            <v>0</v>
          </cell>
          <cell r="M2">
            <v>0</v>
          </cell>
          <cell r="N2">
            <v>0</v>
          </cell>
          <cell r="O2">
            <v>0</v>
          </cell>
          <cell r="P2">
            <v>1</v>
          </cell>
          <cell r="Q2">
            <v>1</v>
          </cell>
          <cell r="R2">
            <v>1</v>
          </cell>
          <cell r="S2">
            <v>1</v>
          </cell>
          <cell r="T2">
            <v>2013</v>
          </cell>
          <cell r="U2">
            <v>7</v>
          </cell>
          <cell r="V2">
            <v>0</v>
          </cell>
          <cell r="W2">
            <v>1</v>
          </cell>
          <cell r="X2">
            <v>1</v>
          </cell>
          <cell r="Y2">
            <v>1</v>
          </cell>
        </row>
        <row r="3">
          <cell r="A3" t="str">
            <v>ELI-584</v>
          </cell>
          <cell r="B3" t="str">
            <v>Big Pride</v>
          </cell>
          <cell r="C3" t="str">
            <v>Big Pride 2013 Cub 2</v>
          </cell>
          <cell r="D3">
            <v>0</v>
          </cell>
          <cell r="E3">
            <v>0</v>
          </cell>
          <cell r="F3">
            <v>0</v>
          </cell>
          <cell r="G3">
            <v>1</v>
          </cell>
          <cell r="H3">
            <v>1</v>
          </cell>
          <cell r="I3">
            <v>1</v>
          </cell>
          <cell r="J3">
            <v>1</v>
          </cell>
          <cell r="K3">
            <v>1</v>
          </cell>
          <cell r="L3">
            <v>1</v>
          </cell>
          <cell r="M3">
            <v>1</v>
          </cell>
          <cell r="N3">
            <v>1</v>
          </cell>
          <cell r="O3">
            <v>0</v>
          </cell>
          <cell r="P3">
            <v>1</v>
          </cell>
          <cell r="Q3">
            <v>0</v>
          </cell>
          <cell r="R3">
            <v>0</v>
          </cell>
          <cell r="S3">
            <v>1</v>
          </cell>
          <cell r="T3">
            <v>2013</v>
          </cell>
          <cell r="U3">
            <v>7</v>
          </cell>
          <cell r="V3">
            <v>0</v>
          </cell>
          <cell r="W3">
            <v>1</v>
          </cell>
          <cell r="X3">
            <v>1</v>
          </cell>
          <cell r="Y3">
            <v>0</v>
          </cell>
        </row>
        <row r="4">
          <cell r="A4" t="str">
            <v>ELI-585</v>
          </cell>
          <cell r="B4" t="str">
            <v>Big Pride</v>
          </cell>
          <cell r="C4" t="str">
            <v>Big Pride 2013 Cub 3</v>
          </cell>
          <cell r="D4">
            <v>0</v>
          </cell>
          <cell r="E4">
            <v>0</v>
          </cell>
          <cell r="F4">
            <v>0</v>
          </cell>
          <cell r="G4">
            <v>1</v>
          </cell>
          <cell r="H4">
            <v>1</v>
          </cell>
          <cell r="I4">
            <v>1</v>
          </cell>
          <cell r="J4">
            <v>1</v>
          </cell>
          <cell r="K4">
            <v>1</v>
          </cell>
          <cell r="L4">
            <v>1</v>
          </cell>
          <cell r="M4">
            <v>1</v>
          </cell>
          <cell r="N4">
            <v>1</v>
          </cell>
          <cell r="O4">
            <v>0</v>
          </cell>
          <cell r="P4">
            <v>1</v>
          </cell>
          <cell r="Q4">
            <v>0</v>
          </cell>
          <cell r="R4">
            <v>0</v>
          </cell>
          <cell r="S4">
            <v>1</v>
          </cell>
          <cell r="T4">
            <v>2013</v>
          </cell>
          <cell r="U4">
            <v>7</v>
          </cell>
          <cell r="V4">
            <v>0</v>
          </cell>
          <cell r="W4">
            <v>1</v>
          </cell>
          <cell r="X4">
            <v>1</v>
          </cell>
          <cell r="Y4">
            <v>0</v>
          </cell>
        </row>
        <row r="5">
          <cell r="A5" t="str">
            <v>ELI-586</v>
          </cell>
          <cell r="B5" t="str">
            <v>Big Pride</v>
          </cell>
          <cell r="C5" t="str">
            <v>Big Pride 2013 Cub 4</v>
          </cell>
          <cell r="D5">
            <v>0</v>
          </cell>
          <cell r="E5">
            <v>0</v>
          </cell>
          <cell r="F5">
            <v>0</v>
          </cell>
          <cell r="G5">
            <v>1</v>
          </cell>
          <cell r="H5">
            <v>1</v>
          </cell>
          <cell r="I5">
            <v>1</v>
          </cell>
          <cell r="J5">
            <v>1</v>
          </cell>
          <cell r="K5">
            <v>1</v>
          </cell>
          <cell r="L5">
            <v>1</v>
          </cell>
          <cell r="M5">
            <v>1</v>
          </cell>
          <cell r="N5">
            <v>1</v>
          </cell>
          <cell r="O5">
            <v>0</v>
          </cell>
          <cell r="P5">
            <v>1</v>
          </cell>
          <cell r="Q5">
            <v>1</v>
          </cell>
          <cell r="R5">
            <v>0</v>
          </cell>
          <cell r="S5">
            <v>1</v>
          </cell>
          <cell r="T5">
            <v>2013</v>
          </cell>
          <cell r="U5">
            <v>7</v>
          </cell>
          <cell r="V5">
            <v>0</v>
          </cell>
          <cell r="W5">
            <v>1</v>
          </cell>
          <cell r="X5">
            <v>1</v>
          </cell>
          <cell r="Y5">
            <v>1</v>
          </cell>
        </row>
        <row r="6">
          <cell r="A6" t="str">
            <v>ELI-587</v>
          </cell>
          <cell r="B6" t="str">
            <v>Big Pride</v>
          </cell>
          <cell r="C6" t="str">
            <v>Big Pride 2013 Cub 5</v>
          </cell>
          <cell r="D6">
            <v>0</v>
          </cell>
          <cell r="E6">
            <v>0</v>
          </cell>
          <cell r="F6">
            <v>0</v>
          </cell>
          <cell r="G6">
            <v>1</v>
          </cell>
          <cell r="H6">
            <v>1</v>
          </cell>
          <cell r="I6">
            <v>1</v>
          </cell>
          <cell r="J6">
            <v>1</v>
          </cell>
          <cell r="K6">
            <v>1</v>
          </cell>
          <cell r="L6">
            <v>1</v>
          </cell>
          <cell r="M6">
            <v>1</v>
          </cell>
          <cell r="N6">
            <v>1</v>
          </cell>
          <cell r="O6">
            <v>0</v>
          </cell>
          <cell r="P6">
            <v>1</v>
          </cell>
          <cell r="Q6">
            <v>0</v>
          </cell>
          <cell r="R6">
            <v>0</v>
          </cell>
          <cell r="S6">
            <v>1</v>
          </cell>
          <cell r="T6">
            <v>2013</v>
          </cell>
          <cell r="U6">
            <v>7</v>
          </cell>
          <cell r="V6">
            <v>0</v>
          </cell>
          <cell r="W6">
            <v>1</v>
          </cell>
          <cell r="X6">
            <v>1</v>
          </cell>
          <cell r="Y6">
            <v>0</v>
          </cell>
        </row>
        <row r="7">
          <cell r="A7" t="str">
            <v>ELI-590</v>
          </cell>
          <cell r="B7" t="str">
            <v>Big Pride</v>
          </cell>
          <cell r="C7" t="str">
            <v>Big Pride 2013 Cub 6</v>
          </cell>
          <cell r="D7">
            <v>0</v>
          </cell>
          <cell r="E7">
            <v>0</v>
          </cell>
          <cell r="F7">
            <v>0</v>
          </cell>
          <cell r="G7">
            <v>1</v>
          </cell>
          <cell r="H7">
            <v>1</v>
          </cell>
          <cell r="I7">
            <v>1</v>
          </cell>
          <cell r="J7">
            <v>1</v>
          </cell>
          <cell r="K7">
            <v>1</v>
          </cell>
          <cell r="L7">
            <v>1</v>
          </cell>
          <cell r="M7">
            <v>1</v>
          </cell>
          <cell r="N7">
            <v>1</v>
          </cell>
          <cell r="O7">
            <v>0</v>
          </cell>
          <cell r="P7">
            <v>1</v>
          </cell>
          <cell r="Q7">
            <v>0</v>
          </cell>
          <cell r="R7">
            <v>0</v>
          </cell>
          <cell r="S7">
            <v>1</v>
          </cell>
          <cell r="T7">
            <v>2013</v>
          </cell>
          <cell r="U7">
            <v>4</v>
          </cell>
          <cell r="V7">
            <v>0</v>
          </cell>
          <cell r="W7">
            <v>1</v>
          </cell>
          <cell r="X7">
            <v>1</v>
          </cell>
          <cell r="Y7">
            <v>0</v>
          </cell>
        </row>
        <row r="8">
          <cell r="A8" t="str">
            <v>ELI-592</v>
          </cell>
          <cell r="B8" t="str">
            <v>Big Pride</v>
          </cell>
          <cell r="C8" t="str">
            <v>Big Pride 2013 Cub 8</v>
          </cell>
          <cell r="D8">
            <v>0</v>
          </cell>
          <cell r="E8">
            <v>0</v>
          </cell>
          <cell r="F8">
            <v>0</v>
          </cell>
          <cell r="G8">
            <v>1</v>
          </cell>
          <cell r="H8">
            <v>1</v>
          </cell>
          <cell r="I8">
            <v>1</v>
          </cell>
          <cell r="J8">
            <v>1</v>
          </cell>
          <cell r="K8">
            <v>1</v>
          </cell>
          <cell r="L8">
            <v>1</v>
          </cell>
          <cell r="M8">
            <v>1</v>
          </cell>
          <cell r="N8">
            <v>1</v>
          </cell>
          <cell r="O8">
            <v>0</v>
          </cell>
          <cell r="P8">
            <v>1</v>
          </cell>
          <cell r="Q8">
            <v>0</v>
          </cell>
          <cell r="R8">
            <v>0</v>
          </cell>
          <cell r="S8">
            <v>1</v>
          </cell>
          <cell r="T8">
            <v>2013</v>
          </cell>
          <cell r="U8">
            <v>4</v>
          </cell>
          <cell r="V8">
            <v>0</v>
          </cell>
          <cell r="W8">
            <v>1</v>
          </cell>
          <cell r="X8">
            <v>1</v>
          </cell>
          <cell r="Y8">
            <v>0</v>
          </cell>
        </row>
        <row r="9">
          <cell r="A9" t="str">
            <v>ELI-593</v>
          </cell>
          <cell r="B9" t="str">
            <v>Big Pride</v>
          </cell>
          <cell r="C9" t="str">
            <v>Big Pride 2013 Cub 9</v>
          </cell>
          <cell r="D9">
            <v>0</v>
          </cell>
          <cell r="E9">
            <v>0</v>
          </cell>
          <cell r="F9">
            <v>0</v>
          </cell>
          <cell r="G9">
            <v>1</v>
          </cell>
          <cell r="H9">
            <v>1</v>
          </cell>
          <cell r="I9">
            <v>1</v>
          </cell>
          <cell r="J9">
            <v>1</v>
          </cell>
          <cell r="K9">
            <v>1</v>
          </cell>
          <cell r="L9">
            <v>1</v>
          </cell>
          <cell r="M9">
            <v>1</v>
          </cell>
          <cell r="N9">
            <v>1</v>
          </cell>
          <cell r="O9">
            <v>0</v>
          </cell>
          <cell r="P9">
            <v>1</v>
          </cell>
          <cell r="Q9">
            <v>1</v>
          </cell>
          <cell r="R9">
            <v>0</v>
          </cell>
          <cell r="S9">
            <v>1</v>
          </cell>
          <cell r="T9">
            <v>2013</v>
          </cell>
          <cell r="U9">
            <v>7</v>
          </cell>
          <cell r="V9">
            <v>0</v>
          </cell>
          <cell r="W9">
            <v>1</v>
          </cell>
          <cell r="X9">
            <v>1</v>
          </cell>
          <cell r="Y9">
            <v>1</v>
          </cell>
        </row>
        <row r="10">
          <cell r="A10" t="str">
            <v>ELI-594</v>
          </cell>
          <cell r="B10" t="str">
            <v>Big Pride</v>
          </cell>
          <cell r="C10" t="str">
            <v>Big Pride 2013 Cub 10</v>
          </cell>
          <cell r="D10">
            <v>0</v>
          </cell>
          <cell r="E10">
            <v>0</v>
          </cell>
          <cell r="F10">
            <v>0</v>
          </cell>
          <cell r="G10">
            <v>1</v>
          </cell>
          <cell r="H10">
            <v>1</v>
          </cell>
          <cell r="I10">
            <v>1</v>
          </cell>
          <cell r="J10">
            <v>1</v>
          </cell>
          <cell r="K10">
            <v>1</v>
          </cell>
          <cell r="L10">
            <v>1</v>
          </cell>
          <cell r="M10">
            <v>1</v>
          </cell>
          <cell r="N10">
            <v>1</v>
          </cell>
          <cell r="O10">
            <v>0</v>
          </cell>
          <cell r="P10">
            <v>1</v>
          </cell>
          <cell r="Q10">
            <v>0</v>
          </cell>
          <cell r="R10">
            <v>0</v>
          </cell>
          <cell r="S10">
            <v>1</v>
          </cell>
          <cell r="T10">
            <v>2013</v>
          </cell>
          <cell r="U10">
            <v>7</v>
          </cell>
          <cell r="V10">
            <v>0</v>
          </cell>
          <cell r="W10">
            <v>1</v>
          </cell>
          <cell r="X10">
            <v>1</v>
          </cell>
          <cell r="Y10">
            <v>0</v>
          </cell>
        </row>
        <row r="11">
          <cell r="A11" t="str">
            <v>ELI-595</v>
          </cell>
          <cell r="B11" t="str">
            <v>Big Pride</v>
          </cell>
          <cell r="C11" t="str">
            <v>Big Pride 2013 Cub 11</v>
          </cell>
          <cell r="D11">
            <v>0</v>
          </cell>
          <cell r="E11">
            <v>0</v>
          </cell>
          <cell r="F11">
            <v>0</v>
          </cell>
          <cell r="G11">
            <v>1</v>
          </cell>
          <cell r="H11">
            <v>1</v>
          </cell>
          <cell r="I11">
            <v>1</v>
          </cell>
          <cell r="J11">
            <v>1</v>
          </cell>
          <cell r="K11">
            <v>1</v>
          </cell>
          <cell r="L11">
            <v>1</v>
          </cell>
          <cell r="M11">
            <v>1</v>
          </cell>
          <cell r="N11">
            <v>1</v>
          </cell>
          <cell r="O11">
            <v>1</v>
          </cell>
          <cell r="P11">
            <v>1</v>
          </cell>
          <cell r="Q11">
            <v>1</v>
          </cell>
          <cell r="R11">
            <v>1</v>
          </cell>
          <cell r="S11">
            <v>1</v>
          </cell>
          <cell r="T11">
            <v>2013</v>
          </cell>
          <cell r="U11">
            <v>7</v>
          </cell>
          <cell r="V11">
            <v>0</v>
          </cell>
          <cell r="W11">
            <v>1</v>
          </cell>
          <cell r="X11">
            <v>1</v>
          </cell>
          <cell r="Y11">
            <v>1</v>
          </cell>
        </row>
        <row r="12">
          <cell r="A12" t="str">
            <v>ELI-243</v>
          </cell>
          <cell r="B12" t="str">
            <v>Big Pride</v>
          </cell>
          <cell r="C12" t="str">
            <v>Big Pride F01</v>
          </cell>
          <cell r="D12">
            <v>0</v>
          </cell>
          <cell r="E12">
            <v>1</v>
          </cell>
          <cell r="F12">
            <v>0</v>
          </cell>
          <cell r="G12">
            <v>1</v>
          </cell>
          <cell r="H12">
            <v>1</v>
          </cell>
          <cell r="I12">
            <v>1</v>
          </cell>
          <cell r="J12">
            <v>1</v>
          </cell>
          <cell r="K12">
            <v>1</v>
          </cell>
          <cell r="L12">
            <v>1</v>
          </cell>
          <cell r="M12">
            <v>1</v>
          </cell>
          <cell r="N12">
            <v>1</v>
          </cell>
          <cell r="O12">
            <v>0</v>
          </cell>
          <cell r="P12">
            <v>1</v>
          </cell>
          <cell r="Q12">
            <v>0</v>
          </cell>
          <cell r="R12">
            <v>0</v>
          </cell>
          <cell r="S12">
            <v>1</v>
          </cell>
          <cell r="T12">
            <v>2008</v>
          </cell>
          <cell r="U12">
            <v>10</v>
          </cell>
          <cell r="V12">
            <v>3</v>
          </cell>
          <cell r="W12">
            <v>1</v>
          </cell>
          <cell r="X12">
            <v>1</v>
          </cell>
          <cell r="Y12">
            <v>0</v>
          </cell>
        </row>
        <row r="13">
          <cell r="A13" t="str">
            <v>ELI-242</v>
          </cell>
          <cell r="B13" t="str">
            <v>Big Pride</v>
          </cell>
          <cell r="C13" t="str">
            <v>Big Pride F02</v>
          </cell>
          <cell r="D13">
            <v>0</v>
          </cell>
          <cell r="E13">
            <v>1</v>
          </cell>
          <cell r="F13">
            <v>0</v>
          </cell>
          <cell r="G13">
            <v>1</v>
          </cell>
          <cell r="H13">
            <v>1</v>
          </cell>
          <cell r="I13">
            <v>1</v>
          </cell>
          <cell r="J13">
            <v>1</v>
          </cell>
          <cell r="K13">
            <v>1</v>
          </cell>
          <cell r="L13">
            <v>0</v>
          </cell>
          <cell r="M13">
            <v>1</v>
          </cell>
          <cell r="N13">
            <v>1</v>
          </cell>
          <cell r="O13">
            <v>0</v>
          </cell>
          <cell r="P13">
            <v>1</v>
          </cell>
          <cell r="Q13">
            <v>0</v>
          </cell>
          <cell r="R13">
            <v>0</v>
          </cell>
          <cell r="S13">
            <v>1</v>
          </cell>
          <cell r="T13">
            <v>2008</v>
          </cell>
          <cell r="U13">
            <v>10</v>
          </cell>
          <cell r="V13">
            <v>6</v>
          </cell>
          <cell r="W13">
            <v>1</v>
          </cell>
          <cell r="X13">
            <v>1</v>
          </cell>
          <cell r="Y13">
            <v>0</v>
          </cell>
        </row>
        <row r="14">
          <cell r="A14" t="str">
            <v>ELI-224</v>
          </cell>
          <cell r="B14" t="str">
            <v>Big Pride</v>
          </cell>
          <cell r="C14" t="str">
            <v>Big Pride F04</v>
          </cell>
          <cell r="D14">
            <v>0</v>
          </cell>
          <cell r="E14">
            <v>0</v>
          </cell>
          <cell r="F14">
            <v>0</v>
          </cell>
          <cell r="G14">
            <v>1</v>
          </cell>
          <cell r="H14">
            <v>1</v>
          </cell>
          <cell r="I14">
            <v>1</v>
          </cell>
          <cell r="J14">
            <v>1</v>
          </cell>
          <cell r="K14">
            <v>0</v>
          </cell>
          <cell r="L14">
            <v>1</v>
          </cell>
          <cell r="M14">
            <v>1</v>
          </cell>
          <cell r="N14">
            <v>1</v>
          </cell>
          <cell r="O14">
            <v>0</v>
          </cell>
          <cell r="P14">
            <v>1</v>
          </cell>
          <cell r="Q14">
            <v>0</v>
          </cell>
          <cell r="R14">
            <v>0</v>
          </cell>
          <cell r="S14">
            <v>1</v>
          </cell>
          <cell r="T14">
            <v>2009</v>
          </cell>
          <cell r="U14">
            <v>4</v>
          </cell>
          <cell r="V14">
            <v>4</v>
          </cell>
          <cell r="W14">
            <v>1</v>
          </cell>
          <cell r="X14">
            <v>1</v>
          </cell>
          <cell r="Y14">
            <v>0</v>
          </cell>
        </row>
        <row r="15">
          <cell r="A15" t="str">
            <v>ELI-245</v>
          </cell>
          <cell r="B15" t="str">
            <v>Big Pride</v>
          </cell>
          <cell r="C15" t="str">
            <v>Big Pride F05</v>
          </cell>
          <cell r="D15">
            <v>0</v>
          </cell>
          <cell r="E15">
            <v>0</v>
          </cell>
          <cell r="F15">
            <v>0</v>
          </cell>
          <cell r="G15">
            <v>1</v>
          </cell>
          <cell r="H15">
            <v>1</v>
          </cell>
          <cell r="I15">
            <v>1</v>
          </cell>
          <cell r="J15">
            <v>1</v>
          </cell>
          <cell r="K15">
            <v>0</v>
          </cell>
          <cell r="L15">
            <v>1</v>
          </cell>
          <cell r="M15">
            <v>1</v>
          </cell>
          <cell r="N15">
            <v>1</v>
          </cell>
          <cell r="O15">
            <v>0</v>
          </cell>
          <cell r="P15">
            <v>1</v>
          </cell>
          <cell r="Q15">
            <v>0</v>
          </cell>
          <cell r="R15">
            <v>0</v>
          </cell>
          <cell r="S15">
            <v>1</v>
          </cell>
          <cell r="T15">
            <v>2008</v>
          </cell>
          <cell r="U15">
            <v>10</v>
          </cell>
          <cell r="V15">
            <v>1</v>
          </cell>
          <cell r="W15">
            <v>1</v>
          </cell>
          <cell r="X15">
            <v>1</v>
          </cell>
          <cell r="Y15">
            <v>0</v>
          </cell>
        </row>
        <row r="16">
          <cell r="A16" t="str">
            <v>ELI-223</v>
          </cell>
          <cell r="B16" t="str">
            <v>Big Pride</v>
          </cell>
          <cell r="C16" t="str">
            <v>Big Pride F06</v>
          </cell>
          <cell r="D16">
            <v>0</v>
          </cell>
          <cell r="E16">
            <v>0</v>
          </cell>
          <cell r="F16">
            <v>0</v>
          </cell>
          <cell r="G16">
            <v>1</v>
          </cell>
          <cell r="H16">
            <v>1</v>
          </cell>
          <cell r="I16">
            <v>1</v>
          </cell>
          <cell r="J16">
            <v>1</v>
          </cell>
          <cell r="K16">
            <v>1</v>
          </cell>
          <cell r="L16">
            <v>1</v>
          </cell>
          <cell r="M16">
            <v>1</v>
          </cell>
          <cell r="N16">
            <v>1</v>
          </cell>
          <cell r="O16">
            <v>0</v>
          </cell>
          <cell r="P16">
            <v>1</v>
          </cell>
          <cell r="Q16">
            <v>0</v>
          </cell>
          <cell r="R16">
            <v>0</v>
          </cell>
          <cell r="S16">
            <v>1</v>
          </cell>
          <cell r="T16">
            <v>2008</v>
          </cell>
          <cell r="U16">
            <v>10</v>
          </cell>
          <cell r="V16">
            <v>1</v>
          </cell>
          <cell r="W16">
            <v>1</v>
          </cell>
          <cell r="X16">
            <v>1</v>
          </cell>
          <cell r="Y16">
            <v>0</v>
          </cell>
        </row>
        <row r="17">
          <cell r="A17" t="str">
            <v>ELI-220</v>
          </cell>
          <cell r="B17" t="str">
            <v>Big Pride</v>
          </cell>
          <cell r="C17" t="str">
            <v>Big Pride F07</v>
          </cell>
          <cell r="D17">
            <v>0</v>
          </cell>
          <cell r="E17">
            <v>0</v>
          </cell>
          <cell r="F17">
            <v>0</v>
          </cell>
          <cell r="G17">
            <v>1</v>
          </cell>
          <cell r="H17">
            <v>1</v>
          </cell>
          <cell r="I17">
            <v>1</v>
          </cell>
          <cell r="J17">
            <v>1</v>
          </cell>
          <cell r="K17">
            <v>1</v>
          </cell>
          <cell r="L17">
            <v>1</v>
          </cell>
          <cell r="M17">
            <v>1</v>
          </cell>
          <cell r="N17">
            <v>1</v>
          </cell>
          <cell r="O17">
            <v>0</v>
          </cell>
          <cell r="P17">
            <v>1</v>
          </cell>
          <cell r="Q17">
            <v>0</v>
          </cell>
          <cell r="R17">
            <v>0</v>
          </cell>
          <cell r="S17">
            <v>1</v>
          </cell>
          <cell r="T17">
            <v>2008</v>
          </cell>
          <cell r="U17">
            <v>10</v>
          </cell>
          <cell r="V17">
            <v>0</v>
          </cell>
          <cell r="W17">
            <v>1</v>
          </cell>
          <cell r="X17">
            <v>1</v>
          </cell>
          <cell r="Y17">
            <v>0</v>
          </cell>
        </row>
        <row r="18">
          <cell r="A18" t="str">
            <v>ELI-218</v>
          </cell>
          <cell r="B18" t="str">
            <v>Big Pride</v>
          </cell>
          <cell r="C18" t="str">
            <v>Big Pride F08</v>
          </cell>
          <cell r="D18">
            <v>0</v>
          </cell>
          <cell r="E18">
            <v>0</v>
          </cell>
          <cell r="F18">
            <v>0</v>
          </cell>
          <cell r="G18">
            <v>1</v>
          </cell>
          <cell r="H18">
            <v>1</v>
          </cell>
          <cell r="I18">
            <v>1</v>
          </cell>
          <cell r="J18">
            <v>1</v>
          </cell>
          <cell r="K18">
            <v>1</v>
          </cell>
          <cell r="L18">
            <v>1</v>
          </cell>
          <cell r="M18">
            <v>1</v>
          </cell>
          <cell r="N18">
            <v>1</v>
          </cell>
          <cell r="O18">
            <v>1</v>
          </cell>
          <cell r="P18">
            <v>1</v>
          </cell>
          <cell r="Q18">
            <v>0</v>
          </cell>
          <cell r="R18">
            <v>0</v>
          </cell>
          <cell r="S18">
            <v>1</v>
          </cell>
          <cell r="T18">
            <v>2009</v>
          </cell>
          <cell r="U18">
            <v>4</v>
          </cell>
          <cell r="V18">
            <v>1</v>
          </cell>
          <cell r="W18">
            <v>1</v>
          </cell>
          <cell r="X18">
            <v>1</v>
          </cell>
          <cell r="Y18">
            <v>0</v>
          </cell>
        </row>
        <row r="19">
          <cell r="A19" t="str">
            <v>ELI-219</v>
          </cell>
          <cell r="B19" t="str">
            <v>Big Pride</v>
          </cell>
          <cell r="C19" t="str">
            <v>Big Pride F10</v>
          </cell>
          <cell r="D19">
            <v>0</v>
          </cell>
          <cell r="E19">
            <v>0</v>
          </cell>
          <cell r="F19">
            <v>0</v>
          </cell>
          <cell r="G19">
            <v>1</v>
          </cell>
          <cell r="H19">
            <v>1</v>
          </cell>
          <cell r="I19">
            <v>1</v>
          </cell>
          <cell r="J19">
            <v>1</v>
          </cell>
          <cell r="K19">
            <v>1</v>
          </cell>
          <cell r="L19">
            <v>1</v>
          </cell>
          <cell r="M19">
            <v>1</v>
          </cell>
          <cell r="N19">
            <v>1</v>
          </cell>
          <cell r="O19">
            <v>0</v>
          </cell>
          <cell r="P19">
            <v>1</v>
          </cell>
          <cell r="Q19">
            <v>0</v>
          </cell>
          <cell r="R19">
            <v>0</v>
          </cell>
          <cell r="S19">
            <v>1</v>
          </cell>
          <cell r="T19">
            <v>2008</v>
          </cell>
          <cell r="U19">
            <v>10</v>
          </cell>
          <cell r="V19">
            <v>0</v>
          </cell>
          <cell r="W19">
            <v>1</v>
          </cell>
          <cell r="X19">
            <v>1</v>
          </cell>
          <cell r="Y19">
            <v>0</v>
          </cell>
        </row>
        <row r="20">
          <cell r="A20" t="str">
            <v>ELI-765</v>
          </cell>
          <cell r="B20" t="str">
            <v>Big Pride</v>
          </cell>
          <cell r="C20" t="str">
            <v>2014 Cub 1</v>
          </cell>
          <cell r="D20">
            <v>0</v>
          </cell>
          <cell r="E20">
            <v>0</v>
          </cell>
          <cell r="F20">
            <v>0</v>
          </cell>
          <cell r="G20">
            <v>1</v>
          </cell>
          <cell r="H20">
            <v>0</v>
          </cell>
          <cell r="I20">
            <v>0</v>
          </cell>
          <cell r="J20">
            <v>1</v>
          </cell>
          <cell r="K20">
            <v>0</v>
          </cell>
          <cell r="L20">
            <v>1</v>
          </cell>
          <cell r="M20">
            <v>1</v>
          </cell>
          <cell r="N20">
            <v>1</v>
          </cell>
          <cell r="O20">
            <v>0</v>
          </cell>
          <cell r="P20">
            <v>1</v>
          </cell>
          <cell r="Q20">
            <v>1</v>
          </cell>
          <cell r="R20">
            <v>0</v>
          </cell>
          <cell r="S20">
            <v>1</v>
          </cell>
          <cell r="T20">
            <v>2014</v>
          </cell>
          <cell r="U20">
            <v>4</v>
          </cell>
          <cell r="V20">
            <v>0</v>
          </cell>
          <cell r="W20">
            <v>1</v>
          </cell>
          <cell r="X20">
            <v>1</v>
          </cell>
          <cell r="Y20">
            <v>1</v>
          </cell>
        </row>
        <row r="21">
          <cell r="A21" t="str">
            <v>ELI-766</v>
          </cell>
          <cell r="B21" t="str">
            <v>Big Pride</v>
          </cell>
          <cell r="C21" t="str">
            <v>2014 Cub 2</v>
          </cell>
          <cell r="D21">
            <v>0</v>
          </cell>
          <cell r="E21">
            <v>0</v>
          </cell>
          <cell r="F21">
            <v>0</v>
          </cell>
          <cell r="G21">
            <v>1</v>
          </cell>
          <cell r="H21">
            <v>0</v>
          </cell>
          <cell r="I21">
            <v>0</v>
          </cell>
          <cell r="J21">
            <v>1</v>
          </cell>
          <cell r="K21">
            <v>0</v>
          </cell>
          <cell r="L21">
            <v>1</v>
          </cell>
          <cell r="M21">
            <v>1</v>
          </cell>
          <cell r="N21">
            <v>1</v>
          </cell>
          <cell r="O21">
            <v>0</v>
          </cell>
          <cell r="P21">
            <v>1</v>
          </cell>
          <cell r="Q21">
            <v>1</v>
          </cell>
          <cell r="R21">
            <v>0</v>
          </cell>
          <cell r="S21">
            <v>1</v>
          </cell>
          <cell r="T21">
            <v>2014</v>
          </cell>
          <cell r="U21">
            <v>4</v>
          </cell>
          <cell r="V21">
            <v>0</v>
          </cell>
          <cell r="W21">
            <v>1</v>
          </cell>
          <cell r="X21">
            <v>1</v>
          </cell>
          <cell r="Y21">
            <v>1</v>
          </cell>
        </row>
        <row r="22">
          <cell r="A22" t="str">
            <v>ELI-767</v>
          </cell>
          <cell r="B22" t="str">
            <v>Big Pride</v>
          </cell>
          <cell r="C22" t="str">
            <v>2014 Cub 3</v>
          </cell>
          <cell r="D22">
            <v>0</v>
          </cell>
          <cell r="E22">
            <v>0</v>
          </cell>
          <cell r="F22">
            <v>0</v>
          </cell>
          <cell r="G22">
            <v>1</v>
          </cell>
          <cell r="H22">
            <v>0</v>
          </cell>
          <cell r="I22">
            <v>0</v>
          </cell>
          <cell r="J22">
            <v>1</v>
          </cell>
          <cell r="K22">
            <v>0</v>
          </cell>
          <cell r="L22">
            <v>1</v>
          </cell>
          <cell r="M22">
            <v>1</v>
          </cell>
          <cell r="N22">
            <v>1</v>
          </cell>
          <cell r="O22">
            <v>0</v>
          </cell>
          <cell r="P22">
            <v>1</v>
          </cell>
          <cell r="Q22">
            <v>1</v>
          </cell>
          <cell r="R22">
            <v>1</v>
          </cell>
          <cell r="S22">
            <v>1</v>
          </cell>
          <cell r="T22">
            <v>2014</v>
          </cell>
          <cell r="U22">
            <v>4</v>
          </cell>
          <cell r="V22">
            <v>0</v>
          </cell>
          <cell r="W22">
            <v>1</v>
          </cell>
          <cell r="X22">
            <v>1</v>
          </cell>
          <cell r="Y22">
            <v>1</v>
          </cell>
        </row>
        <row r="23">
          <cell r="A23" t="str">
            <v>ELI-768</v>
          </cell>
          <cell r="B23" t="str">
            <v>Big Pride</v>
          </cell>
          <cell r="C23" t="str">
            <v>2014 Cub 4</v>
          </cell>
          <cell r="D23">
            <v>0</v>
          </cell>
          <cell r="E23">
            <v>0</v>
          </cell>
          <cell r="F23">
            <v>0</v>
          </cell>
          <cell r="G23">
            <v>1</v>
          </cell>
          <cell r="H23">
            <v>0</v>
          </cell>
          <cell r="I23">
            <v>0</v>
          </cell>
          <cell r="J23">
            <v>1</v>
          </cell>
          <cell r="K23">
            <v>0</v>
          </cell>
          <cell r="L23">
            <v>1</v>
          </cell>
          <cell r="M23">
            <v>1</v>
          </cell>
          <cell r="N23">
            <v>1</v>
          </cell>
          <cell r="O23">
            <v>0</v>
          </cell>
          <cell r="P23">
            <v>1</v>
          </cell>
          <cell r="Q23">
            <v>1</v>
          </cell>
          <cell r="R23">
            <v>0</v>
          </cell>
          <cell r="S23">
            <v>1</v>
          </cell>
          <cell r="T23">
            <v>2014</v>
          </cell>
          <cell r="U23">
            <v>4</v>
          </cell>
          <cell r="V23">
            <v>0</v>
          </cell>
          <cell r="W23">
            <v>1</v>
          </cell>
          <cell r="X23">
            <v>1</v>
          </cell>
          <cell r="Y23">
            <v>1</v>
          </cell>
        </row>
        <row r="24">
          <cell r="A24" t="str">
            <v>ELI-769</v>
          </cell>
          <cell r="B24" t="str">
            <v>Big Pride</v>
          </cell>
          <cell r="C24" t="str">
            <v>2014 Cub 5</v>
          </cell>
          <cell r="D24">
            <v>0</v>
          </cell>
          <cell r="E24">
            <v>0</v>
          </cell>
          <cell r="F24">
            <v>0</v>
          </cell>
          <cell r="G24">
            <v>1</v>
          </cell>
          <cell r="H24">
            <v>0</v>
          </cell>
          <cell r="I24">
            <v>0</v>
          </cell>
          <cell r="J24">
            <v>1</v>
          </cell>
          <cell r="K24">
            <v>0</v>
          </cell>
          <cell r="L24">
            <v>1</v>
          </cell>
          <cell r="M24">
            <v>1</v>
          </cell>
          <cell r="N24">
            <v>1</v>
          </cell>
          <cell r="O24">
            <v>0</v>
          </cell>
          <cell r="P24">
            <v>1</v>
          </cell>
          <cell r="Q24">
            <v>1</v>
          </cell>
          <cell r="R24">
            <v>0</v>
          </cell>
          <cell r="S24">
            <v>1</v>
          </cell>
          <cell r="T24">
            <v>2014</v>
          </cell>
          <cell r="U24">
            <v>4</v>
          </cell>
          <cell r="V24">
            <v>0</v>
          </cell>
          <cell r="W24">
            <v>1</v>
          </cell>
          <cell r="X24">
            <v>1</v>
          </cell>
          <cell r="Y24">
            <v>1</v>
          </cell>
        </row>
        <row r="25">
          <cell r="A25" t="str">
            <v>ELI-414</v>
          </cell>
          <cell r="B25" t="str">
            <v>Chowo</v>
          </cell>
          <cell r="C25" t="str">
            <v>Chowo F01</v>
          </cell>
          <cell r="D25">
            <v>0</v>
          </cell>
          <cell r="E25">
            <v>0</v>
          </cell>
          <cell r="F25">
            <v>1</v>
          </cell>
          <cell r="G25">
            <v>0</v>
          </cell>
          <cell r="H25">
            <v>1</v>
          </cell>
          <cell r="I25">
            <v>0</v>
          </cell>
          <cell r="J25">
            <v>1</v>
          </cell>
          <cell r="K25">
            <v>1</v>
          </cell>
          <cell r="L25">
            <v>1</v>
          </cell>
          <cell r="M25">
            <v>1</v>
          </cell>
          <cell r="N25">
            <v>1</v>
          </cell>
          <cell r="O25">
            <v>0</v>
          </cell>
          <cell r="P25">
            <v>1</v>
          </cell>
          <cell r="Q25">
            <v>0</v>
          </cell>
          <cell r="R25">
            <v>0</v>
          </cell>
          <cell r="S25">
            <v>1</v>
          </cell>
          <cell r="T25">
            <v>2011</v>
          </cell>
          <cell r="U25">
            <v>7</v>
          </cell>
          <cell r="V25">
            <v>3</v>
          </cell>
          <cell r="W25">
            <v>1</v>
          </cell>
          <cell r="X25">
            <v>1</v>
          </cell>
          <cell r="Y25">
            <v>0</v>
          </cell>
        </row>
        <row r="26">
          <cell r="A26" t="str">
            <v>ELI-493</v>
          </cell>
          <cell r="B26" t="str">
            <v>Chowo</v>
          </cell>
          <cell r="C26" t="str">
            <v>Chowo F05</v>
          </cell>
          <cell r="D26">
            <v>0</v>
          </cell>
          <cell r="E26">
            <v>0</v>
          </cell>
          <cell r="F26">
            <v>1</v>
          </cell>
          <cell r="G26">
            <v>0</v>
          </cell>
          <cell r="H26">
            <v>0</v>
          </cell>
          <cell r="I26">
            <v>0</v>
          </cell>
          <cell r="J26">
            <v>1</v>
          </cell>
          <cell r="K26">
            <v>1</v>
          </cell>
          <cell r="L26">
            <v>1</v>
          </cell>
          <cell r="M26">
            <v>1</v>
          </cell>
          <cell r="N26">
            <v>1</v>
          </cell>
          <cell r="O26">
            <v>0</v>
          </cell>
          <cell r="P26">
            <v>1</v>
          </cell>
          <cell r="Q26">
            <v>0</v>
          </cell>
          <cell r="R26">
            <v>0</v>
          </cell>
          <cell r="S26">
            <v>1</v>
          </cell>
          <cell r="T26">
            <v>2012</v>
          </cell>
          <cell r="U26">
            <v>6</v>
          </cell>
          <cell r="V26">
            <v>4</v>
          </cell>
          <cell r="W26">
            <v>1</v>
          </cell>
          <cell r="X26">
            <v>1</v>
          </cell>
          <cell r="Y26">
            <v>0</v>
          </cell>
        </row>
        <row r="27">
          <cell r="A27" t="str">
            <v>ELI-494</v>
          </cell>
          <cell r="B27" t="str">
            <v>Chowo</v>
          </cell>
          <cell r="C27" t="str">
            <v>Chowo F06</v>
          </cell>
          <cell r="D27">
            <v>0</v>
          </cell>
          <cell r="E27">
            <v>0</v>
          </cell>
          <cell r="F27">
            <v>1</v>
          </cell>
          <cell r="G27">
            <v>0</v>
          </cell>
          <cell r="H27">
            <v>1</v>
          </cell>
          <cell r="I27">
            <v>0</v>
          </cell>
          <cell r="J27">
            <v>1</v>
          </cell>
          <cell r="K27">
            <v>1</v>
          </cell>
          <cell r="L27">
            <v>1</v>
          </cell>
          <cell r="M27">
            <v>1</v>
          </cell>
          <cell r="N27">
            <v>1</v>
          </cell>
          <cell r="O27">
            <v>0</v>
          </cell>
          <cell r="P27">
            <v>1</v>
          </cell>
          <cell r="Q27">
            <v>0</v>
          </cell>
          <cell r="R27">
            <v>0</v>
          </cell>
          <cell r="S27">
            <v>1</v>
          </cell>
          <cell r="T27">
            <v>2012</v>
          </cell>
          <cell r="U27">
            <v>6</v>
          </cell>
          <cell r="V27">
            <v>1</v>
          </cell>
          <cell r="W27">
            <v>1</v>
          </cell>
          <cell r="X27">
            <v>1</v>
          </cell>
          <cell r="Y27">
            <v>0</v>
          </cell>
        </row>
        <row r="28">
          <cell r="A28" t="str">
            <v>ELI-524</v>
          </cell>
          <cell r="B28" t="str">
            <v>Chowo</v>
          </cell>
          <cell r="C28" t="str">
            <v>Chowo U02</v>
          </cell>
          <cell r="D28">
            <v>0</v>
          </cell>
          <cell r="E28">
            <v>0</v>
          </cell>
          <cell r="F28">
            <v>1</v>
          </cell>
          <cell r="G28">
            <v>0</v>
          </cell>
          <cell r="H28">
            <v>1</v>
          </cell>
          <cell r="I28">
            <v>0</v>
          </cell>
          <cell r="J28">
            <v>1</v>
          </cell>
          <cell r="K28">
            <v>1</v>
          </cell>
          <cell r="L28">
            <v>1</v>
          </cell>
          <cell r="M28">
            <v>1</v>
          </cell>
          <cell r="N28">
            <v>1</v>
          </cell>
          <cell r="O28">
            <v>0</v>
          </cell>
          <cell r="P28">
            <v>1</v>
          </cell>
          <cell r="Q28">
            <v>0</v>
          </cell>
          <cell r="R28">
            <v>0</v>
          </cell>
          <cell r="S28">
            <v>1</v>
          </cell>
          <cell r="T28">
            <v>2012</v>
          </cell>
          <cell r="U28">
            <v>10</v>
          </cell>
          <cell r="V28">
            <v>0</v>
          </cell>
          <cell r="W28">
            <v>1</v>
          </cell>
          <cell r="X28">
            <v>1</v>
          </cell>
          <cell r="Y28">
            <v>0</v>
          </cell>
        </row>
        <row r="29">
          <cell r="A29" t="str">
            <v>ELI-598</v>
          </cell>
          <cell r="B29" t="str">
            <v>Chowo</v>
          </cell>
          <cell r="C29" t="str">
            <v>Chowo U04</v>
          </cell>
          <cell r="D29">
            <v>0</v>
          </cell>
          <cell r="E29">
            <v>0</v>
          </cell>
          <cell r="F29">
            <v>1</v>
          </cell>
          <cell r="G29">
            <v>0</v>
          </cell>
          <cell r="H29">
            <v>1</v>
          </cell>
          <cell r="I29">
            <v>0</v>
          </cell>
          <cell r="J29">
            <v>1</v>
          </cell>
          <cell r="K29">
            <v>1</v>
          </cell>
          <cell r="L29">
            <v>1</v>
          </cell>
          <cell r="M29">
            <v>1</v>
          </cell>
          <cell r="N29">
            <v>1</v>
          </cell>
          <cell r="O29">
            <v>0</v>
          </cell>
          <cell r="P29">
            <v>1</v>
          </cell>
          <cell r="Q29">
            <v>0</v>
          </cell>
          <cell r="R29">
            <v>0</v>
          </cell>
          <cell r="S29">
            <v>1</v>
          </cell>
          <cell r="T29">
            <v>2013</v>
          </cell>
          <cell r="U29">
            <v>4</v>
          </cell>
          <cell r="V29">
            <v>0</v>
          </cell>
          <cell r="W29">
            <v>1</v>
          </cell>
          <cell r="X29">
            <v>1</v>
          </cell>
          <cell r="Y29">
            <v>0</v>
          </cell>
        </row>
        <row r="30">
          <cell r="A30" t="str">
            <v>ELI-599</v>
          </cell>
          <cell r="B30" t="str">
            <v>Chowo</v>
          </cell>
          <cell r="C30" t="str">
            <v>Chowo U05</v>
          </cell>
          <cell r="D30">
            <v>0</v>
          </cell>
          <cell r="E30">
            <v>0</v>
          </cell>
          <cell r="F30">
            <v>1</v>
          </cell>
          <cell r="G30">
            <v>0</v>
          </cell>
          <cell r="H30">
            <v>1</v>
          </cell>
          <cell r="I30">
            <v>0</v>
          </cell>
          <cell r="J30">
            <v>1</v>
          </cell>
          <cell r="K30">
            <v>1</v>
          </cell>
          <cell r="L30">
            <v>1</v>
          </cell>
          <cell r="M30">
            <v>1</v>
          </cell>
          <cell r="N30">
            <v>1</v>
          </cell>
          <cell r="O30">
            <v>0</v>
          </cell>
          <cell r="P30">
            <v>1</v>
          </cell>
          <cell r="Q30">
            <v>0</v>
          </cell>
          <cell r="R30">
            <v>0</v>
          </cell>
          <cell r="S30">
            <v>1</v>
          </cell>
          <cell r="T30">
            <v>2013</v>
          </cell>
          <cell r="U30">
            <v>4</v>
          </cell>
          <cell r="V30">
            <v>0</v>
          </cell>
          <cell r="W30">
            <v>1</v>
          </cell>
          <cell r="X30">
            <v>1</v>
          </cell>
          <cell r="Y30">
            <v>0</v>
          </cell>
        </row>
        <row r="31">
          <cell r="A31" t="str">
            <v>ELI-236</v>
          </cell>
          <cell r="B31" t="str">
            <v>Chichele</v>
          </cell>
          <cell r="C31" t="str">
            <v>Chichele F02</v>
          </cell>
          <cell r="D31">
            <v>0</v>
          </cell>
          <cell r="E31">
            <v>0</v>
          </cell>
          <cell r="F31">
            <v>1</v>
          </cell>
          <cell r="G31">
            <v>1</v>
          </cell>
          <cell r="H31">
            <v>1</v>
          </cell>
          <cell r="I31">
            <v>1</v>
          </cell>
          <cell r="J31">
            <v>1</v>
          </cell>
          <cell r="K31">
            <v>1</v>
          </cell>
          <cell r="L31">
            <v>1</v>
          </cell>
          <cell r="M31">
            <v>1</v>
          </cell>
          <cell r="N31">
            <v>1</v>
          </cell>
          <cell r="O31">
            <v>0</v>
          </cell>
          <cell r="P31">
            <v>1</v>
          </cell>
          <cell r="Q31">
            <v>0</v>
          </cell>
          <cell r="R31">
            <v>0</v>
          </cell>
          <cell r="S31">
            <v>1</v>
          </cell>
          <cell r="T31">
            <v>2008</v>
          </cell>
          <cell r="U31">
            <v>9</v>
          </cell>
          <cell r="V31">
            <v>5</v>
          </cell>
          <cell r="W31">
            <v>1</v>
          </cell>
          <cell r="X31">
            <v>1</v>
          </cell>
          <cell r="Y31">
            <v>0</v>
          </cell>
        </row>
        <row r="32">
          <cell r="A32" t="str">
            <v>ELI-235</v>
          </cell>
          <cell r="B32" t="str">
            <v>Chichele</v>
          </cell>
          <cell r="C32" t="str">
            <v>Chichele F03</v>
          </cell>
          <cell r="D32">
            <v>0</v>
          </cell>
          <cell r="E32">
            <v>0</v>
          </cell>
          <cell r="F32">
            <v>1</v>
          </cell>
          <cell r="G32">
            <v>1</v>
          </cell>
          <cell r="H32">
            <v>1</v>
          </cell>
          <cell r="I32">
            <v>1</v>
          </cell>
          <cell r="J32">
            <v>1</v>
          </cell>
          <cell r="K32">
            <v>1</v>
          </cell>
          <cell r="L32">
            <v>1</v>
          </cell>
          <cell r="M32">
            <v>1</v>
          </cell>
          <cell r="N32">
            <v>1</v>
          </cell>
          <cell r="O32">
            <v>0</v>
          </cell>
          <cell r="P32">
            <v>1</v>
          </cell>
          <cell r="Q32">
            <v>0</v>
          </cell>
          <cell r="R32">
            <v>0</v>
          </cell>
          <cell r="S32">
            <v>1</v>
          </cell>
          <cell r="T32">
            <v>2008</v>
          </cell>
          <cell r="U32">
            <v>9</v>
          </cell>
          <cell r="V32">
            <v>2</v>
          </cell>
          <cell r="W32">
            <v>1</v>
          </cell>
          <cell r="X32">
            <v>1</v>
          </cell>
          <cell r="Y32">
            <v>0</v>
          </cell>
        </row>
        <row r="33">
          <cell r="A33" t="str">
            <v>ELI-604</v>
          </cell>
          <cell r="B33" t="str">
            <v>Chichele</v>
          </cell>
          <cell r="C33" t="str">
            <v>Chichele Cub1</v>
          </cell>
          <cell r="D33">
            <v>0</v>
          </cell>
          <cell r="E33">
            <v>0</v>
          </cell>
          <cell r="F33">
            <v>1</v>
          </cell>
          <cell r="G33">
            <v>1</v>
          </cell>
          <cell r="H33">
            <v>1</v>
          </cell>
          <cell r="I33">
            <v>1</v>
          </cell>
          <cell r="J33">
            <v>1</v>
          </cell>
          <cell r="K33">
            <v>1</v>
          </cell>
          <cell r="L33">
            <v>1</v>
          </cell>
          <cell r="M33">
            <v>1</v>
          </cell>
          <cell r="N33">
            <v>1</v>
          </cell>
          <cell r="O33">
            <v>0</v>
          </cell>
          <cell r="P33">
            <v>1</v>
          </cell>
          <cell r="Q33">
            <v>1</v>
          </cell>
          <cell r="R33">
            <v>0</v>
          </cell>
          <cell r="S33">
            <v>1</v>
          </cell>
          <cell r="T33">
            <v>2014</v>
          </cell>
          <cell r="U33">
            <v>4</v>
          </cell>
          <cell r="V33">
            <v>0</v>
          </cell>
          <cell r="W33">
            <v>1</v>
          </cell>
          <cell r="X33">
            <v>1</v>
          </cell>
          <cell r="Y33">
            <v>1</v>
          </cell>
        </row>
        <row r="34">
          <cell r="A34" t="str">
            <v>ELI-606</v>
          </cell>
          <cell r="B34" t="str">
            <v>Chichele</v>
          </cell>
          <cell r="C34" t="str">
            <v>Chichele Cub2</v>
          </cell>
          <cell r="D34">
            <v>0</v>
          </cell>
          <cell r="E34">
            <v>0</v>
          </cell>
          <cell r="F34">
            <v>1</v>
          </cell>
          <cell r="G34">
            <v>1</v>
          </cell>
          <cell r="H34">
            <v>1</v>
          </cell>
          <cell r="I34">
            <v>1</v>
          </cell>
          <cell r="J34">
            <v>1</v>
          </cell>
          <cell r="K34">
            <v>1</v>
          </cell>
          <cell r="L34">
            <v>1</v>
          </cell>
          <cell r="M34">
            <v>1</v>
          </cell>
          <cell r="N34">
            <v>1</v>
          </cell>
          <cell r="O34">
            <v>0</v>
          </cell>
          <cell r="P34">
            <v>1</v>
          </cell>
          <cell r="Q34">
            <v>0</v>
          </cell>
          <cell r="R34">
            <v>1</v>
          </cell>
          <cell r="S34">
            <v>1</v>
          </cell>
          <cell r="T34">
            <v>2014</v>
          </cell>
          <cell r="U34">
            <v>4</v>
          </cell>
          <cell r="V34">
            <v>0</v>
          </cell>
          <cell r="W34">
            <v>1</v>
          </cell>
          <cell r="X34">
            <v>1</v>
          </cell>
          <cell r="Y34">
            <v>0</v>
          </cell>
        </row>
        <row r="35">
          <cell r="A35" t="str">
            <v>ELI-607</v>
          </cell>
          <cell r="B35" t="str">
            <v>Chichele</v>
          </cell>
          <cell r="C35" t="str">
            <v>Chichele Cub3</v>
          </cell>
          <cell r="D35">
            <v>0</v>
          </cell>
          <cell r="E35">
            <v>0</v>
          </cell>
          <cell r="F35">
            <v>1</v>
          </cell>
          <cell r="G35">
            <v>1</v>
          </cell>
          <cell r="H35">
            <v>1</v>
          </cell>
          <cell r="I35">
            <v>1</v>
          </cell>
          <cell r="J35">
            <v>1</v>
          </cell>
          <cell r="K35">
            <v>1</v>
          </cell>
          <cell r="L35">
            <v>1</v>
          </cell>
          <cell r="M35">
            <v>1</v>
          </cell>
          <cell r="N35">
            <v>1</v>
          </cell>
          <cell r="O35">
            <v>0</v>
          </cell>
          <cell r="P35">
            <v>1</v>
          </cell>
          <cell r="Q35">
            <v>0</v>
          </cell>
          <cell r="R35">
            <v>0</v>
          </cell>
          <cell r="S35">
            <v>1</v>
          </cell>
          <cell r="T35">
            <v>2014</v>
          </cell>
          <cell r="U35">
            <v>4</v>
          </cell>
          <cell r="V35">
            <v>0</v>
          </cell>
          <cell r="W35">
            <v>1</v>
          </cell>
          <cell r="X35">
            <v>1</v>
          </cell>
          <cell r="Y35">
            <v>0</v>
          </cell>
        </row>
        <row r="36">
          <cell r="A36" t="str">
            <v>ELI-143</v>
          </cell>
          <cell r="B36" t="str">
            <v>Chinzombo</v>
          </cell>
          <cell r="C36" t="str">
            <v>Chinzombo F01</v>
          </cell>
          <cell r="D36">
            <v>0</v>
          </cell>
          <cell r="E36">
            <v>0</v>
          </cell>
          <cell r="F36">
            <v>0</v>
          </cell>
          <cell r="G36">
            <v>0</v>
          </cell>
          <cell r="H36">
            <v>1</v>
          </cell>
          <cell r="I36">
            <v>0</v>
          </cell>
          <cell r="J36">
            <v>1</v>
          </cell>
          <cell r="K36">
            <v>1</v>
          </cell>
          <cell r="L36">
            <v>1</v>
          </cell>
          <cell r="M36">
            <v>1</v>
          </cell>
          <cell r="N36">
            <v>1</v>
          </cell>
          <cell r="O36">
            <v>1</v>
          </cell>
          <cell r="P36">
            <v>1</v>
          </cell>
          <cell r="Q36">
            <v>0</v>
          </cell>
          <cell r="R36">
            <v>0</v>
          </cell>
          <cell r="S36">
            <v>1</v>
          </cell>
          <cell r="T36">
            <v>2012</v>
          </cell>
          <cell r="U36">
            <v>4</v>
          </cell>
          <cell r="V36">
            <v>4</v>
          </cell>
          <cell r="W36">
            <v>1</v>
          </cell>
          <cell r="X36">
            <v>0</v>
          </cell>
          <cell r="Y36">
            <v>0</v>
          </cell>
        </row>
        <row r="37">
          <cell r="A37" t="str">
            <v>ELI-496</v>
          </cell>
          <cell r="B37" t="str">
            <v>Chinzombo</v>
          </cell>
          <cell r="C37" t="str">
            <v>Chinzombo F02</v>
          </cell>
          <cell r="D37">
            <v>0</v>
          </cell>
          <cell r="E37">
            <v>0</v>
          </cell>
          <cell r="F37">
            <v>0</v>
          </cell>
          <cell r="G37">
            <v>0</v>
          </cell>
          <cell r="H37">
            <v>1</v>
          </cell>
          <cell r="I37">
            <v>0</v>
          </cell>
          <cell r="J37">
            <v>1</v>
          </cell>
          <cell r="K37">
            <v>1</v>
          </cell>
          <cell r="L37">
            <v>1</v>
          </cell>
          <cell r="M37">
            <v>1</v>
          </cell>
          <cell r="N37">
            <v>1</v>
          </cell>
          <cell r="O37">
            <v>1</v>
          </cell>
          <cell r="P37">
            <v>1</v>
          </cell>
          <cell r="Q37">
            <v>0</v>
          </cell>
          <cell r="R37">
            <v>0</v>
          </cell>
          <cell r="S37">
            <v>1</v>
          </cell>
          <cell r="T37">
            <v>2014</v>
          </cell>
          <cell r="U37">
            <v>5</v>
          </cell>
          <cell r="V37">
            <v>2</v>
          </cell>
          <cell r="W37">
            <v>1</v>
          </cell>
          <cell r="X37">
            <v>0</v>
          </cell>
          <cell r="Y37">
            <v>0</v>
          </cell>
        </row>
        <row r="38">
          <cell r="A38" t="str">
            <v>ELI-703</v>
          </cell>
          <cell r="B38" t="str">
            <v>Chinzombo</v>
          </cell>
          <cell r="C38" t="str">
            <v>Chinzombo F03</v>
          </cell>
          <cell r="D38">
            <v>0</v>
          </cell>
          <cell r="E38">
            <v>0</v>
          </cell>
          <cell r="F38">
            <v>0</v>
          </cell>
          <cell r="G38">
            <v>0</v>
          </cell>
          <cell r="H38">
            <v>1</v>
          </cell>
          <cell r="I38">
            <v>0</v>
          </cell>
          <cell r="J38">
            <v>1</v>
          </cell>
          <cell r="K38">
            <v>1</v>
          </cell>
          <cell r="L38">
            <v>1</v>
          </cell>
          <cell r="M38">
            <v>1</v>
          </cell>
          <cell r="N38">
            <v>1</v>
          </cell>
          <cell r="O38">
            <v>1</v>
          </cell>
          <cell r="P38">
            <v>1</v>
          </cell>
          <cell r="Q38">
            <v>0</v>
          </cell>
          <cell r="R38">
            <v>0</v>
          </cell>
          <cell r="S38">
            <v>1</v>
          </cell>
          <cell r="T38">
            <v>2014</v>
          </cell>
          <cell r="U38">
            <v>5</v>
          </cell>
          <cell r="V38">
            <v>0</v>
          </cell>
          <cell r="W38">
            <v>1</v>
          </cell>
          <cell r="X38">
            <v>0</v>
          </cell>
          <cell r="Y38">
            <v>0</v>
          </cell>
        </row>
        <row r="39">
          <cell r="A39" t="str">
            <v>ELI-173</v>
          </cell>
          <cell r="B39" t="str">
            <v>Nsefu</v>
          </cell>
          <cell r="C39" t="str">
            <v>Nsefu F01</v>
          </cell>
          <cell r="D39">
            <v>0</v>
          </cell>
          <cell r="E39">
            <v>0</v>
          </cell>
          <cell r="F39">
            <v>0</v>
          </cell>
          <cell r="G39">
            <v>0</v>
          </cell>
          <cell r="H39">
            <v>0</v>
          </cell>
          <cell r="I39">
            <v>0</v>
          </cell>
          <cell r="J39">
            <v>1</v>
          </cell>
          <cell r="K39">
            <v>0</v>
          </cell>
          <cell r="L39">
            <v>1</v>
          </cell>
          <cell r="M39">
            <v>1</v>
          </cell>
          <cell r="N39">
            <v>1</v>
          </cell>
          <cell r="O39">
            <v>0</v>
          </cell>
          <cell r="P39">
            <v>1</v>
          </cell>
          <cell r="Q39">
            <v>0</v>
          </cell>
          <cell r="R39">
            <v>0</v>
          </cell>
          <cell r="S39">
            <v>1</v>
          </cell>
          <cell r="T39">
            <v>2008</v>
          </cell>
          <cell r="U39">
            <v>8</v>
          </cell>
          <cell r="V39">
            <v>2</v>
          </cell>
          <cell r="W39">
            <v>1</v>
          </cell>
          <cell r="X39">
            <v>1</v>
          </cell>
          <cell r="Y39">
            <v>0</v>
          </cell>
        </row>
        <row r="40">
          <cell r="A40" t="str">
            <v>ELI-174</v>
          </cell>
          <cell r="B40" t="str">
            <v>Nsefu</v>
          </cell>
          <cell r="C40" t="str">
            <v>Nsefu F02</v>
          </cell>
          <cell r="D40">
            <v>0</v>
          </cell>
          <cell r="E40">
            <v>0</v>
          </cell>
          <cell r="F40">
            <v>0</v>
          </cell>
          <cell r="G40">
            <v>0</v>
          </cell>
          <cell r="H40">
            <v>1</v>
          </cell>
          <cell r="I40">
            <v>0</v>
          </cell>
          <cell r="J40">
            <v>0</v>
          </cell>
          <cell r="K40">
            <v>0</v>
          </cell>
          <cell r="L40">
            <v>1</v>
          </cell>
          <cell r="M40">
            <v>0</v>
          </cell>
          <cell r="N40">
            <v>1</v>
          </cell>
          <cell r="O40">
            <v>0</v>
          </cell>
          <cell r="P40">
            <v>1</v>
          </cell>
          <cell r="Q40">
            <v>0</v>
          </cell>
          <cell r="R40">
            <v>0</v>
          </cell>
          <cell r="S40">
            <v>1</v>
          </cell>
          <cell r="T40">
            <v>2008</v>
          </cell>
          <cell r="U40">
            <v>8</v>
          </cell>
          <cell r="V40">
            <v>6</v>
          </cell>
          <cell r="W40">
            <v>1</v>
          </cell>
          <cell r="X40">
            <v>1</v>
          </cell>
          <cell r="Y40">
            <v>0</v>
          </cell>
        </row>
        <row r="41">
          <cell r="A41" t="str">
            <v>ELI-247</v>
          </cell>
          <cell r="B41" t="str">
            <v>Nsefu</v>
          </cell>
          <cell r="C41" t="str">
            <v>Nsefu F03</v>
          </cell>
          <cell r="D41">
            <v>0</v>
          </cell>
          <cell r="E41">
            <v>0</v>
          </cell>
          <cell r="F41">
            <v>0</v>
          </cell>
          <cell r="G41">
            <v>0</v>
          </cell>
          <cell r="H41">
            <v>1</v>
          </cell>
          <cell r="I41">
            <v>1</v>
          </cell>
          <cell r="J41">
            <v>1</v>
          </cell>
          <cell r="K41">
            <v>0</v>
          </cell>
          <cell r="L41">
            <v>1</v>
          </cell>
          <cell r="M41">
            <v>1</v>
          </cell>
          <cell r="N41">
            <v>1</v>
          </cell>
          <cell r="O41">
            <v>0</v>
          </cell>
          <cell r="P41">
            <v>1</v>
          </cell>
          <cell r="Q41">
            <v>0</v>
          </cell>
          <cell r="R41">
            <v>0</v>
          </cell>
          <cell r="S41">
            <v>1</v>
          </cell>
          <cell r="T41">
            <v>2009</v>
          </cell>
          <cell r="U41">
            <v>8</v>
          </cell>
          <cell r="V41">
            <v>3</v>
          </cell>
          <cell r="W41">
            <v>1</v>
          </cell>
          <cell r="X41">
            <v>1</v>
          </cell>
          <cell r="Y41">
            <v>0</v>
          </cell>
        </row>
        <row r="42">
          <cell r="A42" t="str">
            <v>ELI-248</v>
          </cell>
          <cell r="B42" t="str">
            <v>Nsefu</v>
          </cell>
          <cell r="C42" t="str">
            <v>Nsefu F04</v>
          </cell>
          <cell r="D42">
            <v>0</v>
          </cell>
          <cell r="E42">
            <v>0</v>
          </cell>
          <cell r="F42">
            <v>0</v>
          </cell>
          <cell r="G42">
            <v>0</v>
          </cell>
          <cell r="H42">
            <v>1</v>
          </cell>
          <cell r="I42">
            <v>1</v>
          </cell>
          <cell r="J42">
            <v>1</v>
          </cell>
          <cell r="K42">
            <v>1</v>
          </cell>
          <cell r="L42">
            <v>1</v>
          </cell>
          <cell r="M42">
            <v>1</v>
          </cell>
          <cell r="N42">
            <v>1</v>
          </cell>
          <cell r="O42">
            <v>0</v>
          </cell>
          <cell r="P42">
            <v>1</v>
          </cell>
          <cell r="Q42">
            <v>0</v>
          </cell>
          <cell r="R42">
            <v>0</v>
          </cell>
          <cell r="S42">
            <v>1</v>
          </cell>
          <cell r="T42">
            <v>2009</v>
          </cell>
          <cell r="U42">
            <v>11</v>
          </cell>
          <cell r="V42">
            <v>3</v>
          </cell>
          <cell r="W42">
            <v>1</v>
          </cell>
          <cell r="X42">
            <v>1</v>
          </cell>
          <cell r="Y42">
            <v>0</v>
          </cell>
        </row>
        <row r="43">
          <cell r="A43" t="str">
            <v>ELI-249</v>
          </cell>
          <cell r="B43" t="str">
            <v>Nsefu</v>
          </cell>
          <cell r="C43" t="str">
            <v>Nsefu F05</v>
          </cell>
          <cell r="D43">
            <v>0</v>
          </cell>
          <cell r="E43">
            <v>0</v>
          </cell>
          <cell r="F43">
            <v>0</v>
          </cell>
          <cell r="G43">
            <v>0</v>
          </cell>
          <cell r="H43">
            <v>0</v>
          </cell>
          <cell r="I43">
            <v>0</v>
          </cell>
          <cell r="J43">
            <v>0</v>
          </cell>
          <cell r="K43">
            <v>0</v>
          </cell>
          <cell r="L43">
            <v>0</v>
          </cell>
          <cell r="M43">
            <v>0</v>
          </cell>
          <cell r="N43">
            <v>0</v>
          </cell>
          <cell r="O43">
            <v>0</v>
          </cell>
          <cell r="P43">
            <v>1</v>
          </cell>
          <cell r="Q43">
            <v>0</v>
          </cell>
          <cell r="R43">
            <v>0</v>
          </cell>
          <cell r="S43">
            <v>1</v>
          </cell>
          <cell r="T43">
            <v>2009</v>
          </cell>
          <cell r="U43">
            <v>8</v>
          </cell>
          <cell r="V43">
            <v>6</v>
          </cell>
          <cell r="W43">
            <v>1</v>
          </cell>
          <cell r="X43">
            <v>1</v>
          </cell>
          <cell r="Y43">
            <v>0</v>
          </cell>
        </row>
        <row r="44">
          <cell r="A44" t="str">
            <v>ELI-250</v>
          </cell>
          <cell r="B44" t="str">
            <v>Nsefu</v>
          </cell>
          <cell r="C44" t="str">
            <v>Nsefu F06</v>
          </cell>
          <cell r="D44">
            <v>0</v>
          </cell>
          <cell r="E44">
            <v>0</v>
          </cell>
          <cell r="F44">
            <v>0</v>
          </cell>
          <cell r="G44">
            <v>0</v>
          </cell>
          <cell r="H44">
            <v>1</v>
          </cell>
          <cell r="I44">
            <v>0</v>
          </cell>
          <cell r="J44">
            <v>1</v>
          </cell>
          <cell r="K44">
            <v>1</v>
          </cell>
          <cell r="L44">
            <v>1</v>
          </cell>
          <cell r="M44">
            <v>1</v>
          </cell>
          <cell r="N44">
            <v>1</v>
          </cell>
          <cell r="O44">
            <v>0</v>
          </cell>
          <cell r="P44">
            <v>1</v>
          </cell>
          <cell r="Q44">
            <v>0</v>
          </cell>
          <cell r="R44">
            <v>0</v>
          </cell>
          <cell r="S44">
            <v>1</v>
          </cell>
          <cell r="T44">
            <v>2009</v>
          </cell>
          <cell r="U44">
            <v>7</v>
          </cell>
          <cell r="V44">
            <v>6</v>
          </cell>
          <cell r="W44">
            <v>1</v>
          </cell>
          <cell r="X44">
            <v>1</v>
          </cell>
          <cell r="Y44">
            <v>0</v>
          </cell>
        </row>
        <row r="45">
          <cell r="A45" t="str">
            <v>ELI-462</v>
          </cell>
          <cell r="B45" t="str">
            <v>Nsefu</v>
          </cell>
          <cell r="C45" t="str">
            <v>Nsefu F07</v>
          </cell>
          <cell r="D45">
            <v>0</v>
          </cell>
          <cell r="E45">
            <v>0</v>
          </cell>
          <cell r="F45">
            <v>0</v>
          </cell>
          <cell r="G45">
            <v>0</v>
          </cell>
          <cell r="H45">
            <v>1</v>
          </cell>
          <cell r="I45">
            <v>0</v>
          </cell>
          <cell r="J45">
            <v>1</v>
          </cell>
          <cell r="K45">
            <v>0</v>
          </cell>
          <cell r="L45">
            <v>0</v>
          </cell>
          <cell r="M45">
            <v>1</v>
          </cell>
          <cell r="N45">
            <v>1</v>
          </cell>
          <cell r="O45">
            <v>0</v>
          </cell>
          <cell r="P45">
            <v>1</v>
          </cell>
          <cell r="Q45">
            <v>0</v>
          </cell>
          <cell r="R45">
            <v>0</v>
          </cell>
          <cell r="S45">
            <v>1</v>
          </cell>
          <cell r="T45">
            <v>2011</v>
          </cell>
          <cell r="U45">
            <v>10</v>
          </cell>
          <cell r="V45">
            <v>7</v>
          </cell>
          <cell r="W45">
            <v>1</v>
          </cell>
          <cell r="X45">
            <v>1</v>
          </cell>
          <cell r="Y45">
            <v>0</v>
          </cell>
        </row>
        <row r="46">
          <cell r="A46" t="str">
            <v>ELI-378</v>
          </cell>
          <cell r="B46" t="str">
            <v>Nsefu</v>
          </cell>
          <cell r="C46" t="str">
            <v>Nsefu F11</v>
          </cell>
          <cell r="D46">
            <v>0</v>
          </cell>
          <cell r="E46">
            <v>0</v>
          </cell>
          <cell r="F46">
            <v>0</v>
          </cell>
          <cell r="G46">
            <v>0</v>
          </cell>
          <cell r="H46">
            <v>1</v>
          </cell>
          <cell r="I46">
            <v>1</v>
          </cell>
          <cell r="J46">
            <v>1</v>
          </cell>
          <cell r="K46">
            <v>1</v>
          </cell>
          <cell r="L46">
            <v>1</v>
          </cell>
          <cell r="M46">
            <v>1</v>
          </cell>
          <cell r="N46">
            <v>1</v>
          </cell>
          <cell r="O46">
            <v>0</v>
          </cell>
          <cell r="P46">
            <v>1</v>
          </cell>
          <cell r="Q46">
            <v>0</v>
          </cell>
          <cell r="R46">
            <v>0</v>
          </cell>
          <cell r="S46">
            <v>1</v>
          </cell>
          <cell r="T46">
            <v>2010</v>
          </cell>
          <cell r="U46">
            <v>10</v>
          </cell>
          <cell r="V46">
            <v>0</v>
          </cell>
          <cell r="W46">
            <v>1</v>
          </cell>
          <cell r="X46">
            <v>1</v>
          </cell>
          <cell r="Y46">
            <v>0</v>
          </cell>
        </row>
        <row r="47">
          <cell r="A47" t="str">
            <v>ELI-463</v>
          </cell>
          <cell r="B47" t="str">
            <v>Nsefu</v>
          </cell>
          <cell r="C47" t="str">
            <v>Nsefu F12</v>
          </cell>
          <cell r="D47">
            <v>0</v>
          </cell>
          <cell r="E47">
            <v>0</v>
          </cell>
          <cell r="F47">
            <v>0</v>
          </cell>
          <cell r="G47">
            <v>0</v>
          </cell>
          <cell r="H47">
            <v>0</v>
          </cell>
          <cell r="I47">
            <v>0</v>
          </cell>
          <cell r="J47">
            <v>1</v>
          </cell>
          <cell r="K47">
            <v>0</v>
          </cell>
          <cell r="L47">
            <v>0</v>
          </cell>
          <cell r="M47">
            <v>1</v>
          </cell>
          <cell r="N47">
            <v>1</v>
          </cell>
          <cell r="O47">
            <v>0</v>
          </cell>
          <cell r="P47">
            <v>1</v>
          </cell>
          <cell r="Q47">
            <v>0</v>
          </cell>
          <cell r="R47">
            <v>0</v>
          </cell>
          <cell r="S47">
            <v>1</v>
          </cell>
          <cell r="T47">
            <v>2012</v>
          </cell>
          <cell r="U47">
            <v>9</v>
          </cell>
          <cell r="V47">
            <v>0</v>
          </cell>
          <cell r="W47">
            <v>1</v>
          </cell>
          <cell r="X47">
            <v>1</v>
          </cell>
          <cell r="Y47">
            <v>0</v>
          </cell>
        </row>
        <row r="48">
          <cell r="A48" t="str">
            <v>ELI-464</v>
          </cell>
          <cell r="B48" t="str">
            <v>Nsefu</v>
          </cell>
          <cell r="C48" t="str">
            <v>Nsefu M06</v>
          </cell>
          <cell r="D48">
            <v>0</v>
          </cell>
          <cell r="E48">
            <v>0</v>
          </cell>
          <cell r="F48">
            <v>0</v>
          </cell>
          <cell r="G48">
            <v>1</v>
          </cell>
          <cell r="H48">
            <v>0</v>
          </cell>
          <cell r="I48">
            <v>1</v>
          </cell>
          <cell r="J48">
            <v>1</v>
          </cell>
          <cell r="K48">
            <v>1</v>
          </cell>
          <cell r="L48">
            <v>1</v>
          </cell>
          <cell r="M48">
            <v>0</v>
          </cell>
          <cell r="N48">
            <v>1</v>
          </cell>
          <cell r="O48">
            <v>1</v>
          </cell>
          <cell r="P48">
            <v>1</v>
          </cell>
          <cell r="Q48">
            <v>1</v>
          </cell>
          <cell r="R48">
            <v>0</v>
          </cell>
          <cell r="S48">
            <v>1</v>
          </cell>
          <cell r="T48">
            <v>2012</v>
          </cell>
          <cell r="U48">
            <v>9</v>
          </cell>
          <cell r="V48">
            <v>0</v>
          </cell>
          <cell r="W48">
            <v>1</v>
          </cell>
          <cell r="X48">
            <v>1</v>
          </cell>
          <cell r="Y48">
            <v>1</v>
          </cell>
        </row>
        <row r="49">
          <cell r="A49" t="str">
            <v>ELI-553</v>
          </cell>
          <cell r="B49" t="str">
            <v>Nsefu</v>
          </cell>
          <cell r="C49" t="str">
            <v>Nsefu M07</v>
          </cell>
          <cell r="D49">
            <v>0</v>
          </cell>
          <cell r="E49">
            <v>0</v>
          </cell>
          <cell r="F49">
            <v>0</v>
          </cell>
          <cell r="G49">
            <v>0</v>
          </cell>
          <cell r="H49">
            <v>0</v>
          </cell>
          <cell r="I49">
            <v>1</v>
          </cell>
          <cell r="J49">
            <v>1</v>
          </cell>
          <cell r="K49">
            <v>0</v>
          </cell>
          <cell r="L49">
            <v>1</v>
          </cell>
          <cell r="M49">
            <v>0</v>
          </cell>
          <cell r="N49">
            <v>1</v>
          </cell>
          <cell r="O49">
            <v>0</v>
          </cell>
          <cell r="P49">
            <v>1</v>
          </cell>
          <cell r="Q49">
            <v>1</v>
          </cell>
          <cell r="R49">
            <v>0</v>
          </cell>
          <cell r="S49">
            <v>1</v>
          </cell>
          <cell r="T49">
            <v>2012</v>
          </cell>
          <cell r="U49">
            <v>11</v>
          </cell>
          <cell r="V49">
            <v>0</v>
          </cell>
          <cell r="W49">
            <v>1</v>
          </cell>
          <cell r="X49">
            <v>1</v>
          </cell>
          <cell r="Y49">
            <v>1</v>
          </cell>
        </row>
        <row r="50">
          <cell r="A50" t="str">
            <v>ELI-589</v>
          </cell>
          <cell r="B50" t="str">
            <v>Nsefu</v>
          </cell>
          <cell r="C50" t="str">
            <v>Nsefu 2013 Cub</v>
          </cell>
          <cell r="D50">
            <v>0</v>
          </cell>
          <cell r="E50">
            <v>0</v>
          </cell>
          <cell r="F50">
            <v>0</v>
          </cell>
          <cell r="G50">
            <v>1</v>
          </cell>
          <cell r="H50">
            <v>0</v>
          </cell>
          <cell r="I50">
            <v>1</v>
          </cell>
          <cell r="J50">
            <v>1</v>
          </cell>
          <cell r="K50">
            <v>0</v>
          </cell>
          <cell r="L50">
            <v>1</v>
          </cell>
          <cell r="M50">
            <v>0</v>
          </cell>
          <cell r="N50">
            <v>1</v>
          </cell>
          <cell r="O50">
            <v>0</v>
          </cell>
          <cell r="P50">
            <v>1</v>
          </cell>
          <cell r="Q50">
            <v>0</v>
          </cell>
          <cell r="R50">
            <v>0</v>
          </cell>
          <cell r="S50">
            <v>1</v>
          </cell>
          <cell r="T50">
            <v>2013</v>
          </cell>
          <cell r="U50">
            <v>5</v>
          </cell>
          <cell r="V50">
            <v>0</v>
          </cell>
          <cell r="W50">
            <v>1</v>
          </cell>
          <cell r="X50">
            <v>1</v>
          </cell>
          <cell r="Y50">
            <v>0</v>
          </cell>
        </row>
        <row r="51">
          <cell r="A51" t="str">
            <v>ELI-713</v>
          </cell>
          <cell r="B51" t="str">
            <v>Nsefu</v>
          </cell>
          <cell r="C51" t="str">
            <v>Nsefu 2014 Cub1</v>
          </cell>
          <cell r="D51">
            <v>0</v>
          </cell>
          <cell r="E51">
            <v>0</v>
          </cell>
          <cell r="F51">
            <v>0</v>
          </cell>
          <cell r="G51">
            <v>0</v>
          </cell>
          <cell r="H51">
            <v>0</v>
          </cell>
          <cell r="I51">
            <v>0</v>
          </cell>
          <cell r="J51">
            <v>1</v>
          </cell>
          <cell r="K51">
            <v>1</v>
          </cell>
          <cell r="L51">
            <v>1</v>
          </cell>
          <cell r="M51">
            <v>1</v>
          </cell>
          <cell r="N51">
            <v>1</v>
          </cell>
          <cell r="O51">
            <v>0</v>
          </cell>
          <cell r="P51">
            <v>1</v>
          </cell>
          <cell r="Q51">
            <v>1</v>
          </cell>
          <cell r="R51">
            <v>0</v>
          </cell>
          <cell r="S51">
            <v>1</v>
          </cell>
          <cell r="T51">
            <v>2014</v>
          </cell>
          <cell r="U51">
            <v>7</v>
          </cell>
          <cell r="V51">
            <v>0</v>
          </cell>
          <cell r="W51">
            <v>1</v>
          </cell>
          <cell r="X51">
            <v>1</v>
          </cell>
          <cell r="Y51">
            <v>1</v>
          </cell>
        </row>
        <row r="52">
          <cell r="A52" t="str">
            <v>ELI-714</v>
          </cell>
          <cell r="B52" t="str">
            <v>Nsefu</v>
          </cell>
          <cell r="C52" t="str">
            <v>Nsefu 2014 Cub2</v>
          </cell>
          <cell r="D52">
            <v>0</v>
          </cell>
          <cell r="E52">
            <v>0</v>
          </cell>
          <cell r="F52">
            <v>0</v>
          </cell>
          <cell r="G52">
            <v>0</v>
          </cell>
          <cell r="H52">
            <v>0</v>
          </cell>
          <cell r="I52">
            <v>0</v>
          </cell>
          <cell r="J52">
            <v>1</v>
          </cell>
          <cell r="K52">
            <v>1</v>
          </cell>
          <cell r="L52">
            <v>1</v>
          </cell>
          <cell r="M52">
            <v>1</v>
          </cell>
          <cell r="N52">
            <v>1</v>
          </cell>
          <cell r="O52">
            <v>0</v>
          </cell>
          <cell r="P52">
            <v>1</v>
          </cell>
          <cell r="Q52">
            <v>0</v>
          </cell>
          <cell r="R52">
            <v>0</v>
          </cell>
          <cell r="S52">
            <v>1</v>
          </cell>
          <cell r="T52">
            <v>2014</v>
          </cell>
          <cell r="U52">
            <v>7</v>
          </cell>
          <cell r="V52">
            <v>0</v>
          </cell>
          <cell r="W52">
            <v>1</v>
          </cell>
          <cell r="X52">
            <v>1</v>
          </cell>
          <cell r="Y52">
            <v>0</v>
          </cell>
        </row>
        <row r="53">
          <cell r="A53" t="str">
            <v>ELI-715</v>
          </cell>
          <cell r="B53" t="str">
            <v>Nsefu</v>
          </cell>
          <cell r="C53" t="str">
            <v>Nsefu 2014 Cub3</v>
          </cell>
          <cell r="D53">
            <v>0</v>
          </cell>
          <cell r="E53">
            <v>0</v>
          </cell>
          <cell r="F53">
            <v>0</v>
          </cell>
          <cell r="G53">
            <v>0</v>
          </cell>
          <cell r="H53">
            <v>0</v>
          </cell>
          <cell r="I53">
            <v>0</v>
          </cell>
          <cell r="J53">
            <v>1</v>
          </cell>
          <cell r="K53">
            <v>0</v>
          </cell>
          <cell r="L53">
            <v>1</v>
          </cell>
          <cell r="M53">
            <v>1</v>
          </cell>
          <cell r="N53">
            <v>1</v>
          </cell>
          <cell r="O53">
            <v>0</v>
          </cell>
          <cell r="P53">
            <v>1</v>
          </cell>
          <cell r="Q53">
            <v>1</v>
          </cell>
          <cell r="R53">
            <v>1</v>
          </cell>
          <cell r="S53">
            <v>1</v>
          </cell>
          <cell r="T53">
            <v>2014</v>
          </cell>
          <cell r="U53">
            <v>7</v>
          </cell>
          <cell r="V53">
            <v>0</v>
          </cell>
          <cell r="W53">
            <v>1</v>
          </cell>
          <cell r="X53">
            <v>1</v>
          </cell>
          <cell r="Y53">
            <v>1</v>
          </cell>
        </row>
        <row r="54">
          <cell r="A54" t="str">
            <v>ELI-716</v>
          </cell>
          <cell r="B54" t="str">
            <v>Nsefu</v>
          </cell>
          <cell r="C54" t="str">
            <v>Nsefu 2014 Cub4</v>
          </cell>
          <cell r="D54">
            <v>0</v>
          </cell>
          <cell r="E54">
            <v>0</v>
          </cell>
          <cell r="F54">
            <v>0</v>
          </cell>
          <cell r="G54">
            <v>0</v>
          </cell>
          <cell r="H54">
            <v>0</v>
          </cell>
          <cell r="I54">
            <v>0</v>
          </cell>
          <cell r="J54">
            <v>1</v>
          </cell>
          <cell r="K54">
            <v>1</v>
          </cell>
          <cell r="L54">
            <v>1</v>
          </cell>
          <cell r="M54">
            <v>1</v>
          </cell>
          <cell r="N54">
            <v>1</v>
          </cell>
          <cell r="O54">
            <v>0</v>
          </cell>
          <cell r="P54">
            <v>1</v>
          </cell>
          <cell r="Q54">
            <v>1</v>
          </cell>
          <cell r="R54">
            <v>0</v>
          </cell>
          <cell r="S54">
            <v>1</v>
          </cell>
          <cell r="T54">
            <v>2014</v>
          </cell>
          <cell r="U54">
            <v>7</v>
          </cell>
          <cell r="V54">
            <v>0</v>
          </cell>
          <cell r="W54">
            <v>1</v>
          </cell>
          <cell r="X54">
            <v>1</v>
          </cell>
          <cell r="Y54">
            <v>1</v>
          </cell>
        </row>
        <row r="55">
          <cell r="A55" t="str">
            <v>ELI-717</v>
          </cell>
          <cell r="B55" t="str">
            <v>Nsefu</v>
          </cell>
          <cell r="C55" t="str">
            <v>Nsefu 2014 Cub5</v>
          </cell>
          <cell r="D55">
            <v>0</v>
          </cell>
          <cell r="E55">
            <v>0</v>
          </cell>
          <cell r="F55">
            <v>0</v>
          </cell>
          <cell r="G55">
            <v>0</v>
          </cell>
          <cell r="H55">
            <v>0</v>
          </cell>
          <cell r="I55">
            <v>0</v>
          </cell>
          <cell r="J55">
            <v>1</v>
          </cell>
          <cell r="K55">
            <v>0</v>
          </cell>
          <cell r="L55">
            <v>1</v>
          </cell>
          <cell r="M55">
            <v>1</v>
          </cell>
          <cell r="N55">
            <v>1</v>
          </cell>
          <cell r="O55">
            <v>0</v>
          </cell>
          <cell r="P55">
            <v>1</v>
          </cell>
          <cell r="Q55">
            <v>1</v>
          </cell>
          <cell r="R55">
            <v>0</v>
          </cell>
          <cell r="S55">
            <v>1</v>
          </cell>
          <cell r="T55">
            <v>2014</v>
          </cell>
          <cell r="U55">
            <v>7</v>
          </cell>
          <cell r="V55">
            <v>0</v>
          </cell>
          <cell r="W55">
            <v>1</v>
          </cell>
          <cell r="X55">
            <v>1</v>
          </cell>
          <cell r="Y55">
            <v>1</v>
          </cell>
        </row>
        <row r="56">
          <cell r="A56" t="str">
            <v>ELI-718</v>
          </cell>
          <cell r="B56" t="str">
            <v>Nsefu</v>
          </cell>
          <cell r="C56" t="str">
            <v>Nsefu 2014 Cub6</v>
          </cell>
          <cell r="D56">
            <v>0</v>
          </cell>
          <cell r="E56">
            <v>0</v>
          </cell>
          <cell r="F56">
            <v>0</v>
          </cell>
          <cell r="G56">
            <v>0</v>
          </cell>
          <cell r="H56">
            <v>0</v>
          </cell>
          <cell r="I56">
            <v>0</v>
          </cell>
          <cell r="J56">
            <v>1</v>
          </cell>
          <cell r="K56">
            <v>0</v>
          </cell>
          <cell r="L56">
            <v>1</v>
          </cell>
          <cell r="M56">
            <v>1</v>
          </cell>
          <cell r="N56">
            <v>1</v>
          </cell>
          <cell r="O56">
            <v>0</v>
          </cell>
          <cell r="P56">
            <v>1</v>
          </cell>
          <cell r="Q56">
            <v>1</v>
          </cell>
          <cell r="R56">
            <v>0</v>
          </cell>
          <cell r="S56">
            <v>1</v>
          </cell>
          <cell r="T56">
            <v>2014</v>
          </cell>
          <cell r="U56">
            <v>7</v>
          </cell>
          <cell r="V56">
            <v>0</v>
          </cell>
          <cell r="W56">
            <v>1</v>
          </cell>
          <cell r="X56">
            <v>1</v>
          </cell>
          <cell r="Y56">
            <v>1</v>
          </cell>
        </row>
        <row r="57">
          <cell r="A57" t="str">
            <v>ELI-719</v>
          </cell>
          <cell r="B57" t="str">
            <v>Nsefu</v>
          </cell>
          <cell r="C57" t="str">
            <v>Nsefu 2014 Cub7</v>
          </cell>
          <cell r="D57">
            <v>0</v>
          </cell>
          <cell r="E57">
            <v>0</v>
          </cell>
          <cell r="F57">
            <v>0</v>
          </cell>
          <cell r="G57">
            <v>0</v>
          </cell>
          <cell r="H57">
            <v>0</v>
          </cell>
          <cell r="I57">
            <v>0</v>
          </cell>
          <cell r="J57">
            <v>0</v>
          </cell>
          <cell r="K57">
            <v>0</v>
          </cell>
          <cell r="L57">
            <v>1</v>
          </cell>
          <cell r="M57">
            <v>1</v>
          </cell>
          <cell r="N57">
            <v>1</v>
          </cell>
          <cell r="O57">
            <v>0</v>
          </cell>
          <cell r="P57">
            <v>1</v>
          </cell>
          <cell r="Q57">
            <v>1</v>
          </cell>
          <cell r="R57">
            <v>0</v>
          </cell>
          <cell r="S57">
            <v>1</v>
          </cell>
          <cell r="T57">
            <v>2014</v>
          </cell>
          <cell r="U57">
            <v>7</v>
          </cell>
          <cell r="V57">
            <v>0</v>
          </cell>
          <cell r="W57">
            <v>1</v>
          </cell>
          <cell r="X57">
            <v>1</v>
          </cell>
          <cell r="Y57">
            <v>1</v>
          </cell>
        </row>
        <row r="58">
          <cell r="A58" t="str">
            <v>ELI-698</v>
          </cell>
          <cell r="B58" t="str">
            <v>Nsefu</v>
          </cell>
          <cell r="C58" t="str">
            <v>Nsefu 2014 Cub8</v>
          </cell>
          <cell r="D58">
            <v>0</v>
          </cell>
          <cell r="E58">
            <v>0</v>
          </cell>
          <cell r="F58">
            <v>0</v>
          </cell>
          <cell r="G58">
            <v>0</v>
          </cell>
          <cell r="H58">
            <v>0</v>
          </cell>
          <cell r="I58">
            <v>0</v>
          </cell>
          <cell r="J58">
            <v>0</v>
          </cell>
          <cell r="K58">
            <v>0</v>
          </cell>
          <cell r="L58">
            <v>0</v>
          </cell>
          <cell r="M58">
            <v>1</v>
          </cell>
          <cell r="N58">
            <v>0</v>
          </cell>
          <cell r="O58">
            <v>0</v>
          </cell>
          <cell r="P58">
            <v>0</v>
          </cell>
          <cell r="Q58" t="str">
            <v>NA</v>
          </cell>
          <cell r="R58">
            <v>1</v>
          </cell>
          <cell r="S58">
            <v>1</v>
          </cell>
          <cell r="T58">
            <v>2014</v>
          </cell>
          <cell r="U58">
            <v>10</v>
          </cell>
          <cell r="V58">
            <v>0</v>
          </cell>
          <cell r="W58">
            <v>1</v>
          </cell>
          <cell r="X58">
            <v>1</v>
          </cell>
          <cell r="Y58">
            <v>0</v>
          </cell>
        </row>
        <row r="59">
          <cell r="A59" t="str">
            <v>ELI-258</v>
          </cell>
          <cell r="B59" t="str">
            <v>Hot Springs</v>
          </cell>
          <cell r="C59" t="str">
            <v>Hot Springs F01</v>
          </cell>
          <cell r="D59">
            <v>0</v>
          </cell>
          <cell r="E59">
            <v>0</v>
          </cell>
          <cell r="F59">
            <v>0</v>
          </cell>
          <cell r="G59">
            <v>0</v>
          </cell>
          <cell r="H59">
            <v>0</v>
          </cell>
          <cell r="I59">
            <v>0</v>
          </cell>
          <cell r="J59">
            <v>0</v>
          </cell>
          <cell r="K59">
            <v>0</v>
          </cell>
          <cell r="L59">
            <v>0</v>
          </cell>
          <cell r="M59">
            <v>1</v>
          </cell>
          <cell r="N59">
            <v>1</v>
          </cell>
          <cell r="O59">
            <v>0</v>
          </cell>
          <cell r="P59">
            <v>1</v>
          </cell>
          <cell r="Q59">
            <v>0</v>
          </cell>
          <cell r="R59">
            <v>0</v>
          </cell>
          <cell r="S59">
            <v>1</v>
          </cell>
          <cell r="T59">
            <v>2009</v>
          </cell>
          <cell r="U59">
            <v>8</v>
          </cell>
          <cell r="V59">
            <v>2</v>
          </cell>
          <cell r="W59">
            <v>1</v>
          </cell>
          <cell r="X59">
            <v>1</v>
          </cell>
          <cell r="Y59">
            <v>0</v>
          </cell>
        </row>
        <row r="60">
          <cell r="A60" t="str">
            <v>ELI-256</v>
          </cell>
          <cell r="B60" t="str">
            <v>Hot Springs</v>
          </cell>
          <cell r="C60" t="str">
            <v>Hot Springs F02</v>
          </cell>
          <cell r="D60">
            <v>0</v>
          </cell>
          <cell r="E60">
            <v>0</v>
          </cell>
          <cell r="F60">
            <v>0</v>
          </cell>
          <cell r="G60">
            <v>0</v>
          </cell>
          <cell r="H60">
            <v>0</v>
          </cell>
          <cell r="I60">
            <v>0</v>
          </cell>
          <cell r="J60">
            <v>0</v>
          </cell>
          <cell r="K60">
            <v>0</v>
          </cell>
          <cell r="L60">
            <v>0</v>
          </cell>
          <cell r="M60">
            <v>1</v>
          </cell>
          <cell r="N60">
            <v>1</v>
          </cell>
          <cell r="O60">
            <v>0</v>
          </cell>
          <cell r="P60">
            <v>1</v>
          </cell>
          <cell r="Q60">
            <v>0</v>
          </cell>
          <cell r="R60">
            <v>0</v>
          </cell>
          <cell r="S60">
            <v>1</v>
          </cell>
          <cell r="T60">
            <v>2009</v>
          </cell>
          <cell r="U60">
            <v>8</v>
          </cell>
          <cell r="V60">
            <v>2</v>
          </cell>
          <cell r="W60">
            <v>1</v>
          </cell>
          <cell r="X60">
            <v>1</v>
          </cell>
          <cell r="Y60">
            <v>0</v>
          </cell>
        </row>
        <row r="61">
          <cell r="A61" t="str">
            <v>ELI-608</v>
          </cell>
          <cell r="B61" t="str">
            <v>Hot Springs</v>
          </cell>
          <cell r="C61" t="str">
            <v>Hot Springs Cub 1</v>
          </cell>
          <cell r="D61">
            <v>0</v>
          </cell>
          <cell r="E61">
            <v>0</v>
          </cell>
          <cell r="F61">
            <v>0</v>
          </cell>
          <cell r="G61">
            <v>0</v>
          </cell>
          <cell r="H61">
            <v>0</v>
          </cell>
          <cell r="I61">
            <v>0</v>
          </cell>
          <cell r="J61">
            <v>0</v>
          </cell>
          <cell r="K61">
            <v>0</v>
          </cell>
          <cell r="L61">
            <v>0</v>
          </cell>
          <cell r="M61">
            <v>1</v>
          </cell>
          <cell r="N61">
            <v>0</v>
          </cell>
          <cell r="O61">
            <v>0</v>
          </cell>
          <cell r="P61">
            <v>1</v>
          </cell>
          <cell r="Q61">
            <v>0</v>
          </cell>
          <cell r="R61">
            <v>1</v>
          </cell>
          <cell r="S61">
            <v>1</v>
          </cell>
          <cell r="T61">
            <v>2013</v>
          </cell>
          <cell r="U61">
            <v>7</v>
          </cell>
          <cell r="V61">
            <v>0</v>
          </cell>
          <cell r="W61">
            <v>1</v>
          </cell>
          <cell r="X61">
            <v>1</v>
          </cell>
          <cell r="Y61">
            <v>0</v>
          </cell>
        </row>
        <row r="62">
          <cell r="A62" t="str">
            <v>ELI-609</v>
          </cell>
          <cell r="B62" t="str">
            <v>Hot Springs</v>
          </cell>
          <cell r="C62" t="str">
            <v>Hot Springs Cub 2</v>
          </cell>
          <cell r="D62">
            <v>0</v>
          </cell>
          <cell r="E62">
            <v>0</v>
          </cell>
          <cell r="F62">
            <v>0</v>
          </cell>
          <cell r="G62">
            <v>0</v>
          </cell>
          <cell r="H62">
            <v>0</v>
          </cell>
          <cell r="I62">
            <v>0</v>
          </cell>
          <cell r="J62">
            <v>0</v>
          </cell>
          <cell r="K62">
            <v>0</v>
          </cell>
          <cell r="L62">
            <v>0</v>
          </cell>
          <cell r="M62">
            <v>1</v>
          </cell>
          <cell r="N62">
            <v>1</v>
          </cell>
          <cell r="O62">
            <v>0</v>
          </cell>
          <cell r="P62">
            <v>1</v>
          </cell>
          <cell r="Q62">
            <v>1</v>
          </cell>
          <cell r="R62">
            <v>0</v>
          </cell>
          <cell r="S62">
            <v>1</v>
          </cell>
          <cell r="T62">
            <v>2013</v>
          </cell>
          <cell r="U62">
            <v>7</v>
          </cell>
          <cell r="V62">
            <v>0</v>
          </cell>
          <cell r="W62">
            <v>1</v>
          </cell>
          <cell r="X62">
            <v>1</v>
          </cell>
          <cell r="Y62">
            <v>1</v>
          </cell>
        </row>
        <row r="63">
          <cell r="A63" t="str">
            <v>ELI-611</v>
          </cell>
          <cell r="B63" t="str">
            <v>Hot Springs</v>
          </cell>
          <cell r="C63" t="str">
            <v>Hot Springs Cub 3</v>
          </cell>
          <cell r="D63">
            <v>0</v>
          </cell>
          <cell r="E63">
            <v>0</v>
          </cell>
          <cell r="F63">
            <v>0</v>
          </cell>
          <cell r="G63">
            <v>0</v>
          </cell>
          <cell r="H63">
            <v>0</v>
          </cell>
          <cell r="I63">
            <v>0</v>
          </cell>
          <cell r="J63">
            <v>0</v>
          </cell>
          <cell r="K63">
            <v>0</v>
          </cell>
          <cell r="L63">
            <v>0</v>
          </cell>
          <cell r="M63">
            <v>1</v>
          </cell>
          <cell r="N63">
            <v>1</v>
          </cell>
          <cell r="O63">
            <v>0</v>
          </cell>
          <cell r="P63">
            <v>1</v>
          </cell>
          <cell r="Q63">
            <v>1</v>
          </cell>
          <cell r="R63">
            <v>0</v>
          </cell>
          <cell r="S63">
            <v>1</v>
          </cell>
          <cell r="T63">
            <v>2013</v>
          </cell>
          <cell r="U63">
            <v>7</v>
          </cell>
          <cell r="V63">
            <v>0</v>
          </cell>
          <cell r="W63">
            <v>1</v>
          </cell>
          <cell r="X63">
            <v>1</v>
          </cell>
          <cell r="Y63">
            <v>1</v>
          </cell>
        </row>
        <row r="64">
          <cell r="A64" t="str">
            <v>ELI-204</v>
          </cell>
          <cell r="B64" t="str">
            <v>Kapamba</v>
          </cell>
          <cell r="C64" t="str">
            <v>Kapamba F02</v>
          </cell>
          <cell r="D64">
            <v>0</v>
          </cell>
          <cell r="E64">
            <v>0</v>
          </cell>
          <cell r="F64">
            <v>0</v>
          </cell>
          <cell r="G64">
            <v>0</v>
          </cell>
          <cell r="H64">
            <v>1</v>
          </cell>
          <cell r="I64">
            <v>0</v>
          </cell>
          <cell r="J64">
            <v>0</v>
          </cell>
          <cell r="K64">
            <v>0</v>
          </cell>
          <cell r="L64">
            <v>0</v>
          </cell>
          <cell r="M64">
            <v>0</v>
          </cell>
          <cell r="N64">
            <v>0</v>
          </cell>
          <cell r="O64">
            <v>0</v>
          </cell>
          <cell r="P64">
            <v>1</v>
          </cell>
          <cell r="Q64">
            <v>0</v>
          </cell>
          <cell r="R64">
            <v>0</v>
          </cell>
          <cell r="S64">
            <v>1</v>
          </cell>
          <cell r="T64">
            <v>2012</v>
          </cell>
          <cell r="U64">
            <v>10</v>
          </cell>
          <cell r="V64">
            <v>9</v>
          </cell>
          <cell r="W64">
            <v>0</v>
          </cell>
          <cell r="X64">
            <v>0</v>
          </cell>
          <cell r="Y64">
            <v>0</v>
          </cell>
        </row>
        <row r="65">
          <cell r="A65" t="str">
            <v>ELI-481</v>
          </cell>
          <cell r="B65" t="str">
            <v>Kapamba</v>
          </cell>
          <cell r="C65" t="str">
            <v>New Kapamba F03</v>
          </cell>
          <cell r="D65">
            <v>0</v>
          </cell>
          <cell r="E65">
            <v>0</v>
          </cell>
          <cell r="F65">
            <v>0</v>
          </cell>
          <cell r="G65">
            <v>0</v>
          </cell>
          <cell r="H65">
            <v>0</v>
          </cell>
          <cell r="I65">
            <v>1</v>
          </cell>
          <cell r="J65">
            <v>0</v>
          </cell>
          <cell r="K65">
            <v>1</v>
          </cell>
          <cell r="L65">
            <v>0</v>
          </cell>
          <cell r="M65">
            <v>1</v>
          </cell>
          <cell r="N65">
            <v>0</v>
          </cell>
          <cell r="O65">
            <v>0</v>
          </cell>
          <cell r="P65">
            <v>1</v>
          </cell>
          <cell r="Q65">
            <v>0</v>
          </cell>
          <cell r="R65">
            <v>0</v>
          </cell>
          <cell r="S65">
            <v>1</v>
          </cell>
          <cell r="T65">
            <v>2012</v>
          </cell>
          <cell r="U65">
            <v>11</v>
          </cell>
          <cell r="V65">
            <v>3</v>
          </cell>
          <cell r="W65">
            <v>0</v>
          </cell>
          <cell r="X65">
            <v>0</v>
          </cell>
          <cell r="Y65">
            <v>0</v>
          </cell>
        </row>
        <row r="66">
          <cell r="A66" t="str">
            <v>ELI-480</v>
          </cell>
          <cell r="B66" t="str">
            <v>Kapamba</v>
          </cell>
          <cell r="C66" t="str">
            <v>Kapamba F03</v>
          </cell>
          <cell r="D66">
            <v>0</v>
          </cell>
          <cell r="E66">
            <v>0</v>
          </cell>
          <cell r="F66">
            <v>0</v>
          </cell>
          <cell r="G66">
            <v>0</v>
          </cell>
          <cell r="H66">
            <v>1</v>
          </cell>
          <cell r="I66">
            <v>1</v>
          </cell>
          <cell r="J66">
            <v>0</v>
          </cell>
          <cell r="K66">
            <v>1</v>
          </cell>
          <cell r="L66">
            <v>0</v>
          </cell>
          <cell r="M66">
            <v>1</v>
          </cell>
          <cell r="N66">
            <v>0</v>
          </cell>
          <cell r="O66">
            <v>0</v>
          </cell>
          <cell r="P66">
            <v>1</v>
          </cell>
          <cell r="Q66">
            <v>0</v>
          </cell>
          <cell r="R66">
            <v>0</v>
          </cell>
          <cell r="S66">
            <v>1</v>
          </cell>
          <cell r="T66">
            <v>2012</v>
          </cell>
          <cell r="U66">
            <v>11</v>
          </cell>
          <cell r="V66">
            <v>3</v>
          </cell>
          <cell r="W66">
            <v>0</v>
          </cell>
          <cell r="X66">
            <v>0</v>
          </cell>
          <cell r="Y66">
            <v>0</v>
          </cell>
        </row>
        <row r="67">
          <cell r="A67" t="str">
            <v>ELI-482</v>
          </cell>
          <cell r="B67" t="str">
            <v>Kapamba</v>
          </cell>
          <cell r="C67" t="str">
            <v>Kapamba F04</v>
          </cell>
          <cell r="D67">
            <v>0</v>
          </cell>
          <cell r="E67">
            <v>0</v>
          </cell>
          <cell r="F67">
            <v>0</v>
          </cell>
          <cell r="G67">
            <v>0</v>
          </cell>
          <cell r="H67">
            <v>0</v>
          </cell>
          <cell r="I67">
            <v>0</v>
          </cell>
          <cell r="J67">
            <v>0</v>
          </cell>
          <cell r="K67">
            <v>1</v>
          </cell>
          <cell r="L67">
            <v>0</v>
          </cell>
          <cell r="M67">
            <v>1</v>
          </cell>
          <cell r="N67">
            <v>0</v>
          </cell>
          <cell r="O67">
            <v>0</v>
          </cell>
          <cell r="P67">
            <v>1</v>
          </cell>
          <cell r="Q67">
            <v>0</v>
          </cell>
          <cell r="R67">
            <v>0</v>
          </cell>
          <cell r="S67">
            <v>1</v>
          </cell>
          <cell r="T67">
            <v>2012</v>
          </cell>
          <cell r="U67">
            <v>11</v>
          </cell>
          <cell r="V67">
            <v>3</v>
          </cell>
          <cell r="W67">
            <v>0</v>
          </cell>
          <cell r="X67">
            <v>0</v>
          </cell>
          <cell r="Y67">
            <v>0</v>
          </cell>
        </row>
        <row r="68">
          <cell r="A68" t="str">
            <v>ELI-470</v>
          </cell>
          <cell r="B68" t="str">
            <v>Kapamba</v>
          </cell>
          <cell r="C68" t="str">
            <v>Kapamba F05</v>
          </cell>
          <cell r="D68">
            <v>0</v>
          </cell>
          <cell r="E68">
            <v>0</v>
          </cell>
          <cell r="F68">
            <v>0</v>
          </cell>
          <cell r="G68">
            <v>0</v>
          </cell>
          <cell r="H68">
            <v>0</v>
          </cell>
          <cell r="I68">
            <v>0</v>
          </cell>
          <cell r="J68">
            <v>0</v>
          </cell>
          <cell r="K68">
            <v>1</v>
          </cell>
          <cell r="L68">
            <v>0</v>
          </cell>
          <cell r="M68">
            <v>1</v>
          </cell>
          <cell r="N68">
            <v>0</v>
          </cell>
          <cell r="O68">
            <v>0</v>
          </cell>
          <cell r="P68">
            <v>1</v>
          </cell>
          <cell r="Q68">
            <v>0</v>
          </cell>
          <cell r="R68">
            <v>0</v>
          </cell>
          <cell r="S68">
            <v>1</v>
          </cell>
          <cell r="T68">
            <v>2011</v>
          </cell>
          <cell r="U68">
            <v>8</v>
          </cell>
          <cell r="V68">
            <v>4</v>
          </cell>
          <cell r="W68">
            <v>0</v>
          </cell>
          <cell r="X68">
            <v>0</v>
          </cell>
          <cell r="Y68">
            <v>0</v>
          </cell>
        </row>
        <row r="69">
          <cell r="A69" t="str">
            <v>ELI-438</v>
          </cell>
          <cell r="B69" t="str">
            <v>Chamilandu</v>
          </cell>
          <cell r="C69" t="str">
            <v>2011 Cub U01</v>
          </cell>
          <cell r="D69">
            <v>0</v>
          </cell>
          <cell r="E69">
            <v>0</v>
          </cell>
          <cell r="F69">
            <v>0</v>
          </cell>
          <cell r="G69">
            <v>0</v>
          </cell>
          <cell r="H69">
            <v>1</v>
          </cell>
          <cell r="I69">
            <v>0</v>
          </cell>
          <cell r="J69">
            <v>0</v>
          </cell>
          <cell r="K69">
            <v>1</v>
          </cell>
          <cell r="L69">
            <v>0</v>
          </cell>
          <cell r="M69">
            <v>0</v>
          </cell>
          <cell r="N69">
            <v>0</v>
          </cell>
          <cell r="O69">
            <v>0</v>
          </cell>
          <cell r="P69">
            <v>0</v>
          </cell>
          <cell r="Q69" t="str">
            <v>NA</v>
          </cell>
          <cell r="R69">
            <v>0</v>
          </cell>
          <cell r="S69">
            <v>1</v>
          </cell>
          <cell r="T69">
            <v>2011</v>
          </cell>
          <cell r="U69">
            <v>9</v>
          </cell>
          <cell r="V69">
            <v>0</v>
          </cell>
          <cell r="W69">
            <v>0</v>
          </cell>
          <cell r="X69">
            <v>0</v>
          </cell>
          <cell r="Y69">
            <v>1</v>
          </cell>
        </row>
        <row r="70">
          <cell r="A70" t="str">
            <v>ELI-440</v>
          </cell>
          <cell r="B70" t="str">
            <v>Chamilandu</v>
          </cell>
          <cell r="C70" t="str">
            <v>Chamilandu F10</v>
          </cell>
          <cell r="D70">
            <v>0</v>
          </cell>
          <cell r="E70">
            <v>0</v>
          </cell>
          <cell r="F70">
            <v>0</v>
          </cell>
          <cell r="G70">
            <v>0</v>
          </cell>
          <cell r="H70">
            <v>1</v>
          </cell>
          <cell r="I70">
            <v>0</v>
          </cell>
          <cell r="J70">
            <v>0</v>
          </cell>
          <cell r="K70">
            <v>1</v>
          </cell>
          <cell r="L70">
            <v>0</v>
          </cell>
          <cell r="M70">
            <v>0</v>
          </cell>
          <cell r="N70">
            <v>0</v>
          </cell>
          <cell r="O70">
            <v>0</v>
          </cell>
          <cell r="P70">
            <v>1</v>
          </cell>
          <cell r="Q70">
            <v>0</v>
          </cell>
          <cell r="R70">
            <v>0</v>
          </cell>
          <cell r="S70">
            <v>1</v>
          </cell>
          <cell r="T70">
            <v>2011</v>
          </cell>
          <cell r="U70">
            <v>9</v>
          </cell>
          <cell r="V70">
            <v>0</v>
          </cell>
          <cell r="W70">
            <v>0</v>
          </cell>
          <cell r="X70">
            <v>0</v>
          </cell>
          <cell r="Y70">
            <v>0</v>
          </cell>
        </row>
        <row r="71">
          <cell r="A71" t="str">
            <v>ELI-197</v>
          </cell>
          <cell r="B71" t="str">
            <v>Hollywood</v>
          </cell>
          <cell r="C71" t="str">
            <v>Hollywood F01</v>
          </cell>
          <cell r="D71">
            <v>0</v>
          </cell>
          <cell r="E71">
            <v>0</v>
          </cell>
          <cell r="F71">
            <v>0</v>
          </cell>
          <cell r="G71">
            <v>0</v>
          </cell>
          <cell r="H71">
            <v>0</v>
          </cell>
          <cell r="I71">
            <v>1</v>
          </cell>
          <cell r="J71">
            <v>1</v>
          </cell>
          <cell r="K71">
            <v>1</v>
          </cell>
          <cell r="L71">
            <v>0</v>
          </cell>
          <cell r="M71">
            <v>0</v>
          </cell>
          <cell r="N71">
            <v>1</v>
          </cell>
          <cell r="O71">
            <v>0</v>
          </cell>
          <cell r="P71">
            <v>1</v>
          </cell>
          <cell r="Q71">
            <v>0</v>
          </cell>
          <cell r="R71">
            <v>0</v>
          </cell>
          <cell r="S71">
            <v>1</v>
          </cell>
          <cell r="T71">
            <v>2009</v>
          </cell>
          <cell r="U71">
            <v>8</v>
          </cell>
          <cell r="V71">
            <v>2</v>
          </cell>
          <cell r="W71">
            <v>0</v>
          </cell>
          <cell r="X71">
            <v>0</v>
          </cell>
          <cell r="Y71">
            <v>0</v>
          </cell>
        </row>
        <row r="72">
          <cell r="A72" t="str">
            <v>ELI-198</v>
          </cell>
          <cell r="B72" t="str">
            <v>Hollywood</v>
          </cell>
          <cell r="C72" t="str">
            <v>Hollywood F02</v>
          </cell>
          <cell r="D72">
            <v>0</v>
          </cell>
          <cell r="E72">
            <v>0</v>
          </cell>
          <cell r="F72">
            <v>0</v>
          </cell>
          <cell r="G72">
            <v>0</v>
          </cell>
          <cell r="H72">
            <v>0</v>
          </cell>
          <cell r="I72">
            <v>1</v>
          </cell>
          <cell r="J72">
            <v>1</v>
          </cell>
          <cell r="K72">
            <v>1</v>
          </cell>
          <cell r="L72">
            <v>0</v>
          </cell>
          <cell r="M72">
            <v>0</v>
          </cell>
          <cell r="N72">
            <v>1</v>
          </cell>
          <cell r="O72">
            <v>0</v>
          </cell>
          <cell r="P72">
            <v>1</v>
          </cell>
          <cell r="Q72">
            <v>0</v>
          </cell>
          <cell r="R72">
            <v>0</v>
          </cell>
          <cell r="S72">
            <v>1</v>
          </cell>
          <cell r="T72">
            <v>2009</v>
          </cell>
          <cell r="U72">
            <v>8</v>
          </cell>
          <cell r="V72">
            <v>5</v>
          </cell>
          <cell r="W72">
            <v>0</v>
          </cell>
          <cell r="X72">
            <v>0</v>
          </cell>
          <cell r="Y72">
            <v>0</v>
          </cell>
        </row>
        <row r="73">
          <cell r="A73" t="str">
            <v>ELI-230</v>
          </cell>
          <cell r="B73" t="str">
            <v>Hollywood</v>
          </cell>
          <cell r="C73" t="str">
            <v>Hollywood F03</v>
          </cell>
          <cell r="D73">
            <v>0</v>
          </cell>
          <cell r="E73">
            <v>0</v>
          </cell>
          <cell r="F73">
            <v>0</v>
          </cell>
          <cell r="G73">
            <v>0</v>
          </cell>
          <cell r="H73">
            <v>0</v>
          </cell>
          <cell r="I73">
            <v>1</v>
          </cell>
          <cell r="J73">
            <v>0</v>
          </cell>
          <cell r="K73">
            <v>1</v>
          </cell>
          <cell r="L73">
            <v>1</v>
          </cell>
          <cell r="M73">
            <v>0</v>
          </cell>
          <cell r="N73">
            <v>1</v>
          </cell>
          <cell r="O73">
            <v>0</v>
          </cell>
          <cell r="P73">
            <v>1</v>
          </cell>
          <cell r="Q73">
            <v>0</v>
          </cell>
          <cell r="R73">
            <v>0</v>
          </cell>
          <cell r="S73">
            <v>1</v>
          </cell>
          <cell r="T73">
            <v>2009</v>
          </cell>
          <cell r="U73">
            <v>8</v>
          </cell>
          <cell r="V73">
            <v>4</v>
          </cell>
          <cell r="W73">
            <v>0</v>
          </cell>
          <cell r="X73">
            <v>0</v>
          </cell>
          <cell r="Y73">
            <v>0</v>
          </cell>
        </row>
        <row r="74">
          <cell r="A74" t="str">
            <v>ELI-231</v>
          </cell>
          <cell r="B74" t="str">
            <v>Hollywood</v>
          </cell>
          <cell r="C74" t="str">
            <v>Hollywood F04</v>
          </cell>
          <cell r="D74">
            <v>0</v>
          </cell>
          <cell r="E74">
            <v>0</v>
          </cell>
          <cell r="F74">
            <v>0</v>
          </cell>
          <cell r="G74">
            <v>0</v>
          </cell>
          <cell r="H74">
            <v>0</v>
          </cell>
          <cell r="I74">
            <v>1</v>
          </cell>
          <cell r="J74">
            <v>1</v>
          </cell>
          <cell r="K74">
            <v>1</v>
          </cell>
          <cell r="L74">
            <v>0</v>
          </cell>
          <cell r="M74">
            <v>0</v>
          </cell>
          <cell r="N74">
            <v>1</v>
          </cell>
          <cell r="O74">
            <v>0</v>
          </cell>
          <cell r="P74">
            <v>1</v>
          </cell>
          <cell r="Q74">
            <v>0</v>
          </cell>
          <cell r="R74">
            <v>0</v>
          </cell>
          <cell r="S74">
            <v>1</v>
          </cell>
          <cell r="T74">
            <v>2009</v>
          </cell>
          <cell r="U74">
            <v>8</v>
          </cell>
          <cell r="V74">
            <v>0</v>
          </cell>
          <cell r="W74">
            <v>0</v>
          </cell>
          <cell r="X74">
            <v>0</v>
          </cell>
          <cell r="Y74">
            <v>0</v>
          </cell>
        </row>
        <row r="75">
          <cell r="A75" t="str">
            <v>ELI-232</v>
          </cell>
          <cell r="B75" t="str">
            <v>Hollywood</v>
          </cell>
          <cell r="C75" t="str">
            <v>Hollywood F05</v>
          </cell>
          <cell r="D75">
            <v>0</v>
          </cell>
          <cell r="E75">
            <v>0</v>
          </cell>
          <cell r="F75">
            <v>0</v>
          </cell>
          <cell r="G75">
            <v>0</v>
          </cell>
          <cell r="H75">
            <v>0</v>
          </cell>
          <cell r="I75">
            <v>0</v>
          </cell>
          <cell r="J75">
            <v>1</v>
          </cell>
          <cell r="K75">
            <v>0</v>
          </cell>
          <cell r="L75">
            <v>0</v>
          </cell>
          <cell r="M75">
            <v>0</v>
          </cell>
          <cell r="N75">
            <v>0</v>
          </cell>
          <cell r="O75">
            <v>0</v>
          </cell>
          <cell r="P75">
            <v>1</v>
          </cell>
          <cell r="Q75">
            <v>0</v>
          </cell>
          <cell r="R75">
            <v>0</v>
          </cell>
          <cell r="S75">
            <v>1</v>
          </cell>
          <cell r="T75">
            <v>2009</v>
          </cell>
          <cell r="U75">
            <v>8</v>
          </cell>
          <cell r="V75">
            <v>0</v>
          </cell>
          <cell r="W75">
            <v>0</v>
          </cell>
          <cell r="X75">
            <v>0</v>
          </cell>
          <cell r="Y75">
            <v>0</v>
          </cell>
        </row>
        <row r="76">
          <cell r="A76" t="str">
            <v>ELI-424</v>
          </cell>
          <cell r="B76" t="str">
            <v>Hollywood</v>
          </cell>
          <cell r="C76" t="str">
            <v>Hollywood F06</v>
          </cell>
          <cell r="D76">
            <v>0</v>
          </cell>
          <cell r="E76">
            <v>0</v>
          </cell>
          <cell r="F76">
            <v>0</v>
          </cell>
          <cell r="G76">
            <v>0</v>
          </cell>
          <cell r="H76">
            <v>0</v>
          </cell>
          <cell r="I76">
            <v>1</v>
          </cell>
          <cell r="J76">
            <v>0</v>
          </cell>
          <cell r="K76">
            <v>1</v>
          </cell>
          <cell r="L76">
            <v>0</v>
          </cell>
          <cell r="M76">
            <v>0</v>
          </cell>
          <cell r="N76">
            <v>1</v>
          </cell>
          <cell r="O76">
            <v>0</v>
          </cell>
          <cell r="P76">
            <v>1</v>
          </cell>
          <cell r="Q76">
            <v>0</v>
          </cell>
          <cell r="R76">
            <v>0</v>
          </cell>
          <cell r="S76">
            <v>1</v>
          </cell>
          <cell r="T76">
            <v>2012</v>
          </cell>
          <cell r="U76">
            <v>10</v>
          </cell>
          <cell r="V76">
            <v>3</v>
          </cell>
          <cell r="W76">
            <v>0</v>
          </cell>
          <cell r="X76">
            <v>0</v>
          </cell>
          <cell r="Y76">
            <v>0</v>
          </cell>
        </row>
        <row r="77">
          <cell r="A77" t="str">
            <v>ELI-425</v>
          </cell>
          <cell r="B77" t="str">
            <v>Hollywood</v>
          </cell>
          <cell r="C77" t="str">
            <v>Hollywood F07</v>
          </cell>
          <cell r="D77">
            <v>0</v>
          </cell>
          <cell r="E77">
            <v>0</v>
          </cell>
          <cell r="F77">
            <v>0</v>
          </cell>
          <cell r="G77">
            <v>0</v>
          </cell>
          <cell r="H77">
            <v>0</v>
          </cell>
          <cell r="I77">
            <v>0</v>
          </cell>
          <cell r="J77">
            <v>1</v>
          </cell>
          <cell r="K77">
            <v>1</v>
          </cell>
          <cell r="L77">
            <v>0</v>
          </cell>
          <cell r="M77">
            <v>0</v>
          </cell>
          <cell r="N77">
            <v>1</v>
          </cell>
          <cell r="O77">
            <v>0</v>
          </cell>
          <cell r="P77">
            <v>1</v>
          </cell>
          <cell r="Q77">
            <v>0</v>
          </cell>
          <cell r="R77">
            <v>0</v>
          </cell>
          <cell r="S77">
            <v>1</v>
          </cell>
          <cell r="T77">
            <v>2011</v>
          </cell>
          <cell r="U77">
            <v>6</v>
          </cell>
          <cell r="V77">
            <v>2</v>
          </cell>
          <cell r="W77">
            <v>0</v>
          </cell>
          <cell r="X77">
            <v>0</v>
          </cell>
          <cell r="Y77">
            <v>0</v>
          </cell>
        </row>
        <row r="78">
          <cell r="A78" t="str">
            <v>ELI-612</v>
          </cell>
          <cell r="B78" t="str">
            <v>Hollywood</v>
          </cell>
          <cell r="C78" t="str">
            <v>Hollywood 2013Cub1</v>
          </cell>
          <cell r="D78">
            <v>0</v>
          </cell>
          <cell r="E78">
            <v>0</v>
          </cell>
          <cell r="F78">
            <v>0</v>
          </cell>
          <cell r="G78">
            <v>0</v>
          </cell>
          <cell r="H78">
            <v>0</v>
          </cell>
          <cell r="I78">
            <v>1</v>
          </cell>
          <cell r="J78">
            <v>1</v>
          </cell>
          <cell r="K78">
            <v>1</v>
          </cell>
          <cell r="L78">
            <v>0</v>
          </cell>
          <cell r="M78">
            <v>0</v>
          </cell>
          <cell r="N78">
            <v>1</v>
          </cell>
          <cell r="O78">
            <v>0</v>
          </cell>
          <cell r="P78">
            <v>1</v>
          </cell>
          <cell r="Q78">
            <v>0</v>
          </cell>
          <cell r="R78">
            <v>1</v>
          </cell>
          <cell r="S78">
            <v>1</v>
          </cell>
          <cell r="T78">
            <v>2013</v>
          </cell>
          <cell r="U78">
            <v>9</v>
          </cell>
          <cell r="V78">
            <v>0</v>
          </cell>
          <cell r="W78">
            <v>0</v>
          </cell>
          <cell r="X78">
            <v>0</v>
          </cell>
          <cell r="Y78">
            <v>0</v>
          </cell>
        </row>
        <row r="79">
          <cell r="A79" t="str">
            <v>ELI-613</v>
          </cell>
          <cell r="B79" t="str">
            <v>Hollywood</v>
          </cell>
          <cell r="C79" t="str">
            <v>Hollywood 2013Cub2</v>
          </cell>
          <cell r="D79">
            <v>0</v>
          </cell>
          <cell r="E79">
            <v>0</v>
          </cell>
          <cell r="F79">
            <v>0</v>
          </cell>
          <cell r="G79">
            <v>0</v>
          </cell>
          <cell r="H79">
            <v>0</v>
          </cell>
          <cell r="I79">
            <v>1</v>
          </cell>
          <cell r="J79">
            <v>1</v>
          </cell>
          <cell r="K79">
            <v>1</v>
          </cell>
          <cell r="L79">
            <v>0</v>
          </cell>
          <cell r="M79">
            <v>0</v>
          </cell>
          <cell r="N79">
            <v>1</v>
          </cell>
          <cell r="O79">
            <v>0</v>
          </cell>
          <cell r="P79">
            <v>1</v>
          </cell>
          <cell r="Q79">
            <v>0</v>
          </cell>
          <cell r="R79">
            <v>0</v>
          </cell>
          <cell r="S79">
            <v>1</v>
          </cell>
          <cell r="T79">
            <v>2013</v>
          </cell>
          <cell r="U79">
            <v>9</v>
          </cell>
          <cell r="V79">
            <v>0</v>
          </cell>
          <cell r="W79">
            <v>0</v>
          </cell>
          <cell r="X79">
            <v>0</v>
          </cell>
          <cell r="Y79">
            <v>0</v>
          </cell>
        </row>
        <row r="80">
          <cell r="A80" t="str">
            <v>ELI-615</v>
          </cell>
          <cell r="B80" t="str">
            <v>Hollywood</v>
          </cell>
          <cell r="C80" t="str">
            <v>Hollywood 2013Cub3</v>
          </cell>
          <cell r="D80">
            <v>0</v>
          </cell>
          <cell r="E80">
            <v>0</v>
          </cell>
          <cell r="F80">
            <v>0</v>
          </cell>
          <cell r="G80">
            <v>0</v>
          </cell>
          <cell r="H80">
            <v>0</v>
          </cell>
          <cell r="I80">
            <v>1</v>
          </cell>
          <cell r="J80">
            <v>1</v>
          </cell>
          <cell r="K80">
            <v>1</v>
          </cell>
          <cell r="L80">
            <v>0</v>
          </cell>
          <cell r="M80">
            <v>0</v>
          </cell>
          <cell r="N80">
            <v>1</v>
          </cell>
          <cell r="O80">
            <v>0</v>
          </cell>
          <cell r="P80">
            <v>1</v>
          </cell>
          <cell r="Q80">
            <v>1</v>
          </cell>
          <cell r="R80">
            <v>0</v>
          </cell>
          <cell r="S80">
            <v>1</v>
          </cell>
          <cell r="T80">
            <v>2013</v>
          </cell>
          <cell r="U80">
            <v>9</v>
          </cell>
          <cell r="V80">
            <v>0</v>
          </cell>
          <cell r="W80">
            <v>0</v>
          </cell>
          <cell r="X80">
            <v>0</v>
          </cell>
          <cell r="Y80">
            <v>1</v>
          </cell>
        </row>
        <row r="81">
          <cell r="A81" t="str">
            <v>ELI-616</v>
          </cell>
          <cell r="B81" t="str">
            <v>Hollywood</v>
          </cell>
          <cell r="C81" t="str">
            <v>Hollywood 2013Cub4</v>
          </cell>
          <cell r="D81">
            <v>0</v>
          </cell>
          <cell r="E81">
            <v>0</v>
          </cell>
          <cell r="F81">
            <v>0</v>
          </cell>
          <cell r="G81">
            <v>0</v>
          </cell>
          <cell r="H81">
            <v>0</v>
          </cell>
          <cell r="I81">
            <v>1</v>
          </cell>
          <cell r="J81">
            <v>1</v>
          </cell>
          <cell r="K81">
            <v>1</v>
          </cell>
          <cell r="L81">
            <v>0</v>
          </cell>
          <cell r="M81">
            <v>0</v>
          </cell>
          <cell r="N81">
            <v>1</v>
          </cell>
          <cell r="O81">
            <v>0</v>
          </cell>
          <cell r="P81">
            <v>1</v>
          </cell>
          <cell r="Q81">
            <v>0</v>
          </cell>
          <cell r="R81">
            <v>0</v>
          </cell>
          <cell r="S81">
            <v>1</v>
          </cell>
          <cell r="T81">
            <v>2013</v>
          </cell>
          <cell r="U81">
            <v>9</v>
          </cell>
          <cell r="V81">
            <v>0</v>
          </cell>
          <cell r="W81">
            <v>0</v>
          </cell>
          <cell r="X81">
            <v>0</v>
          </cell>
          <cell r="Y81">
            <v>0</v>
          </cell>
        </row>
        <row r="82">
          <cell r="A82" t="str">
            <v>ELI-617</v>
          </cell>
          <cell r="B82" t="str">
            <v>Hollywood</v>
          </cell>
          <cell r="C82" t="str">
            <v>Hollywood 2013Cub5</v>
          </cell>
          <cell r="D82">
            <v>0</v>
          </cell>
          <cell r="E82">
            <v>0</v>
          </cell>
          <cell r="F82">
            <v>0</v>
          </cell>
          <cell r="G82">
            <v>0</v>
          </cell>
          <cell r="H82">
            <v>0</v>
          </cell>
          <cell r="I82">
            <v>1</v>
          </cell>
          <cell r="J82">
            <v>1</v>
          </cell>
          <cell r="K82">
            <v>1</v>
          </cell>
          <cell r="L82">
            <v>0</v>
          </cell>
          <cell r="M82">
            <v>0</v>
          </cell>
          <cell r="N82">
            <v>1</v>
          </cell>
          <cell r="O82">
            <v>0</v>
          </cell>
          <cell r="P82">
            <v>1</v>
          </cell>
          <cell r="Q82">
            <v>1</v>
          </cell>
          <cell r="R82">
            <v>0</v>
          </cell>
          <cell r="S82">
            <v>1</v>
          </cell>
          <cell r="T82">
            <v>2013</v>
          </cell>
          <cell r="U82">
            <v>9</v>
          </cell>
          <cell r="V82">
            <v>0</v>
          </cell>
          <cell r="W82">
            <v>0</v>
          </cell>
          <cell r="X82">
            <v>0</v>
          </cell>
          <cell r="Y82">
            <v>1</v>
          </cell>
        </row>
        <row r="83">
          <cell r="A83" t="str">
            <v>ELI-618</v>
          </cell>
          <cell r="B83" t="str">
            <v>Hollywood</v>
          </cell>
          <cell r="C83" t="str">
            <v>Hollywood 2013Cub6</v>
          </cell>
          <cell r="D83">
            <v>0</v>
          </cell>
          <cell r="E83">
            <v>0</v>
          </cell>
          <cell r="F83">
            <v>0</v>
          </cell>
          <cell r="G83">
            <v>0</v>
          </cell>
          <cell r="H83">
            <v>0</v>
          </cell>
          <cell r="I83">
            <v>1</v>
          </cell>
          <cell r="J83">
            <v>1</v>
          </cell>
          <cell r="K83">
            <v>1</v>
          </cell>
          <cell r="L83">
            <v>0</v>
          </cell>
          <cell r="M83">
            <v>0</v>
          </cell>
          <cell r="N83">
            <v>1</v>
          </cell>
          <cell r="O83">
            <v>0</v>
          </cell>
          <cell r="P83">
            <v>1</v>
          </cell>
          <cell r="Q83">
            <v>0</v>
          </cell>
          <cell r="R83">
            <v>0</v>
          </cell>
          <cell r="S83">
            <v>1</v>
          </cell>
          <cell r="T83">
            <v>2013</v>
          </cell>
          <cell r="U83">
            <v>9</v>
          </cell>
          <cell r="V83">
            <v>0</v>
          </cell>
          <cell r="W83">
            <v>0</v>
          </cell>
          <cell r="X83">
            <v>0</v>
          </cell>
          <cell r="Y83">
            <v>0</v>
          </cell>
        </row>
        <row r="84">
          <cell r="A84" t="str">
            <v>ELI-735</v>
          </cell>
          <cell r="B84" t="str">
            <v>Hollywood</v>
          </cell>
          <cell r="C84" t="str">
            <v>Hollywood 2013Cub7</v>
          </cell>
          <cell r="D84">
            <v>0</v>
          </cell>
          <cell r="E84">
            <v>0</v>
          </cell>
          <cell r="F84">
            <v>0</v>
          </cell>
          <cell r="G84">
            <v>0</v>
          </cell>
          <cell r="H84">
            <v>0</v>
          </cell>
          <cell r="I84">
            <v>0</v>
          </cell>
          <cell r="J84">
            <v>0</v>
          </cell>
          <cell r="K84">
            <v>1</v>
          </cell>
          <cell r="L84">
            <v>0</v>
          </cell>
          <cell r="M84">
            <v>0</v>
          </cell>
          <cell r="N84">
            <v>1</v>
          </cell>
          <cell r="O84">
            <v>0</v>
          </cell>
          <cell r="P84">
            <v>1</v>
          </cell>
          <cell r="Q84">
            <v>0</v>
          </cell>
          <cell r="R84">
            <v>0</v>
          </cell>
          <cell r="S84">
            <v>1</v>
          </cell>
          <cell r="T84">
            <v>2014</v>
          </cell>
          <cell r="U84">
            <v>8</v>
          </cell>
          <cell r="V84">
            <v>0</v>
          </cell>
          <cell r="W84">
            <v>0</v>
          </cell>
          <cell r="X84">
            <v>0</v>
          </cell>
          <cell r="Y84">
            <v>0</v>
          </cell>
        </row>
        <row r="85">
          <cell r="A85" t="str">
            <v>ELI-736</v>
          </cell>
          <cell r="B85" t="str">
            <v>Hollywood</v>
          </cell>
          <cell r="C85" t="str">
            <v>Hollywood 2014Cub3</v>
          </cell>
          <cell r="D85">
            <v>0</v>
          </cell>
          <cell r="E85">
            <v>0</v>
          </cell>
          <cell r="F85">
            <v>0</v>
          </cell>
          <cell r="G85">
            <v>0</v>
          </cell>
          <cell r="H85">
            <v>0</v>
          </cell>
          <cell r="I85">
            <v>0</v>
          </cell>
          <cell r="J85">
            <v>0</v>
          </cell>
          <cell r="K85">
            <v>1</v>
          </cell>
          <cell r="L85">
            <v>0</v>
          </cell>
          <cell r="M85">
            <v>0</v>
          </cell>
          <cell r="N85">
            <v>1</v>
          </cell>
          <cell r="O85">
            <v>0</v>
          </cell>
          <cell r="P85">
            <v>1</v>
          </cell>
          <cell r="Q85">
            <v>0</v>
          </cell>
          <cell r="R85">
            <v>0</v>
          </cell>
          <cell r="S85">
            <v>1</v>
          </cell>
          <cell r="T85">
            <v>2014</v>
          </cell>
          <cell r="U85">
            <v>8</v>
          </cell>
          <cell r="V85">
            <v>0</v>
          </cell>
          <cell r="W85">
            <v>0</v>
          </cell>
          <cell r="X85">
            <v>0</v>
          </cell>
          <cell r="Y85">
            <v>0</v>
          </cell>
        </row>
        <row r="86">
          <cell r="A86" t="str">
            <v>ELI-737</v>
          </cell>
          <cell r="B86" t="str">
            <v>Hollywood</v>
          </cell>
          <cell r="C86" t="str">
            <v>Hollywood 2013Cub8</v>
          </cell>
          <cell r="D86">
            <v>0</v>
          </cell>
          <cell r="E86">
            <v>0</v>
          </cell>
          <cell r="F86">
            <v>0</v>
          </cell>
          <cell r="G86">
            <v>0</v>
          </cell>
          <cell r="H86">
            <v>0</v>
          </cell>
          <cell r="I86">
            <v>0</v>
          </cell>
          <cell r="J86">
            <v>0</v>
          </cell>
          <cell r="K86">
            <v>1</v>
          </cell>
          <cell r="L86">
            <v>0</v>
          </cell>
          <cell r="M86">
            <v>0</v>
          </cell>
          <cell r="N86">
            <v>1</v>
          </cell>
          <cell r="O86">
            <v>0</v>
          </cell>
          <cell r="P86">
            <v>1</v>
          </cell>
          <cell r="Q86">
            <v>1</v>
          </cell>
          <cell r="R86">
            <v>0</v>
          </cell>
          <cell r="S86">
            <v>1</v>
          </cell>
          <cell r="T86">
            <v>2014</v>
          </cell>
          <cell r="U86">
            <v>8</v>
          </cell>
          <cell r="V86">
            <v>0</v>
          </cell>
          <cell r="W86">
            <v>0</v>
          </cell>
          <cell r="X86">
            <v>0</v>
          </cell>
          <cell r="Y86">
            <v>1</v>
          </cell>
        </row>
        <row r="87">
          <cell r="A87" t="str">
            <v>ELI-738</v>
          </cell>
          <cell r="B87" t="str">
            <v>Hollywood</v>
          </cell>
          <cell r="C87" t="str">
            <v>Hollywood 2014Cub1</v>
          </cell>
          <cell r="D87">
            <v>0</v>
          </cell>
          <cell r="E87">
            <v>0</v>
          </cell>
          <cell r="F87">
            <v>0</v>
          </cell>
          <cell r="G87">
            <v>0</v>
          </cell>
          <cell r="H87">
            <v>0</v>
          </cell>
          <cell r="I87">
            <v>0</v>
          </cell>
          <cell r="J87">
            <v>0</v>
          </cell>
          <cell r="K87">
            <v>0</v>
          </cell>
          <cell r="L87">
            <v>1</v>
          </cell>
          <cell r="M87">
            <v>0</v>
          </cell>
          <cell r="N87">
            <v>0</v>
          </cell>
          <cell r="O87">
            <v>0</v>
          </cell>
          <cell r="P87">
            <v>1</v>
          </cell>
          <cell r="Q87">
            <v>0</v>
          </cell>
          <cell r="R87">
            <v>0</v>
          </cell>
          <cell r="S87">
            <v>1</v>
          </cell>
          <cell r="T87">
            <v>2014</v>
          </cell>
          <cell r="U87">
            <v>9</v>
          </cell>
          <cell r="V87">
            <v>0</v>
          </cell>
          <cell r="W87">
            <v>0</v>
          </cell>
          <cell r="X87">
            <v>0</v>
          </cell>
          <cell r="Y87">
            <v>0</v>
          </cell>
        </row>
        <row r="88">
          <cell r="A88" t="str">
            <v>ELI-739</v>
          </cell>
          <cell r="B88" t="str">
            <v>Hollywood</v>
          </cell>
          <cell r="C88" t="str">
            <v>Hollywood 2014Cub2</v>
          </cell>
          <cell r="D88">
            <v>0</v>
          </cell>
          <cell r="E88">
            <v>0</v>
          </cell>
          <cell r="F88">
            <v>0</v>
          </cell>
          <cell r="G88">
            <v>0</v>
          </cell>
          <cell r="H88">
            <v>0</v>
          </cell>
          <cell r="I88">
            <v>0</v>
          </cell>
          <cell r="J88">
            <v>0</v>
          </cell>
          <cell r="K88">
            <v>0</v>
          </cell>
          <cell r="L88">
            <v>1</v>
          </cell>
          <cell r="M88">
            <v>0</v>
          </cell>
          <cell r="N88">
            <v>0</v>
          </cell>
          <cell r="O88">
            <v>0</v>
          </cell>
          <cell r="P88">
            <v>0</v>
          </cell>
          <cell r="Q88">
            <v>0</v>
          </cell>
          <cell r="R88">
            <v>1</v>
          </cell>
          <cell r="S88">
            <v>1</v>
          </cell>
          <cell r="T88">
            <v>2014</v>
          </cell>
          <cell r="U88">
            <v>9</v>
          </cell>
          <cell r="V88">
            <v>0</v>
          </cell>
          <cell r="W88">
            <v>0</v>
          </cell>
          <cell r="X88">
            <v>0</v>
          </cell>
          <cell r="Y88">
            <v>0</v>
          </cell>
        </row>
        <row r="89">
          <cell r="A89" t="str">
            <v>ELI-619</v>
          </cell>
          <cell r="B89" t="str">
            <v>Hollywood</v>
          </cell>
          <cell r="C89" t="str">
            <v>Hollywood 2013Cub9</v>
          </cell>
          <cell r="D89">
            <v>0</v>
          </cell>
          <cell r="E89">
            <v>0</v>
          </cell>
          <cell r="F89">
            <v>0</v>
          </cell>
          <cell r="G89">
            <v>0</v>
          </cell>
          <cell r="H89">
            <v>0</v>
          </cell>
          <cell r="I89">
            <v>0</v>
          </cell>
          <cell r="J89">
            <v>1</v>
          </cell>
          <cell r="K89">
            <v>0</v>
          </cell>
          <cell r="L89">
            <v>0</v>
          </cell>
          <cell r="M89">
            <v>0</v>
          </cell>
          <cell r="N89">
            <v>0</v>
          </cell>
          <cell r="O89">
            <v>0</v>
          </cell>
          <cell r="P89">
            <v>0</v>
          </cell>
          <cell r="Q89" t="str">
            <v>NA</v>
          </cell>
          <cell r="R89">
            <v>1</v>
          </cell>
          <cell r="S89">
            <v>1</v>
          </cell>
          <cell r="T89">
            <v>2013</v>
          </cell>
          <cell r="U89">
            <v>10</v>
          </cell>
          <cell r="V89">
            <v>0</v>
          </cell>
          <cell r="W89">
            <v>0</v>
          </cell>
          <cell r="X89">
            <v>0</v>
          </cell>
          <cell r="Y89">
            <v>0</v>
          </cell>
        </row>
        <row r="90">
          <cell r="A90" t="str">
            <v>ELI-154</v>
          </cell>
          <cell r="B90" t="str">
            <v>Luwi</v>
          </cell>
          <cell r="C90" t="str">
            <v>Luwi F03</v>
          </cell>
          <cell r="D90">
            <v>0</v>
          </cell>
          <cell r="E90">
            <v>0</v>
          </cell>
          <cell r="F90">
            <v>0</v>
          </cell>
          <cell r="G90">
            <v>0</v>
          </cell>
          <cell r="H90">
            <v>1</v>
          </cell>
          <cell r="I90">
            <v>1</v>
          </cell>
          <cell r="J90">
            <v>1</v>
          </cell>
          <cell r="K90">
            <v>1</v>
          </cell>
          <cell r="L90">
            <v>1</v>
          </cell>
          <cell r="M90">
            <v>1</v>
          </cell>
          <cell r="N90">
            <v>0</v>
          </cell>
          <cell r="O90">
            <v>0</v>
          </cell>
          <cell r="P90">
            <v>1</v>
          </cell>
          <cell r="Q90">
            <v>0</v>
          </cell>
          <cell r="R90">
            <v>0</v>
          </cell>
          <cell r="S90">
            <v>1</v>
          </cell>
          <cell r="T90">
            <v>2008</v>
          </cell>
          <cell r="U90">
            <v>7</v>
          </cell>
          <cell r="V90">
            <v>4</v>
          </cell>
          <cell r="W90">
            <v>1</v>
          </cell>
          <cell r="X90">
            <v>1</v>
          </cell>
          <cell r="Y90">
            <v>0</v>
          </cell>
        </row>
        <row r="91">
          <cell r="A91" t="str">
            <v>ELI-155</v>
          </cell>
          <cell r="B91" t="str">
            <v>Luwi</v>
          </cell>
          <cell r="C91" t="str">
            <v>Luwi F04</v>
          </cell>
          <cell r="D91">
            <v>0</v>
          </cell>
          <cell r="E91">
            <v>0</v>
          </cell>
          <cell r="F91">
            <v>0</v>
          </cell>
          <cell r="G91">
            <v>1</v>
          </cell>
          <cell r="H91">
            <v>1</v>
          </cell>
          <cell r="I91">
            <v>1</v>
          </cell>
          <cell r="J91">
            <v>1</v>
          </cell>
          <cell r="K91">
            <v>1</v>
          </cell>
          <cell r="L91">
            <v>1</v>
          </cell>
          <cell r="M91">
            <v>1</v>
          </cell>
          <cell r="N91">
            <v>0</v>
          </cell>
          <cell r="O91">
            <v>0</v>
          </cell>
          <cell r="P91">
            <v>1</v>
          </cell>
          <cell r="Q91">
            <v>0</v>
          </cell>
          <cell r="R91">
            <v>0</v>
          </cell>
          <cell r="S91">
            <v>1</v>
          </cell>
          <cell r="T91">
            <v>2008</v>
          </cell>
          <cell r="U91">
            <v>5</v>
          </cell>
          <cell r="V91">
            <v>2</v>
          </cell>
          <cell r="W91">
            <v>1</v>
          </cell>
          <cell r="X91">
            <v>1</v>
          </cell>
          <cell r="Y91">
            <v>0</v>
          </cell>
        </row>
        <row r="92">
          <cell r="A92" t="str">
            <v>ELI-369</v>
          </cell>
          <cell r="B92" t="str">
            <v>Luwi</v>
          </cell>
          <cell r="C92" t="str">
            <v>Luwi F10</v>
          </cell>
          <cell r="D92">
            <v>0</v>
          </cell>
          <cell r="E92">
            <v>0</v>
          </cell>
          <cell r="F92">
            <v>0</v>
          </cell>
          <cell r="G92">
            <v>0</v>
          </cell>
          <cell r="H92">
            <v>0</v>
          </cell>
          <cell r="I92">
            <v>1</v>
          </cell>
          <cell r="J92">
            <v>1</v>
          </cell>
          <cell r="K92">
            <v>1</v>
          </cell>
          <cell r="L92">
            <v>1</v>
          </cell>
          <cell r="M92">
            <v>1</v>
          </cell>
          <cell r="N92">
            <v>0</v>
          </cell>
          <cell r="O92">
            <v>0</v>
          </cell>
          <cell r="P92">
            <v>1</v>
          </cell>
          <cell r="Q92">
            <v>0</v>
          </cell>
          <cell r="R92">
            <v>0</v>
          </cell>
          <cell r="S92">
            <v>1</v>
          </cell>
          <cell r="T92">
            <v>2010</v>
          </cell>
          <cell r="U92">
            <v>5</v>
          </cell>
          <cell r="V92">
            <v>0</v>
          </cell>
          <cell r="W92">
            <v>1</v>
          </cell>
          <cell r="X92">
            <v>1</v>
          </cell>
          <cell r="Y92">
            <v>0</v>
          </cell>
        </row>
        <row r="93">
          <cell r="A93" t="str">
            <v>ELI-159</v>
          </cell>
          <cell r="B93" t="str">
            <v>Luwi</v>
          </cell>
          <cell r="C93" t="str">
            <v>Manky Ear</v>
          </cell>
          <cell r="D93">
            <v>0</v>
          </cell>
          <cell r="E93">
            <v>0</v>
          </cell>
          <cell r="F93">
            <v>0</v>
          </cell>
          <cell r="G93">
            <v>0</v>
          </cell>
          <cell r="H93">
            <v>1</v>
          </cell>
          <cell r="I93">
            <v>1</v>
          </cell>
          <cell r="J93">
            <v>1</v>
          </cell>
          <cell r="K93">
            <v>1</v>
          </cell>
          <cell r="L93">
            <v>1</v>
          </cell>
          <cell r="M93">
            <v>1</v>
          </cell>
          <cell r="N93">
            <v>1</v>
          </cell>
          <cell r="O93">
            <v>0</v>
          </cell>
          <cell r="P93">
            <v>1</v>
          </cell>
          <cell r="Q93">
            <v>0</v>
          </cell>
          <cell r="R93">
            <v>0</v>
          </cell>
          <cell r="S93">
            <v>1</v>
          </cell>
          <cell r="T93">
            <v>2008</v>
          </cell>
          <cell r="U93">
            <v>6</v>
          </cell>
          <cell r="V93">
            <v>0</v>
          </cell>
          <cell r="W93">
            <v>1</v>
          </cell>
          <cell r="X93">
            <v>1</v>
          </cell>
          <cell r="Y93">
            <v>0</v>
          </cell>
        </row>
        <row r="94">
          <cell r="A94" t="str">
            <v>ELI-720</v>
          </cell>
          <cell r="B94" t="str">
            <v>Luwi</v>
          </cell>
          <cell r="C94" t="str">
            <v>Luwi 2014 Cub1</v>
          </cell>
          <cell r="D94">
            <v>0</v>
          </cell>
          <cell r="E94">
            <v>0</v>
          </cell>
          <cell r="F94">
            <v>0</v>
          </cell>
          <cell r="G94">
            <v>0</v>
          </cell>
          <cell r="H94">
            <v>1</v>
          </cell>
          <cell r="I94">
            <v>1</v>
          </cell>
          <cell r="J94">
            <v>1</v>
          </cell>
          <cell r="K94">
            <v>0</v>
          </cell>
          <cell r="L94">
            <v>0</v>
          </cell>
          <cell r="M94">
            <v>0</v>
          </cell>
          <cell r="N94">
            <v>0</v>
          </cell>
          <cell r="O94">
            <v>0</v>
          </cell>
          <cell r="P94">
            <v>1</v>
          </cell>
          <cell r="Q94">
            <v>0</v>
          </cell>
          <cell r="R94">
            <v>1</v>
          </cell>
          <cell r="S94">
            <v>1</v>
          </cell>
          <cell r="T94">
            <v>2014</v>
          </cell>
          <cell r="U94">
            <v>5</v>
          </cell>
          <cell r="V94">
            <v>0</v>
          </cell>
          <cell r="W94">
            <v>1</v>
          </cell>
          <cell r="X94">
            <v>1</v>
          </cell>
          <cell r="Y94">
            <v>0</v>
          </cell>
        </row>
        <row r="95">
          <cell r="A95" t="str">
            <v>ELI-750</v>
          </cell>
          <cell r="B95" t="str">
            <v>Luwi</v>
          </cell>
          <cell r="C95" t="str">
            <v>Luwi 2014 Cub2</v>
          </cell>
          <cell r="D95">
            <v>0</v>
          </cell>
          <cell r="E95">
            <v>0</v>
          </cell>
          <cell r="F95">
            <v>0</v>
          </cell>
          <cell r="G95">
            <v>0</v>
          </cell>
          <cell r="H95">
            <v>0</v>
          </cell>
          <cell r="I95">
            <v>0</v>
          </cell>
          <cell r="J95">
            <v>0</v>
          </cell>
          <cell r="K95">
            <v>0</v>
          </cell>
          <cell r="L95">
            <v>0</v>
          </cell>
          <cell r="M95">
            <v>1</v>
          </cell>
          <cell r="N95">
            <v>0</v>
          </cell>
          <cell r="O95">
            <v>0</v>
          </cell>
          <cell r="P95">
            <v>0</v>
          </cell>
          <cell r="Q95" t="str">
            <v>NA</v>
          </cell>
          <cell r="R95">
            <v>1</v>
          </cell>
          <cell r="S95">
            <v>1</v>
          </cell>
          <cell r="T95">
            <v>2014</v>
          </cell>
          <cell r="U95">
            <v>10</v>
          </cell>
          <cell r="V95">
            <v>0</v>
          </cell>
          <cell r="W95">
            <v>1</v>
          </cell>
          <cell r="X95">
            <v>1</v>
          </cell>
          <cell r="Y95">
            <v>1</v>
          </cell>
        </row>
        <row r="96">
          <cell r="A96" t="str">
            <v>ELI-751</v>
          </cell>
          <cell r="B96" t="str">
            <v>Luwi</v>
          </cell>
          <cell r="C96" t="str">
            <v>Luwi 2014 Cub3</v>
          </cell>
          <cell r="D96">
            <v>0</v>
          </cell>
          <cell r="E96">
            <v>0</v>
          </cell>
          <cell r="F96">
            <v>0</v>
          </cell>
          <cell r="G96">
            <v>0</v>
          </cell>
          <cell r="H96">
            <v>0</v>
          </cell>
          <cell r="I96">
            <v>0</v>
          </cell>
          <cell r="J96">
            <v>0</v>
          </cell>
          <cell r="K96">
            <v>0</v>
          </cell>
          <cell r="L96">
            <v>0</v>
          </cell>
          <cell r="M96">
            <v>1</v>
          </cell>
          <cell r="N96">
            <v>0</v>
          </cell>
          <cell r="O96">
            <v>0</v>
          </cell>
          <cell r="P96">
            <v>0</v>
          </cell>
          <cell r="Q96" t="str">
            <v>NA</v>
          </cell>
          <cell r="R96">
            <v>1</v>
          </cell>
          <cell r="S96">
            <v>1</v>
          </cell>
          <cell r="T96">
            <v>2014</v>
          </cell>
          <cell r="U96">
            <v>10</v>
          </cell>
          <cell r="V96">
            <v>0</v>
          </cell>
          <cell r="W96">
            <v>1</v>
          </cell>
          <cell r="X96">
            <v>1</v>
          </cell>
          <cell r="Y96">
            <v>0</v>
          </cell>
        </row>
        <row r="97">
          <cell r="A97" t="str">
            <v>ELI-124</v>
          </cell>
          <cell r="B97" t="str">
            <v>Mwamba I</v>
          </cell>
          <cell r="C97" t="str">
            <v>Mwamba I F01</v>
          </cell>
          <cell r="D97">
            <v>0</v>
          </cell>
          <cell r="E97">
            <v>0</v>
          </cell>
          <cell r="F97">
            <v>0</v>
          </cell>
          <cell r="G97">
            <v>0</v>
          </cell>
          <cell r="H97">
            <v>1</v>
          </cell>
          <cell r="I97">
            <v>1</v>
          </cell>
          <cell r="J97">
            <v>1</v>
          </cell>
          <cell r="K97">
            <v>1</v>
          </cell>
          <cell r="L97">
            <v>0</v>
          </cell>
          <cell r="M97">
            <v>0</v>
          </cell>
          <cell r="N97">
            <v>0</v>
          </cell>
          <cell r="O97">
            <v>0</v>
          </cell>
          <cell r="P97">
            <v>1</v>
          </cell>
          <cell r="Q97">
            <v>0</v>
          </cell>
          <cell r="R97">
            <v>0</v>
          </cell>
          <cell r="S97">
            <v>1</v>
          </cell>
          <cell r="T97">
            <v>2008</v>
          </cell>
          <cell r="U97">
            <v>9</v>
          </cell>
          <cell r="V97">
            <v>6</v>
          </cell>
          <cell r="W97">
            <v>1</v>
          </cell>
          <cell r="X97">
            <v>1</v>
          </cell>
          <cell r="Y97">
            <v>0</v>
          </cell>
        </row>
        <row r="98">
          <cell r="A98" t="str">
            <v>ELI-125</v>
          </cell>
          <cell r="B98" t="str">
            <v>Mwamba I</v>
          </cell>
          <cell r="C98" t="str">
            <v>Mwamba I F02</v>
          </cell>
          <cell r="D98">
            <v>0</v>
          </cell>
          <cell r="E98">
            <v>0</v>
          </cell>
          <cell r="F98">
            <v>0</v>
          </cell>
          <cell r="G98">
            <v>0</v>
          </cell>
          <cell r="H98">
            <v>1</v>
          </cell>
          <cell r="I98">
            <v>1</v>
          </cell>
          <cell r="J98">
            <v>1</v>
          </cell>
          <cell r="K98">
            <v>1</v>
          </cell>
          <cell r="L98">
            <v>1</v>
          </cell>
          <cell r="M98">
            <v>1</v>
          </cell>
          <cell r="N98">
            <v>0</v>
          </cell>
          <cell r="O98">
            <v>0</v>
          </cell>
          <cell r="P98">
            <v>1</v>
          </cell>
          <cell r="Q98">
            <v>0</v>
          </cell>
          <cell r="R98">
            <v>1</v>
          </cell>
          <cell r="S98">
            <v>1</v>
          </cell>
          <cell r="T98">
            <v>2008</v>
          </cell>
          <cell r="U98">
            <v>9</v>
          </cell>
          <cell r="V98">
            <v>7</v>
          </cell>
          <cell r="W98">
            <v>1</v>
          </cell>
          <cell r="X98">
            <v>1</v>
          </cell>
          <cell r="Y98">
            <v>0</v>
          </cell>
        </row>
        <row r="99">
          <cell r="A99" t="str">
            <v>ELI-126</v>
          </cell>
          <cell r="B99" t="str">
            <v>Mwamba I</v>
          </cell>
          <cell r="C99" t="str">
            <v>Mwamba I F04</v>
          </cell>
          <cell r="D99">
            <v>0</v>
          </cell>
          <cell r="E99">
            <v>0</v>
          </cell>
          <cell r="F99">
            <v>0</v>
          </cell>
          <cell r="G99">
            <v>0</v>
          </cell>
          <cell r="H99">
            <v>1</v>
          </cell>
          <cell r="I99">
            <v>1</v>
          </cell>
          <cell r="J99">
            <v>1</v>
          </cell>
          <cell r="K99">
            <v>1</v>
          </cell>
          <cell r="L99">
            <v>1</v>
          </cell>
          <cell r="M99">
            <v>1</v>
          </cell>
          <cell r="N99">
            <v>1</v>
          </cell>
          <cell r="O99">
            <v>1</v>
          </cell>
          <cell r="P99">
            <v>1</v>
          </cell>
          <cell r="Q99">
            <v>0</v>
          </cell>
          <cell r="R99">
            <v>0</v>
          </cell>
          <cell r="S99">
            <v>1</v>
          </cell>
          <cell r="T99">
            <v>2008</v>
          </cell>
          <cell r="U99">
            <v>9</v>
          </cell>
          <cell r="V99">
            <v>3</v>
          </cell>
          <cell r="W99">
            <v>1</v>
          </cell>
          <cell r="X99">
            <v>1</v>
          </cell>
          <cell r="Y99">
            <v>0</v>
          </cell>
        </row>
        <row r="100">
          <cell r="A100" t="str">
            <v>ELI-127</v>
          </cell>
          <cell r="B100" t="str">
            <v>Mwamba I</v>
          </cell>
          <cell r="C100" t="str">
            <v>Mwamba I F05</v>
          </cell>
          <cell r="D100">
            <v>0</v>
          </cell>
          <cell r="E100">
            <v>0</v>
          </cell>
          <cell r="F100">
            <v>0</v>
          </cell>
          <cell r="G100">
            <v>0</v>
          </cell>
          <cell r="H100">
            <v>1</v>
          </cell>
          <cell r="I100">
            <v>0</v>
          </cell>
          <cell r="J100">
            <v>1</v>
          </cell>
          <cell r="K100">
            <v>1</v>
          </cell>
          <cell r="L100">
            <v>1</v>
          </cell>
          <cell r="M100">
            <v>1</v>
          </cell>
          <cell r="N100">
            <v>1</v>
          </cell>
          <cell r="O100">
            <v>1</v>
          </cell>
          <cell r="P100">
            <v>1</v>
          </cell>
          <cell r="Q100">
            <v>0</v>
          </cell>
          <cell r="R100">
            <v>0</v>
          </cell>
          <cell r="S100">
            <v>1</v>
          </cell>
          <cell r="T100">
            <v>2008</v>
          </cell>
          <cell r="U100">
            <v>9</v>
          </cell>
          <cell r="V100">
            <v>2</v>
          </cell>
          <cell r="W100">
            <v>1</v>
          </cell>
          <cell r="X100">
            <v>1</v>
          </cell>
          <cell r="Y100">
            <v>0</v>
          </cell>
        </row>
        <row r="101">
          <cell r="A101" t="str">
            <v>ELI-138</v>
          </cell>
          <cell r="B101" t="str">
            <v>Mwamba I</v>
          </cell>
          <cell r="C101" t="str">
            <v>Mwamba I F06</v>
          </cell>
          <cell r="D101">
            <v>0</v>
          </cell>
          <cell r="E101">
            <v>0</v>
          </cell>
          <cell r="F101">
            <v>0</v>
          </cell>
          <cell r="G101">
            <v>0</v>
          </cell>
          <cell r="H101">
            <v>1</v>
          </cell>
          <cell r="I101">
            <v>0</v>
          </cell>
          <cell r="J101">
            <v>1</v>
          </cell>
          <cell r="K101">
            <v>1</v>
          </cell>
          <cell r="L101">
            <v>1</v>
          </cell>
          <cell r="M101">
            <v>1</v>
          </cell>
          <cell r="N101">
            <v>1</v>
          </cell>
          <cell r="O101">
            <v>1</v>
          </cell>
          <cell r="P101">
            <v>1</v>
          </cell>
          <cell r="Q101">
            <v>0</v>
          </cell>
          <cell r="R101">
            <v>0</v>
          </cell>
          <cell r="S101">
            <v>1</v>
          </cell>
          <cell r="T101">
            <v>2008</v>
          </cell>
          <cell r="U101">
            <v>10</v>
          </cell>
          <cell r="V101">
            <v>5</v>
          </cell>
          <cell r="W101">
            <v>1</v>
          </cell>
          <cell r="X101">
            <v>1</v>
          </cell>
          <cell r="Y101">
            <v>0</v>
          </cell>
        </row>
        <row r="102">
          <cell r="A102" t="str">
            <v>ELI-469</v>
          </cell>
          <cell r="B102" t="str">
            <v>Mwamba I</v>
          </cell>
          <cell r="C102" t="str">
            <v>Mwamba I F07</v>
          </cell>
          <cell r="D102">
            <v>0</v>
          </cell>
          <cell r="E102">
            <v>0</v>
          </cell>
          <cell r="F102">
            <v>0</v>
          </cell>
          <cell r="G102">
            <v>0</v>
          </cell>
          <cell r="H102">
            <v>1</v>
          </cell>
          <cell r="I102">
            <v>0</v>
          </cell>
          <cell r="J102">
            <v>1</v>
          </cell>
          <cell r="K102">
            <v>1</v>
          </cell>
          <cell r="L102">
            <v>1</v>
          </cell>
          <cell r="M102">
            <v>1</v>
          </cell>
          <cell r="N102">
            <v>1</v>
          </cell>
          <cell r="O102">
            <v>1</v>
          </cell>
          <cell r="P102">
            <v>1</v>
          </cell>
          <cell r="Q102">
            <v>0</v>
          </cell>
          <cell r="R102">
            <v>0</v>
          </cell>
          <cell r="S102">
            <v>1</v>
          </cell>
          <cell r="T102">
            <v>2014</v>
          </cell>
          <cell r="U102">
            <v>7</v>
          </cell>
          <cell r="V102">
            <v>6</v>
          </cell>
          <cell r="W102">
            <v>1</v>
          </cell>
          <cell r="X102">
            <v>1</v>
          </cell>
          <cell r="Y102">
            <v>0</v>
          </cell>
        </row>
        <row r="103">
          <cell r="A103" t="str">
            <v>ELI-657</v>
          </cell>
          <cell r="B103" t="str">
            <v>Mwamba I</v>
          </cell>
          <cell r="C103" t="str">
            <v>Mwamba I</v>
          </cell>
          <cell r="D103">
            <v>0</v>
          </cell>
          <cell r="E103">
            <v>0</v>
          </cell>
          <cell r="F103">
            <v>0</v>
          </cell>
          <cell r="G103">
            <v>0</v>
          </cell>
          <cell r="H103">
            <v>1</v>
          </cell>
          <cell r="I103">
            <v>0</v>
          </cell>
          <cell r="J103">
            <v>1</v>
          </cell>
          <cell r="K103">
            <v>1</v>
          </cell>
          <cell r="L103">
            <v>1</v>
          </cell>
          <cell r="M103">
            <v>1</v>
          </cell>
          <cell r="N103">
            <v>1</v>
          </cell>
          <cell r="O103">
            <v>1</v>
          </cell>
          <cell r="P103">
            <v>1</v>
          </cell>
          <cell r="Q103">
            <v>1</v>
          </cell>
          <cell r="R103">
            <v>0</v>
          </cell>
          <cell r="S103">
            <v>1</v>
          </cell>
          <cell r="T103">
            <v>2013</v>
          </cell>
          <cell r="U103">
            <v>8</v>
          </cell>
          <cell r="V103">
            <v>0</v>
          </cell>
          <cell r="W103">
            <v>1</v>
          </cell>
          <cell r="X103">
            <v>1</v>
          </cell>
          <cell r="Y103">
            <v>1</v>
          </cell>
        </row>
        <row r="104">
          <cell r="A104" t="str">
            <v>ELI-658</v>
          </cell>
          <cell r="B104" t="str">
            <v>Mwamba I</v>
          </cell>
          <cell r="C104" t="str">
            <v>Mwamba I</v>
          </cell>
          <cell r="D104">
            <v>0</v>
          </cell>
          <cell r="E104">
            <v>0</v>
          </cell>
          <cell r="F104">
            <v>0</v>
          </cell>
          <cell r="G104">
            <v>0</v>
          </cell>
          <cell r="H104">
            <v>1</v>
          </cell>
          <cell r="I104">
            <v>0</v>
          </cell>
          <cell r="J104">
            <v>1</v>
          </cell>
          <cell r="K104">
            <v>1</v>
          </cell>
          <cell r="L104">
            <v>1</v>
          </cell>
          <cell r="M104">
            <v>1</v>
          </cell>
          <cell r="N104">
            <v>1</v>
          </cell>
          <cell r="O104">
            <v>1</v>
          </cell>
          <cell r="P104">
            <v>1</v>
          </cell>
          <cell r="Q104">
            <v>0</v>
          </cell>
          <cell r="R104">
            <v>0</v>
          </cell>
          <cell r="S104">
            <v>1</v>
          </cell>
          <cell r="T104">
            <v>2013</v>
          </cell>
          <cell r="U104">
            <v>11</v>
          </cell>
          <cell r="V104">
            <v>1</v>
          </cell>
          <cell r="W104">
            <v>1</v>
          </cell>
          <cell r="X104">
            <v>1</v>
          </cell>
          <cell r="Y104">
            <v>0</v>
          </cell>
        </row>
        <row r="105">
          <cell r="A105" t="str">
            <v>ELI-659</v>
          </cell>
          <cell r="B105" t="str">
            <v>Mwamba I</v>
          </cell>
          <cell r="C105" t="str">
            <v>Mwamba I</v>
          </cell>
          <cell r="D105">
            <v>0</v>
          </cell>
          <cell r="E105">
            <v>0</v>
          </cell>
          <cell r="F105">
            <v>0</v>
          </cell>
          <cell r="G105">
            <v>0</v>
          </cell>
          <cell r="H105">
            <v>1</v>
          </cell>
          <cell r="I105">
            <v>0</v>
          </cell>
          <cell r="J105">
            <v>1</v>
          </cell>
          <cell r="K105">
            <v>1</v>
          </cell>
          <cell r="L105">
            <v>1</v>
          </cell>
          <cell r="M105">
            <v>1</v>
          </cell>
          <cell r="N105">
            <v>1</v>
          </cell>
          <cell r="O105">
            <v>1</v>
          </cell>
          <cell r="P105">
            <v>1</v>
          </cell>
          <cell r="Q105">
            <v>0</v>
          </cell>
          <cell r="R105">
            <v>0</v>
          </cell>
          <cell r="S105">
            <v>1</v>
          </cell>
          <cell r="T105">
            <v>2013</v>
          </cell>
          <cell r="U105">
            <v>8</v>
          </cell>
          <cell r="V105">
            <v>0</v>
          </cell>
          <cell r="W105">
            <v>1</v>
          </cell>
          <cell r="X105">
            <v>1</v>
          </cell>
          <cell r="Y105">
            <v>0</v>
          </cell>
        </row>
        <row r="106">
          <cell r="A106" t="str">
            <v>ELI-660</v>
          </cell>
          <cell r="B106" t="str">
            <v>Mwamba I</v>
          </cell>
          <cell r="C106" t="str">
            <v>Mwamba I</v>
          </cell>
          <cell r="D106">
            <v>0</v>
          </cell>
          <cell r="E106">
            <v>0</v>
          </cell>
          <cell r="F106">
            <v>0</v>
          </cell>
          <cell r="G106">
            <v>0</v>
          </cell>
          <cell r="H106">
            <v>1</v>
          </cell>
          <cell r="I106">
            <v>1</v>
          </cell>
          <cell r="J106">
            <v>1</v>
          </cell>
          <cell r="K106">
            <v>1</v>
          </cell>
          <cell r="L106">
            <v>1</v>
          </cell>
          <cell r="M106">
            <v>1</v>
          </cell>
          <cell r="N106">
            <v>1</v>
          </cell>
          <cell r="O106">
            <v>1</v>
          </cell>
          <cell r="P106">
            <v>1</v>
          </cell>
          <cell r="Q106">
            <v>0</v>
          </cell>
          <cell r="R106">
            <v>0</v>
          </cell>
          <cell r="S106">
            <v>1</v>
          </cell>
          <cell r="T106">
            <v>2013</v>
          </cell>
          <cell r="U106">
            <v>8</v>
          </cell>
          <cell r="V106">
            <v>0</v>
          </cell>
          <cell r="W106">
            <v>1</v>
          </cell>
          <cell r="X106">
            <v>1</v>
          </cell>
          <cell r="Y106">
            <v>0</v>
          </cell>
        </row>
        <row r="107">
          <cell r="A107" t="str">
            <v>ELI-661</v>
          </cell>
          <cell r="B107" t="str">
            <v>Mwamba I</v>
          </cell>
          <cell r="C107" t="str">
            <v>Mwamba I</v>
          </cell>
          <cell r="D107">
            <v>0</v>
          </cell>
          <cell r="E107">
            <v>0</v>
          </cell>
          <cell r="F107">
            <v>0</v>
          </cell>
          <cell r="G107">
            <v>0</v>
          </cell>
          <cell r="H107">
            <v>1</v>
          </cell>
          <cell r="I107">
            <v>0</v>
          </cell>
          <cell r="J107">
            <v>1</v>
          </cell>
          <cell r="K107">
            <v>1</v>
          </cell>
          <cell r="L107">
            <v>0</v>
          </cell>
          <cell r="M107">
            <v>1</v>
          </cell>
          <cell r="N107">
            <v>1</v>
          </cell>
          <cell r="O107">
            <v>1</v>
          </cell>
          <cell r="P107">
            <v>1</v>
          </cell>
          <cell r="Q107">
            <v>0</v>
          </cell>
          <cell r="R107">
            <v>0</v>
          </cell>
          <cell r="S107">
            <v>1</v>
          </cell>
          <cell r="T107">
            <v>2013</v>
          </cell>
          <cell r="U107">
            <v>8</v>
          </cell>
          <cell r="V107">
            <v>0</v>
          </cell>
          <cell r="W107">
            <v>1</v>
          </cell>
          <cell r="X107">
            <v>1</v>
          </cell>
          <cell r="Y107">
            <v>0</v>
          </cell>
        </row>
        <row r="108">
          <cell r="A108" t="str">
            <v>ELI-662</v>
          </cell>
          <cell r="B108" t="str">
            <v>Mwamba I</v>
          </cell>
          <cell r="C108" t="str">
            <v>Mwamba I</v>
          </cell>
          <cell r="D108">
            <v>0</v>
          </cell>
          <cell r="E108">
            <v>0</v>
          </cell>
          <cell r="F108">
            <v>0</v>
          </cell>
          <cell r="G108">
            <v>0</v>
          </cell>
          <cell r="H108">
            <v>0</v>
          </cell>
          <cell r="I108">
            <v>1</v>
          </cell>
          <cell r="J108">
            <v>1</v>
          </cell>
          <cell r="K108">
            <v>1</v>
          </cell>
          <cell r="L108">
            <v>1</v>
          </cell>
          <cell r="M108">
            <v>1</v>
          </cell>
          <cell r="N108">
            <v>1</v>
          </cell>
          <cell r="O108">
            <v>1</v>
          </cell>
          <cell r="P108">
            <v>1</v>
          </cell>
          <cell r="Q108">
            <v>0</v>
          </cell>
          <cell r="R108">
            <v>0</v>
          </cell>
          <cell r="S108">
            <v>1</v>
          </cell>
          <cell r="T108">
            <v>2013</v>
          </cell>
          <cell r="U108">
            <v>8</v>
          </cell>
          <cell r="V108">
            <v>0</v>
          </cell>
          <cell r="W108">
            <v>1</v>
          </cell>
          <cell r="X108">
            <v>1</v>
          </cell>
          <cell r="Y108">
            <v>0</v>
          </cell>
        </row>
        <row r="109">
          <cell r="A109" t="str">
            <v>ELI-663</v>
          </cell>
          <cell r="B109" t="str">
            <v>Mwamba I</v>
          </cell>
          <cell r="C109" t="str">
            <v>Mwamba I</v>
          </cell>
          <cell r="D109">
            <v>0</v>
          </cell>
          <cell r="E109">
            <v>0</v>
          </cell>
          <cell r="F109">
            <v>0</v>
          </cell>
          <cell r="G109">
            <v>0</v>
          </cell>
          <cell r="H109">
            <v>1</v>
          </cell>
          <cell r="I109">
            <v>1</v>
          </cell>
          <cell r="J109">
            <v>1</v>
          </cell>
          <cell r="K109">
            <v>1</v>
          </cell>
          <cell r="L109">
            <v>1</v>
          </cell>
          <cell r="M109">
            <v>1</v>
          </cell>
          <cell r="N109">
            <v>1</v>
          </cell>
          <cell r="O109">
            <v>0</v>
          </cell>
          <cell r="P109">
            <v>1</v>
          </cell>
          <cell r="Q109">
            <v>1</v>
          </cell>
          <cell r="R109">
            <v>0</v>
          </cell>
          <cell r="S109">
            <v>1</v>
          </cell>
          <cell r="T109">
            <v>2013</v>
          </cell>
          <cell r="U109">
            <v>8</v>
          </cell>
          <cell r="V109">
            <v>2</v>
          </cell>
          <cell r="W109">
            <v>1</v>
          </cell>
          <cell r="X109">
            <v>1</v>
          </cell>
          <cell r="Y109">
            <v>1</v>
          </cell>
        </row>
        <row r="110">
          <cell r="A110" t="str">
            <v>ELI-664</v>
          </cell>
          <cell r="B110" t="str">
            <v>Mwamba I</v>
          </cell>
          <cell r="C110" t="str">
            <v>Mwamba I</v>
          </cell>
          <cell r="D110">
            <v>0</v>
          </cell>
          <cell r="E110">
            <v>0</v>
          </cell>
          <cell r="F110">
            <v>0</v>
          </cell>
          <cell r="G110">
            <v>0</v>
          </cell>
          <cell r="H110">
            <v>1</v>
          </cell>
          <cell r="I110">
            <v>1</v>
          </cell>
          <cell r="J110">
            <v>1</v>
          </cell>
          <cell r="K110">
            <v>1</v>
          </cell>
          <cell r="L110">
            <v>1</v>
          </cell>
          <cell r="M110">
            <v>1</v>
          </cell>
          <cell r="N110">
            <v>1</v>
          </cell>
          <cell r="O110">
            <v>0</v>
          </cell>
          <cell r="P110">
            <v>1</v>
          </cell>
          <cell r="Q110">
            <v>1</v>
          </cell>
          <cell r="R110">
            <v>0</v>
          </cell>
          <cell r="S110">
            <v>1</v>
          </cell>
          <cell r="T110">
            <v>2013</v>
          </cell>
          <cell r="U110">
            <v>8</v>
          </cell>
          <cell r="V110">
            <v>1</v>
          </cell>
          <cell r="W110">
            <v>1</v>
          </cell>
          <cell r="X110">
            <v>1</v>
          </cell>
          <cell r="Y110">
            <v>1</v>
          </cell>
        </row>
        <row r="111">
          <cell r="A111" t="str">
            <v>ELI-665</v>
          </cell>
          <cell r="B111" t="str">
            <v>Mwamba I</v>
          </cell>
          <cell r="C111" t="str">
            <v>Mwamba I</v>
          </cell>
          <cell r="D111">
            <v>0</v>
          </cell>
          <cell r="E111">
            <v>0</v>
          </cell>
          <cell r="F111">
            <v>0</v>
          </cell>
          <cell r="G111">
            <v>0</v>
          </cell>
          <cell r="H111">
            <v>1</v>
          </cell>
          <cell r="I111">
            <v>1</v>
          </cell>
          <cell r="J111">
            <v>1</v>
          </cell>
          <cell r="K111">
            <v>1</v>
          </cell>
          <cell r="L111">
            <v>1</v>
          </cell>
          <cell r="M111">
            <v>1</v>
          </cell>
          <cell r="N111">
            <v>1</v>
          </cell>
          <cell r="O111">
            <v>0</v>
          </cell>
          <cell r="P111">
            <v>1</v>
          </cell>
          <cell r="Q111">
            <v>1</v>
          </cell>
          <cell r="R111">
            <v>0</v>
          </cell>
          <cell r="S111">
            <v>1</v>
          </cell>
          <cell r="T111">
            <v>2013</v>
          </cell>
          <cell r="U111">
            <v>8</v>
          </cell>
          <cell r="V111">
            <v>2</v>
          </cell>
          <cell r="W111">
            <v>1</v>
          </cell>
          <cell r="X111">
            <v>1</v>
          </cell>
          <cell r="Y111">
            <v>1</v>
          </cell>
        </row>
        <row r="112">
          <cell r="A112" t="str">
            <v>ELI-666</v>
          </cell>
          <cell r="B112" t="str">
            <v>Mwamba I</v>
          </cell>
          <cell r="C112" t="str">
            <v>Mwamba I</v>
          </cell>
          <cell r="D112">
            <v>0</v>
          </cell>
          <cell r="E112">
            <v>0</v>
          </cell>
          <cell r="F112">
            <v>0</v>
          </cell>
          <cell r="G112">
            <v>0</v>
          </cell>
          <cell r="H112">
            <v>1</v>
          </cell>
          <cell r="I112">
            <v>0</v>
          </cell>
          <cell r="J112">
            <v>1</v>
          </cell>
          <cell r="K112">
            <v>1</v>
          </cell>
          <cell r="L112">
            <v>1</v>
          </cell>
          <cell r="M112">
            <v>1</v>
          </cell>
          <cell r="N112">
            <v>1</v>
          </cell>
          <cell r="O112">
            <v>1</v>
          </cell>
          <cell r="P112">
            <v>1</v>
          </cell>
          <cell r="Q112">
            <v>1</v>
          </cell>
          <cell r="R112">
            <v>0</v>
          </cell>
          <cell r="S112">
            <v>1</v>
          </cell>
          <cell r="T112">
            <v>2013</v>
          </cell>
          <cell r="U112">
            <v>11</v>
          </cell>
          <cell r="V112">
            <v>1</v>
          </cell>
          <cell r="W112">
            <v>1</v>
          </cell>
          <cell r="X112">
            <v>1</v>
          </cell>
          <cell r="Y112">
            <v>1</v>
          </cell>
        </row>
        <row r="113">
          <cell r="A113" t="str">
            <v>ELI-697</v>
          </cell>
          <cell r="B113" t="str">
            <v>Mwamba I</v>
          </cell>
          <cell r="C113" t="str">
            <v>Mwamba I</v>
          </cell>
          <cell r="D113">
            <v>0</v>
          </cell>
          <cell r="E113">
            <v>0</v>
          </cell>
          <cell r="F113">
            <v>0</v>
          </cell>
          <cell r="G113">
            <v>0</v>
          </cell>
          <cell r="H113">
            <v>1</v>
          </cell>
          <cell r="I113">
            <v>1</v>
          </cell>
          <cell r="J113">
            <v>1</v>
          </cell>
          <cell r="K113">
            <v>1</v>
          </cell>
          <cell r="L113">
            <v>1</v>
          </cell>
          <cell r="M113">
            <v>1</v>
          </cell>
          <cell r="N113">
            <v>1</v>
          </cell>
          <cell r="O113">
            <v>0</v>
          </cell>
          <cell r="P113">
            <v>1</v>
          </cell>
          <cell r="Q113">
            <v>0</v>
          </cell>
          <cell r="R113">
            <v>1</v>
          </cell>
          <cell r="S113">
            <v>1</v>
          </cell>
          <cell r="T113">
            <v>2013</v>
          </cell>
          <cell r="U113">
            <v>11</v>
          </cell>
          <cell r="V113">
            <v>12</v>
          </cell>
          <cell r="W113">
            <v>1</v>
          </cell>
          <cell r="X113">
            <v>1</v>
          </cell>
          <cell r="Y113">
            <v>0</v>
          </cell>
        </row>
        <row r="114">
          <cell r="A114" t="str">
            <v>ELI-721</v>
          </cell>
          <cell r="B114" t="str">
            <v>Mwamba I</v>
          </cell>
          <cell r="C114" t="str">
            <v>Mwamba I</v>
          </cell>
          <cell r="D114">
            <v>0</v>
          </cell>
          <cell r="E114">
            <v>0</v>
          </cell>
          <cell r="F114">
            <v>0</v>
          </cell>
          <cell r="G114">
            <v>0</v>
          </cell>
          <cell r="H114">
            <v>0</v>
          </cell>
          <cell r="I114">
            <v>0</v>
          </cell>
          <cell r="J114">
            <v>1</v>
          </cell>
          <cell r="K114">
            <v>1</v>
          </cell>
          <cell r="L114">
            <v>1</v>
          </cell>
          <cell r="M114">
            <v>1</v>
          </cell>
          <cell r="N114">
            <v>0</v>
          </cell>
          <cell r="O114">
            <v>0</v>
          </cell>
          <cell r="P114">
            <v>0</v>
          </cell>
          <cell r="Q114" t="str">
            <v>NA</v>
          </cell>
          <cell r="R114">
            <v>1</v>
          </cell>
          <cell r="S114">
            <v>1</v>
          </cell>
          <cell r="T114">
            <v>2014</v>
          </cell>
          <cell r="U114">
            <v>7</v>
          </cell>
          <cell r="V114">
            <v>0</v>
          </cell>
          <cell r="W114">
            <v>1</v>
          </cell>
          <cell r="X114">
            <v>1</v>
          </cell>
          <cell r="Y114">
            <v>0</v>
          </cell>
        </row>
        <row r="115">
          <cell r="A115" t="str">
            <v>ELI-722</v>
          </cell>
          <cell r="B115" t="str">
            <v>Mwamba I</v>
          </cell>
          <cell r="C115" t="str">
            <v>Mwamba I</v>
          </cell>
          <cell r="D115">
            <v>0</v>
          </cell>
          <cell r="E115">
            <v>0</v>
          </cell>
          <cell r="F115">
            <v>0</v>
          </cell>
          <cell r="G115">
            <v>0</v>
          </cell>
          <cell r="H115">
            <v>0</v>
          </cell>
          <cell r="I115">
            <v>0</v>
          </cell>
          <cell r="J115">
            <v>1</v>
          </cell>
          <cell r="K115">
            <v>0</v>
          </cell>
          <cell r="L115">
            <v>0</v>
          </cell>
          <cell r="M115">
            <v>0</v>
          </cell>
          <cell r="N115">
            <v>0</v>
          </cell>
          <cell r="O115">
            <v>0</v>
          </cell>
          <cell r="P115">
            <v>0</v>
          </cell>
          <cell r="Q115" t="str">
            <v>NA</v>
          </cell>
          <cell r="R115">
            <v>1</v>
          </cell>
          <cell r="S115">
            <v>1</v>
          </cell>
          <cell r="T115">
            <v>2014</v>
          </cell>
          <cell r="U115">
            <v>7</v>
          </cell>
          <cell r="V115">
            <v>0</v>
          </cell>
          <cell r="W115">
            <v>1</v>
          </cell>
          <cell r="X115">
            <v>1</v>
          </cell>
          <cell r="Y115">
            <v>1</v>
          </cell>
        </row>
        <row r="116">
          <cell r="A116" t="str">
            <v>ELI-700</v>
          </cell>
          <cell r="B116" t="str">
            <v>Nsolo 2</v>
          </cell>
          <cell r="C116" t="str">
            <v>Nsolo 2</v>
          </cell>
          <cell r="D116">
            <v>0</v>
          </cell>
          <cell r="E116">
            <v>0</v>
          </cell>
          <cell r="F116">
            <v>0</v>
          </cell>
          <cell r="G116">
            <v>0</v>
          </cell>
          <cell r="H116">
            <v>0</v>
          </cell>
          <cell r="I116">
            <v>1</v>
          </cell>
          <cell r="J116">
            <v>1</v>
          </cell>
          <cell r="K116">
            <v>1</v>
          </cell>
          <cell r="L116">
            <v>1</v>
          </cell>
          <cell r="M116">
            <v>1</v>
          </cell>
          <cell r="N116">
            <v>0</v>
          </cell>
          <cell r="O116">
            <v>0</v>
          </cell>
          <cell r="P116">
            <v>1</v>
          </cell>
          <cell r="Q116">
            <v>0</v>
          </cell>
          <cell r="R116">
            <v>0</v>
          </cell>
          <cell r="S116">
            <v>1</v>
          </cell>
          <cell r="T116">
            <v>2013</v>
          </cell>
          <cell r="U116">
            <v>4</v>
          </cell>
          <cell r="V116">
            <v>6</v>
          </cell>
          <cell r="W116">
            <v>1</v>
          </cell>
          <cell r="X116">
            <v>1</v>
          </cell>
          <cell r="Y116">
            <v>0</v>
          </cell>
        </row>
        <row r="117">
          <cell r="A117" t="str">
            <v>ELI-701</v>
          </cell>
          <cell r="B117" t="str">
            <v>Nsolo 2</v>
          </cell>
          <cell r="C117" t="str">
            <v>Nsolo 2</v>
          </cell>
          <cell r="D117">
            <v>0</v>
          </cell>
          <cell r="E117">
            <v>0</v>
          </cell>
          <cell r="F117">
            <v>0</v>
          </cell>
          <cell r="G117">
            <v>0</v>
          </cell>
          <cell r="H117">
            <v>0</v>
          </cell>
          <cell r="I117">
            <v>1</v>
          </cell>
          <cell r="J117">
            <v>1</v>
          </cell>
          <cell r="K117">
            <v>1</v>
          </cell>
          <cell r="L117">
            <v>1</v>
          </cell>
          <cell r="M117">
            <v>1</v>
          </cell>
          <cell r="N117">
            <v>0</v>
          </cell>
          <cell r="O117">
            <v>0</v>
          </cell>
          <cell r="P117">
            <v>1</v>
          </cell>
          <cell r="Q117">
            <v>0</v>
          </cell>
          <cell r="R117">
            <v>0</v>
          </cell>
          <cell r="S117">
            <v>1</v>
          </cell>
          <cell r="T117">
            <v>2013</v>
          </cell>
          <cell r="U117">
            <v>4</v>
          </cell>
          <cell r="V117">
            <v>4</v>
          </cell>
          <cell r="W117">
            <v>1</v>
          </cell>
          <cell r="X117">
            <v>1</v>
          </cell>
          <cell r="Y117">
            <v>0</v>
          </cell>
        </row>
        <row r="118">
          <cell r="A118" t="str">
            <v>ELI-702</v>
          </cell>
          <cell r="B118" t="str">
            <v>Nsolo 2</v>
          </cell>
          <cell r="C118" t="str">
            <v>Nsolo 2</v>
          </cell>
          <cell r="D118">
            <v>0</v>
          </cell>
          <cell r="E118">
            <v>0</v>
          </cell>
          <cell r="F118">
            <v>0</v>
          </cell>
          <cell r="G118">
            <v>0</v>
          </cell>
          <cell r="H118">
            <v>0</v>
          </cell>
          <cell r="I118">
            <v>1</v>
          </cell>
          <cell r="J118">
            <v>1</v>
          </cell>
          <cell r="K118">
            <v>1</v>
          </cell>
          <cell r="L118">
            <v>1</v>
          </cell>
          <cell r="M118">
            <v>1</v>
          </cell>
          <cell r="N118">
            <v>0</v>
          </cell>
          <cell r="O118">
            <v>0</v>
          </cell>
          <cell r="P118">
            <v>1</v>
          </cell>
          <cell r="Q118">
            <v>0</v>
          </cell>
          <cell r="R118">
            <v>0</v>
          </cell>
          <cell r="S118">
            <v>1</v>
          </cell>
          <cell r="T118">
            <v>2013</v>
          </cell>
          <cell r="U118">
            <v>4</v>
          </cell>
          <cell r="V118">
            <v>5</v>
          </cell>
          <cell r="W118">
            <v>1</v>
          </cell>
          <cell r="X118">
            <v>1</v>
          </cell>
          <cell r="Y118">
            <v>0</v>
          </cell>
        </row>
        <row r="119">
          <cell r="A119" t="str">
            <v>ELI-708</v>
          </cell>
          <cell r="B119" t="str">
            <v>Nsolo 2</v>
          </cell>
          <cell r="C119" t="str">
            <v>Nsolo 2</v>
          </cell>
          <cell r="D119">
            <v>0</v>
          </cell>
          <cell r="E119">
            <v>0</v>
          </cell>
          <cell r="F119">
            <v>0</v>
          </cell>
          <cell r="G119">
            <v>0</v>
          </cell>
          <cell r="H119">
            <v>0</v>
          </cell>
          <cell r="I119">
            <v>1</v>
          </cell>
          <cell r="J119">
            <v>0</v>
          </cell>
          <cell r="K119">
            <v>1</v>
          </cell>
          <cell r="L119">
            <v>0</v>
          </cell>
          <cell r="M119">
            <v>1</v>
          </cell>
          <cell r="N119">
            <v>0</v>
          </cell>
          <cell r="O119">
            <v>0</v>
          </cell>
          <cell r="P119">
            <v>1</v>
          </cell>
          <cell r="Q119">
            <v>0</v>
          </cell>
          <cell r="R119">
            <v>0</v>
          </cell>
          <cell r="S119">
            <v>1</v>
          </cell>
          <cell r="T119">
            <v>2014</v>
          </cell>
          <cell r="U119">
            <v>6</v>
          </cell>
          <cell r="V119">
            <v>0</v>
          </cell>
          <cell r="W119">
            <v>1</v>
          </cell>
          <cell r="X119">
            <v>1</v>
          </cell>
          <cell r="Y119">
            <v>0</v>
          </cell>
        </row>
        <row r="120">
          <cell r="A120" t="str">
            <v>ELI-709</v>
          </cell>
          <cell r="B120" t="str">
            <v>Nsolo 2</v>
          </cell>
          <cell r="C120" t="str">
            <v>Nsolo 2</v>
          </cell>
          <cell r="D120">
            <v>0</v>
          </cell>
          <cell r="E120">
            <v>0</v>
          </cell>
          <cell r="F120">
            <v>0</v>
          </cell>
          <cell r="G120">
            <v>0</v>
          </cell>
          <cell r="H120">
            <v>0</v>
          </cell>
          <cell r="I120">
            <v>1</v>
          </cell>
          <cell r="J120">
            <v>0</v>
          </cell>
          <cell r="K120">
            <v>1</v>
          </cell>
          <cell r="L120">
            <v>0</v>
          </cell>
          <cell r="M120">
            <v>1</v>
          </cell>
          <cell r="N120">
            <v>0</v>
          </cell>
          <cell r="O120">
            <v>0</v>
          </cell>
          <cell r="P120">
            <v>1</v>
          </cell>
          <cell r="Q120">
            <v>0</v>
          </cell>
          <cell r="R120">
            <v>0</v>
          </cell>
          <cell r="S120">
            <v>1</v>
          </cell>
          <cell r="T120">
            <v>2014</v>
          </cell>
          <cell r="U120">
            <v>6</v>
          </cell>
          <cell r="V120">
            <v>0</v>
          </cell>
          <cell r="W120">
            <v>1</v>
          </cell>
          <cell r="X120">
            <v>1</v>
          </cell>
          <cell r="Y120">
            <v>0</v>
          </cell>
        </row>
        <row r="121">
          <cell r="A121" t="str">
            <v>ELI-710</v>
          </cell>
          <cell r="B121" t="str">
            <v>Nsolo 2</v>
          </cell>
          <cell r="C121" t="str">
            <v>Nsolo 2</v>
          </cell>
          <cell r="D121">
            <v>0</v>
          </cell>
          <cell r="E121">
            <v>0</v>
          </cell>
          <cell r="F121">
            <v>0</v>
          </cell>
          <cell r="G121">
            <v>0</v>
          </cell>
          <cell r="H121">
            <v>0</v>
          </cell>
          <cell r="I121">
            <v>1</v>
          </cell>
          <cell r="J121">
            <v>0</v>
          </cell>
          <cell r="K121">
            <v>1</v>
          </cell>
          <cell r="L121">
            <v>0</v>
          </cell>
          <cell r="M121">
            <v>1</v>
          </cell>
          <cell r="N121">
            <v>0</v>
          </cell>
          <cell r="O121">
            <v>0</v>
          </cell>
          <cell r="P121">
            <v>1</v>
          </cell>
          <cell r="Q121">
            <v>0</v>
          </cell>
          <cell r="R121">
            <v>0</v>
          </cell>
          <cell r="S121">
            <v>1</v>
          </cell>
          <cell r="T121">
            <v>2014</v>
          </cell>
          <cell r="U121">
            <v>6</v>
          </cell>
          <cell r="V121">
            <v>0</v>
          </cell>
          <cell r="W121">
            <v>1</v>
          </cell>
          <cell r="X121">
            <v>1</v>
          </cell>
          <cell r="Y121">
            <v>0</v>
          </cell>
        </row>
        <row r="122">
          <cell r="A122" t="str">
            <v>ELI-711</v>
          </cell>
          <cell r="B122" t="str">
            <v>Nsolo 2</v>
          </cell>
          <cell r="C122" t="str">
            <v>Nsolo 2</v>
          </cell>
          <cell r="D122">
            <v>0</v>
          </cell>
          <cell r="E122">
            <v>0</v>
          </cell>
          <cell r="F122">
            <v>0</v>
          </cell>
          <cell r="G122">
            <v>0</v>
          </cell>
          <cell r="H122">
            <v>0</v>
          </cell>
          <cell r="I122">
            <v>1</v>
          </cell>
          <cell r="J122">
            <v>0</v>
          </cell>
          <cell r="K122">
            <v>1</v>
          </cell>
          <cell r="L122">
            <v>0</v>
          </cell>
          <cell r="M122">
            <v>1</v>
          </cell>
          <cell r="N122">
            <v>0</v>
          </cell>
          <cell r="O122">
            <v>0</v>
          </cell>
          <cell r="P122">
            <v>1</v>
          </cell>
          <cell r="Q122">
            <v>0</v>
          </cell>
          <cell r="R122">
            <v>0</v>
          </cell>
          <cell r="S122">
            <v>1</v>
          </cell>
          <cell r="T122">
            <v>2014</v>
          </cell>
          <cell r="U122">
            <v>6</v>
          </cell>
          <cell r="V122">
            <v>0</v>
          </cell>
          <cell r="W122">
            <v>1</v>
          </cell>
          <cell r="X122">
            <v>1</v>
          </cell>
          <cell r="Y122">
            <v>0</v>
          </cell>
        </row>
        <row r="123">
          <cell r="A123" t="str">
            <v>ELI-468</v>
          </cell>
          <cell r="B123" t="str">
            <v>Saltpan</v>
          </cell>
          <cell r="C123" t="str">
            <v>Saltpan 2011 Cub U01</v>
          </cell>
          <cell r="D123">
            <v>0</v>
          </cell>
          <cell r="E123">
            <v>0</v>
          </cell>
          <cell r="F123">
            <v>0</v>
          </cell>
          <cell r="G123">
            <v>0</v>
          </cell>
          <cell r="H123">
            <v>0</v>
          </cell>
          <cell r="I123">
            <v>0</v>
          </cell>
          <cell r="J123">
            <v>0</v>
          </cell>
          <cell r="K123">
            <v>0</v>
          </cell>
          <cell r="L123">
            <v>1</v>
          </cell>
          <cell r="M123">
            <v>1</v>
          </cell>
          <cell r="N123">
            <v>0</v>
          </cell>
          <cell r="O123">
            <v>0</v>
          </cell>
          <cell r="P123">
            <v>0</v>
          </cell>
          <cell r="Q123" t="str">
            <v>NA</v>
          </cell>
          <cell r="R123">
            <v>0</v>
          </cell>
          <cell r="S123">
            <v>1</v>
          </cell>
          <cell r="T123">
            <v>2011</v>
          </cell>
          <cell r="U123">
            <v>10</v>
          </cell>
          <cell r="V123">
            <v>0</v>
          </cell>
          <cell r="W123">
            <v>0</v>
          </cell>
          <cell r="X123">
            <v>0</v>
          </cell>
          <cell r="Y123">
            <v>0</v>
          </cell>
        </row>
        <row r="124">
          <cell r="A124" t="str">
            <v>ELI-261</v>
          </cell>
          <cell r="B124" t="str">
            <v>Saltpan</v>
          </cell>
          <cell r="C124" t="str">
            <v>Saltpan F03</v>
          </cell>
          <cell r="D124">
            <v>0</v>
          </cell>
          <cell r="E124">
            <v>0</v>
          </cell>
          <cell r="F124">
            <v>0</v>
          </cell>
          <cell r="G124">
            <v>0</v>
          </cell>
          <cell r="H124">
            <v>0</v>
          </cell>
          <cell r="I124">
            <v>0</v>
          </cell>
          <cell r="J124">
            <v>0</v>
          </cell>
          <cell r="K124">
            <v>0</v>
          </cell>
          <cell r="L124">
            <v>0</v>
          </cell>
          <cell r="M124">
            <v>1</v>
          </cell>
          <cell r="N124">
            <v>0</v>
          </cell>
          <cell r="O124">
            <v>0</v>
          </cell>
          <cell r="P124">
            <v>1</v>
          </cell>
          <cell r="Q124">
            <v>0</v>
          </cell>
          <cell r="R124">
            <v>0</v>
          </cell>
          <cell r="S124">
            <v>1</v>
          </cell>
          <cell r="T124">
            <v>2008</v>
          </cell>
          <cell r="U124">
            <v>8</v>
          </cell>
          <cell r="V124">
            <v>0</v>
          </cell>
          <cell r="W124">
            <v>0</v>
          </cell>
          <cell r="X124">
            <v>0</v>
          </cell>
          <cell r="Y124">
            <v>0</v>
          </cell>
        </row>
        <row r="125">
          <cell r="A125" t="str">
            <v>ELI-257</v>
          </cell>
          <cell r="B125" t="str">
            <v>Saltpan</v>
          </cell>
          <cell r="C125" t="str">
            <v>Saltpan F06</v>
          </cell>
          <cell r="D125">
            <v>0</v>
          </cell>
          <cell r="E125">
            <v>0</v>
          </cell>
          <cell r="F125">
            <v>0</v>
          </cell>
          <cell r="G125">
            <v>0</v>
          </cell>
          <cell r="H125">
            <v>0</v>
          </cell>
          <cell r="I125">
            <v>0</v>
          </cell>
          <cell r="J125">
            <v>0</v>
          </cell>
          <cell r="K125">
            <v>0</v>
          </cell>
          <cell r="L125">
            <v>1</v>
          </cell>
          <cell r="M125">
            <v>1</v>
          </cell>
          <cell r="N125">
            <v>0</v>
          </cell>
          <cell r="O125">
            <v>0</v>
          </cell>
          <cell r="P125">
            <v>1</v>
          </cell>
          <cell r="Q125">
            <v>0</v>
          </cell>
          <cell r="R125">
            <v>0</v>
          </cell>
          <cell r="S125">
            <v>1</v>
          </cell>
          <cell r="T125">
            <v>2009</v>
          </cell>
          <cell r="U125">
            <v>11</v>
          </cell>
          <cell r="V125">
            <v>1</v>
          </cell>
          <cell r="W125">
            <v>0</v>
          </cell>
          <cell r="X125">
            <v>0</v>
          </cell>
          <cell r="Y125">
            <v>0</v>
          </cell>
        </row>
        <row r="126">
          <cell r="A126" t="str">
            <v>ELI-183</v>
          </cell>
          <cell r="B126" t="str">
            <v>Saltpan</v>
          </cell>
          <cell r="C126" t="str">
            <v>Saltpan F07</v>
          </cell>
          <cell r="D126">
            <v>0</v>
          </cell>
          <cell r="E126">
            <v>0</v>
          </cell>
          <cell r="F126">
            <v>0</v>
          </cell>
          <cell r="G126">
            <v>0</v>
          </cell>
          <cell r="H126">
            <v>0</v>
          </cell>
          <cell r="I126">
            <v>0</v>
          </cell>
          <cell r="J126">
            <v>0</v>
          </cell>
          <cell r="K126">
            <v>0</v>
          </cell>
          <cell r="L126">
            <v>1</v>
          </cell>
          <cell r="M126">
            <v>1</v>
          </cell>
          <cell r="N126">
            <v>0</v>
          </cell>
          <cell r="O126">
            <v>0</v>
          </cell>
          <cell r="P126">
            <v>1</v>
          </cell>
          <cell r="Q126">
            <v>0</v>
          </cell>
          <cell r="R126">
            <v>0</v>
          </cell>
          <cell r="S126">
            <v>1</v>
          </cell>
          <cell r="T126">
            <v>2009</v>
          </cell>
          <cell r="U126">
            <v>9</v>
          </cell>
          <cell r="V126">
            <v>7</v>
          </cell>
          <cell r="W126">
            <v>0</v>
          </cell>
          <cell r="X126">
            <v>0</v>
          </cell>
          <cell r="Y126">
            <v>0</v>
          </cell>
        </row>
        <row r="127">
          <cell r="A127" t="str">
            <v>ELI-189</v>
          </cell>
          <cell r="B127" t="str">
            <v>Saltpan</v>
          </cell>
          <cell r="C127" t="str">
            <v>Saltpan F08</v>
          </cell>
          <cell r="D127">
            <v>0</v>
          </cell>
          <cell r="E127">
            <v>0</v>
          </cell>
          <cell r="F127">
            <v>0</v>
          </cell>
          <cell r="G127">
            <v>0</v>
          </cell>
          <cell r="H127">
            <v>0</v>
          </cell>
          <cell r="I127">
            <v>0</v>
          </cell>
          <cell r="J127">
            <v>0</v>
          </cell>
          <cell r="K127">
            <v>0</v>
          </cell>
          <cell r="L127">
            <v>1</v>
          </cell>
          <cell r="M127">
            <v>0</v>
          </cell>
          <cell r="N127">
            <v>0</v>
          </cell>
          <cell r="O127">
            <v>0</v>
          </cell>
          <cell r="P127">
            <v>1</v>
          </cell>
          <cell r="Q127">
            <v>0</v>
          </cell>
          <cell r="R127">
            <v>0</v>
          </cell>
          <cell r="S127">
            <v>1</v>
          </cell>
          <cell r="T127">
            <v>2008</v>
          </cell>
          <cell r="U127">
            <v>8</v>
          </cell>
          <cell r="V127">
            <v>1</v>
          </cell>
          <cell r="W127">
            <v>0</v>
          </cell>
          <cell r="X127">
            <v>0</v>
          </cell>
          <cell r="Y127">
            <v>0</v>
          </cell>
        </row>
        <row r="128">
          <cell r="A128" t="str">
            <v>ELI-465</v>
          </cell>
          <cell r="B128" t="str">
            <v>Saltpan</v>
          </cell>
          <cell r="C128" t="str">
            <v>Saltpan F09</v>
          </cell>
          <cell r="D128">
            <v>0</v>
          </cell>
          <cell r="E128">
            <v>0</v>
          </cell>
          <cell r="F128">
            <v>0</v>
          </cell>
          <cell r="G128">
            <v>0</v>
          </cell>
          <cell r="H128">
            <v>0</v>
          </cell>
          <cell r="I128">
            <v>0</v>
          </cell>
          <cell r="J128">
            <v>0</v>
          </cell>
          <cell r="K128">
            <v>0</v>
          </cell>
          <cell r="L128">
            <v>0</v>
          </cell>
          <cell r="M128">
            <v>1</v>
          </cell>
          <cell r="N128">
            <v>0</v>
          </cell>
          <cell r="O128">
            <v>0</v>
          </cell>
          <cell r="P128">
            <v>1</v>
          </cell>
          <cell r="Q128">
            <v>0</v>
          </cell>
          <cell r="R128">
            <v>0</v>
          </cell>
          <cell r="S128">
            <v>1</v>
          </cell>
          <cell r="T128">
            <v>2011</v>
          </cell>
          <cell r="U128">
            <v>10</v>
          </cell>
          <cell r="V128">
            <v>8</v>
          </cell>
          <cell r="W128">
            <v>0</v>
          </cell>
          <cell r="X128">
            <v>0</v>
          </cell>
          <cell r="Y128">
            <v>0</v>
          </cell>
        </row>
        <row r="129">
          <cell r="A129" t="str">
            <v>ELI-467</v>
          </cell>
          <cell r="B129" t="str">
            <v>Saltpan</v>
          </cell>
          <cell r="C129" t="str">
            <v>Saltpan F10</v>
          </cell>
          <cell r="D129">
            <v>0</v>
          </cell>
          <cell r="E129">
            <v>0</v>
          </cell>
          <cell r="F129">
            <v>0</v>
          </cell>
          <cell r="G129">
            <v>0</v>
          </cell>
          <cell r="H129">
            <v>0</v>
          </cell>
          <cell r="I129">
            <v>0</v>
          </cell>
          <cell r="J129">
            <v>0</v>
          </cell>
          <cell r="K129">
            <v>0</v>
          </cell>
          <cell r="L129">
            <v>1</v>
          </cell>
          <cell r="M129">
            <v>1</v>
          </cell>
          <cell r="N129">
            <v>0</v>
          </cell>
          <cell r="O129">
            <v>0</v>
          </cell>
          <cell r="P129">
            <v>1</v>
          </cell>
          <cell r="Q129">
            <v>0</v>
          </cell>
          <cell r="R129">
            <v>0</v>
          </cell>
          <cell r="S129">
            <v>1</v>
          </cell>
          <cell r="T129">
            <v>2011</v>
          </cell>
          <cell r="U129">
            <v>10</v>
          </cell>
          <cell r="V129">
            <v>0</v>
          </cell>
          <cell r="W129">
            <v>0</v>
          </cell>
          <cell r="X129">
            <v>0</v>
          </cell>
          <cell r="Y129">
            <v>0</v>
          </cell>
        </row>
        <row r="130">
          <cell r="A130" t="str">
            <v>ELI-770</v>
          </cell>
          <cell r="B130" t="str">
            <v>Saltpan</v>
          </cell>
          <cell r="C130" t="str">
            <v>Saltpan Cub1</v>
          </cell>
          <cell r="D130">
            <v>0</v>
          </cell>
          <cell r="E130">
            <v>0</v>
          </cell>
          <cell r="F130">
            <v>0</v>
          </cell>
          <cell r="G130">
            <v>0</v>
          </cell>
          <cell r="H130">
            <v>0</v>
          </cell>
          <cell r="I130">
            <v>0</v>
          </cell>
          <cell r="J130">
            <v>0</v>
          </cell>
          <cell r="K130">
            <v>0</v>
          </cell>
          <cell r="L130">
            <v>0</v>
          </cell>
          <cell r="M130">
            <v>1</v>
          </cell>
          <cell r="N130">
            <v>0</v>
          </cell>
          <cell r="O130">
            <v>0</v>
          </cell>
          <cell r="P130">
            <v>1</v>
          </cell>
          <cell r="Q130">
            <v>0</v>
          </cell>
          <cell r="R130">
            <v>0</v>
          </cell>
          <cell r="S130">
            <v>1</v>
          </cell>
          <cell r="T130">
            <v>2014</v>
          </cell>
          <cell r="U130">
            <v>10</v>
          </cell>
          <cell r="V130">
            <v>1</v>
          </cell>
          <cell r="W130">
            <v>0</v>
          </cell>
          <cell r="X130">
            <v>0</v>
          </cell>
          <cell r="Y130">
            <v>0</v>
          </cell>
        </row>
        <row r="131">
          <cell r="A131" t="str">
            <v>ELI-771</v>
          </cell>
          <cell r="B131" t="str">
            <v>Saltpan</v>
          </cell>
          <cell r="C131" t="str">
            <v>Saltpan Cub2</v>
          </cell>
          <cell r="D131">
            <v>0</v>
          </cell>
          <cell r="E131">
            <v>0</v>
          </cell>
          <cell r="F131">
            <v>0</v>
          </cell>
          <cell r="G131">
            <v>0</v>
          </cell>
          <cell r="H131">
            <v>0</v>
          </cell>
          <cell r="I131">
            <v>0</v>
          </cell>
          <cell r="J131">
            <v>0</v>
          </cell>
          <cell r="K131">
            <v>0</v>
          </cell>
          <cell r="L131">
            <v>0</v>
          </cell>
          <cell r="M131">
            <v>1</v>
          </cell>
          <cell r="N131">
            <v>0</v>
          </cell>
          <cell r="O131">
            <v>0</v>
          </cell>
          <cell r="P131">
            <v>1</v>
          </cell>
          <cell r="Q131">
            <v>0</v>
          </cell>
          <cell r="R131">
            <v>0</v>
          </cell>
          <cell r="S131">
            <v>1</v>
          </cell>
          <cell r="T131">
            <v>2014</v>
          </cell>
          <cell r="U131">
            <v>10</v>
          </cell>
          <cell r="V131">
            <v>0</v>
          </cell>
          <cell r="W131">
            <v>0</v>
          </cell>
          <cell r="X131">
            <v>0</v>
          </cell>
          <cell r="Y131">
            <v>0</v>
          </cell>
        </row>
        <row r="132">
          <cell r="A132" t="str">
            <v>ELI-772</v>
          </cell>
          <cell r="B132" t="str">
            <v>Saltpan</v>
          </cell>
          <cell r="C132" t="str">
            <v>Saltpan Cub3</v>
          </cell>
          <cell r="D132">
            <v>0</v>
          </cell>
          <cell r="E132">
            <v>0</v>
          </cell>
          <cell r="F132">
            <v>0</v>
          </cell>
          <cell r="G132">
            <v>0</v>
          </cell>
          <cell r="H132">
            <v>0</v>
          </cell>
          <cell r="I132">
            <v>0</v>
          </cell>
          <cell r="J132">
            <v>0</v>
          </cell>
          <cell r="K132">
            <v>0</v>
          </cell>
          <cell r="L132">
            <v>0</v>
          </cell>
          <cell r="M132">
            <v>1</v>
          </cell>
          <cell r="N132">
            <v>0</v>
          </cell>
          <cell r="O132">
            <v>0</v>
          </cell>
          <cell r="P132">
            <v>0</v>
          </cell>
          <cell r="Q132" t="str">
            <v>NA</v>
          </cell>
          <cell r="R132">
            <v>0</v>
          </cell>
          <cell r="S132">
            <v>1</v>
          </cell>
          <cell r="T132">
            <v>2014</v>
          </cell>
          <cell r="U132">
            <v>10</v>
          </cell>
          <cell r="V132">
            <v>0</v>
          </cell>
          <cell r="W132">
            <v>0</v>
          </cell>
          <cell r="X132">
            <v>0</v>
          </cell>
          <cell r="Y132">
            <v>1</v>
          </cell>
        </row>
        <row r="133">
          <cell r="A133" t="str">
            <v>ELI-773</v>
          </cell>
          <cell r="B133" t="str">
            <v>Saltpan</v>
          </cell>
          <cell r="C133" t="str">
            <v>Saltpan Cub4</v>
          </cell>
          <cell r="D133">
            <v>0</v>
          </cell>
          <cell r="E133">
            <v>0</v>
          </cell>
          <cell r="F133">
            <v>0</v>
          </cell>
          <cell r="G133">
            <v>0</v>
          </cell>
          <cell r="H133">
            <v>0</v>
          </cell>
          <cell r="I133">
            <v>0</v>
          </cell>
          <cell r="J133">
            <v>0</v>
          </cell>
          <cell r="K133">
            <v>0</v>
          </cell>
          <cell r="L133">
            <v>0</v>
          </cell>
          <cell r="M133">
            <v>1</v>
          </cell>
          <cell r="N133">
            <v>0</v>
          </cell>
          <cell r="O133">
            <v>0</v>
          </cell>
          <cell r="P133">
            <v>0</v>
          </cell>
          <cell r="Q133" t="str">
            <v>NA</v>
          </cell>
          <cell r="R133">
            <v>0</v>
          </cell>
          <cell r="S133">
            <v>1</v>
          </cell>
          <cell r="T133">
            <v>2014</v>
          </cell>
          <cell r="U133">
            <v>10</v>
          </cell>
          <cell r="V133">
            <v>0</v>
          </cell>
          <cell r="W133">
            <v>0</v>
          </cell>
          <cell r="X133">
            <v>0</v>
          </cell>
          <cell r="Y133">
            <v>0</v>
          </cell>
        </row>
        <row r="134">
          <cell r="A134" t="str">
            <v>ELI-774</v>
          </cell>
          <cell r="B134" t="str">
            <v>Saltpan</v>
          </cell>
          <cell r="C134" t="str">
            <v>Saltpan Cub5</v>
          </cell>
          <cell r="D134">
            <v>0</v>
          </cell>
          <cell r="E134">
            <v>0</v>
          </cell>
          <cell r="F134">
            <v>0</v>
          </cell>
          <cell r="G134">
            <v>0</v>
          </cell>
          <cell r="H134">
            <v>0</v>
          </cell>
          <cell r="I134">
            <v>0</v>
          </cell>
          <cell r="J134">
            <v>0</v>
          </cell>
          <cell r="K134">
            <v>0</v>
          </cell>
          <cell r="L134">
            <v>0</v>
          </cell>
          <cell r="M134">
            <v>1</v>
          </cell>
          <cell r="N134">
            <v>0</v>
          </cell>
          <cell r="O134">
            <v>0</v>
          </cell>
          <cell r="P134">
            <v>0</v>
          </cell>
          <cell r="Q134" t="str">
            <v>NA</v>
          </cell>
          <cell r="R134">
            <v>0</v>
          </cell>
          <cell r="S134">
            <v>1</v>
          </cell>
          <cell r="T134">
            <v>2014</v>
          </cell>
          <cell r="U134">
            <v>10</v>
          </cell>
          <cell r="V134">
            <v>0</v>
          </cell>
          <cell r="W134">
            <v>0</v>
          </cell>
          <cell r="X134">
            <v>0</v>
          </cell>
          <cell r="Y134">
            <v>1</v>
          </cell>
        </row>
        <row r="135">
          <cell r="A135" t="str">
            <v>ELI-775</v>
          </cell>
          <cell r="B135" t="str">
            <v>Nchindeni</v>
          </cell>
          <cell r="C135" t="str">
            <v>Nchindeni</v>
          </cell>
          <cell r="D135">
            <v>0</v>
          </cell>
          <cell r="E135">
            <v>0</v>
          </cell>
          <cell r="F135">
            <v>0</v>
          </cell>
          <cell r="G135">
            <v>0</v>
          </cell>
          <cell r="H135">
            <v>0</v>
          </cell>
          <cell r="I135">
            <v>0</v>
          </cell>
          <cell r="J135">
            <v>0</v>
          </cell>
          <cell r="K135">
            <v>0</v>
          </cell>
          <cell r="L135">
            <v>1</v>
          </cell>
          <cell r="M135">
            <v>0</v>
          </cell>
          <cell r="N135">
            <v>0</v>
          </cell>
          <cell r="O135">
            <v>0</v>
          </cell>
          <cell r="P135">
            <v>1</v>
          </cell>
          <cell r="Q135">
            <v>0</v>
          </cell>
          <cell r="R135">
            <v>0</v>
          </cell>
          <cell r="S135">
            <v>1</v>
          </cell>
          <cell r="T135">
            <v>2014</v>
          </cell>
          <cell r="U135">
            <v>9</v>
          </cell>
          <cell r="V135">
            <v>1</v>
          </cell>
          <cell r="W135">
            <v>1</v>
          </cell>
          <cell r="X135">
            <v>0</v>
          </cell>
          <cell r="Y135">
            <v>0</v>
          </cell>
        </row>
        <row r="136">
          <cell r="A136" t="str">
            <v>ELI-776</v>
          </cell>
          <cell r="B136" t="str">
            <v>Nchindeni</v>
          </cell>
          <cell r="C136" t="str">
            <v>Nchindeni</v>
          </cell>
          <cell r="D136">
            <v>0</v>
          </cell>
          <cell r="E136">
            <v>0</v>
          </cell>
          <cell r="F136">
            <v>0</v>
          </cell>
          <cell r="G136">
            <v>0</v>
          </cell>
          <cell r="H136">
            <v>0</v>
          </cell>
          <cell r="I136">
            <v>0</v>
          </cell>
          <cell r="J136">
            <v>0</v>
          </cell>
          <cell r="K136">
            <v>0</v>
          </cell>
          <cell r="L136">
            <v>1</v>
          </cell>
          <cell r="M136">
            <v>0</v>
          </cell>
          <cell r="N136">
            <v>0</v>
          </cell>
          <cell r="O136">
            <v>0</v>
          </cell>
          <cell r="P136">
            <v>1</v>
          </cell>
          <cell r="Q136">
            <v>0</v>
          </cell>
          <cell r="R136">
            <v>0</v>
          </cell>
          <cell r="S136">
            <v>1</v>
          </cell>
          <cell r="T136">
            <v>2014</v>
          </cell>
          <cell r="U136">
            <v>9</v>
          </cell>
          <cell r="V136">
            <v>1</v>
          </cell>
          <cell r="W136">
            <v>1</v>
          </cell>
          <cell r="X136">
            <v>0</v>
          </cell>
          <cell r="Y136">
            <v>0</v>
          </cell>
        </row>
        <row r="137">
          <cell r="A137" t="str">
            <v>ELI-777</v>
          </cell>
          <cell r="B137" t="str">
            <v>Nchindeni</v>
          </cell>
          <cell r="C137" t="str">
            <v>Nchindeni</v>
          </cell>
          <cell r="D137">
            <v>0</v>
          </cell>
          <cell r="E137">
            <v>0</v>
          </cell>
          <cell r="F137">
            <v>0</v>
          </cell>
          <cell r="G137">
            <v>0</v>
          </cell>
          <cell r="H137">
            <v>0</v>
          </cell>
          <cell r="I137">
            <v>0</v>
          </cell>
          <cell r="J137">
            <v>0</v>
          </cell>
          <cell r="K137">
            <v>0</v>
          </cell>
          <cell r="L137">
            <v>1</v>
          </cell>
          <cell r="M137">
            <v>0</v>
          </cell>
          <cell r="N137">
            <v>0</v>
          </cell>
          <cell r="O137">
            <v>0</v>
          </cell>
          <cell r="P137">
            <v>1</v>
          </cell>
          <cell r="Q137">
            <v>0</v>
          </cell>
          <cell r="R137">
            <v>0</v>
          </cell>
          <cell r="S137">
            <v>1</v>
          </cell>
          <cell r="T137">
            <v>2014</v>
          </cell>
          <cell r="U137">
            <v>9</v>
          </cell>
          <cell r="V137">
            <v>1</v>
          </cell>
          <cell r="W137">
            <v>1</v>
          </cell>
          <cell r="X137">
            <v>0</v>
          </cell>
          <cell r="Y137">
            <v>0</v>
          </cell>
        </row>
        <row r="138">
          <cell r="A138" t="str">
            <v>ELI-778</v>
          </cell>
          <cell r="B138" t="str">
            <v>Nchindeni</v>
          </cell>
          <cell r="C138" t="str">
            <v>Nchindeni</v>
          </cell>
          <cell r="D138">
            <v>0</v>
          </cell>
          <cell r="E138">
            <v>0</v>
          </cell>
          <cell r="F138">
            <v>0</v>
          </cell>
          <cell r="G138">
            <v>0</v>
          </cell>
          <cell r="H138">
            <v>0</v>
          </cell>
          <cell r="I138">
            <v>0</v>
          </cell>
          <cell r="J138">
            <v>0</v>
          </cell>
          <cell r="K138">
            <v>0</v>
          </cell>
          <cell r="L138">
            <v>1</v>
          </cell>
          <cell r="M138">
            <v>0</v>
          </cell>
          <cell r="N138">
            <v>0</v>
          </cell>
          <cell r="O138">
            <v>0</v>
          </cell>
          <cell r="P138">
            <v>1</v>
          </cell>
          <cell r="Q138">
            <v>0</v>
          </cell>
          <cell r="R138">
            <v>0</v>
          </cell>
          <cell r="S138">
            <v>1</v>
          </cell>
          <cell r="T138">
            <v>2014</v>
          </cell>
          <cell r="U138">
            <v>9</v>
          </cell>
          <cell r="V138">
            <v>1</v>
          </cell>
          <cell r="W138">
            <v>1</v>
          </cell>
          <cell r="X138">
            <v>0</v>
          </cell>
          <cell r="Y138">
            <v>0</v>
          </cell>
        </row>
        <row r="139">
          <cell r="A139" t="str">
            <v>ELI-786</v>
          </cell>
          <cell r="B139" t="str">
            <v>Nchindeni</v>
          </cell>
          <cell r="C139" t="str">
            <v>Nchindeni</v>
          </cell>
          <cell r="D139">
            <v>0</v>
          </cell>
          <cell r="E139">
            <v>0</v>
          </cell>
          <cell r="F139">
            <v>0</v>
          </cell>
          <cell r="G139">
            <v>0</v>
          </cell>
          <cell r="H139">
            <v>0</v>
          </cell>
          <cell r="I139">
            <v>0</v>
          </cell>
          <cell r="J139">
            <v>0</v>
          </cell>
          <cell r="K139">
            <v>0</v>
          </cell>
          <cell r="L139">
            <v>1</v>
          </cell>
          <cell r="M139">
            <v>0</v>
          </cell>
          <cell r="N139">
            <v>0</v>
          </cell>
          <cell r="O139">
            <v>0</v>
          </cell>
          <cell r="P139">
            <v>1</v>
          </cell>
          <cell r="Q139">
            <v>0</v>
          </cell>
          <cell r="R139">
            <v>0</v>
          </cell>
          <cell r="S139">
            <v>1</v>
          </cell>
          <cell r="T139">
            <v>2014</v>
          </cell>
          <cell r="U139">
            <v>9</v>
          </cell>
          <cell r="V139">
            <v>5</v>
          </cell>
          <cell r="W139">
            <v>1</v>
          </cell>
          <cell r="X139">
            <v>0</v>
          </cell>
          <cell r="Y139">
            <v>0</v>
          </cell>
        </row>
        <row r="140">
          <cell r="A140" t="str">
            <v>ELI-NC</v>
          </cell>
          <cell r="B140" t="str">
            <v>Nchindeni</v>
          </cell>
          <cell r="C140" t="str">
            <v>Nchindeni</v>
          </cell>
          <cell r="D140">
            <v>0</v>
          </cell>
          <cell r="E140">
            <v>0</v>
          </cell>
          <cell r="F140">
            <v>0</v>
          </cell>
          <cell r="G140">
            <v>0</v>
          </cell>
          <cell r="H140">
            <v>0</v>
          </cell>
          <cell r="I140">
            <v>0</v>
          </cell>
          <cell r="J140">
            <v>0</v>
          </cell>
          <cell r="K140">
            <v>0</v>
          </cell>
          <cell r="L140">
            <v>1</v>
          </cell>
          <cell r="M140">
            <v>0</v>
          </cell>
          <cell r="N140">
            <v>0</v>
          </cell>
          <cell r="O140">
            <v>0</v>
          </cell>
          <cell r="P140">
            <v>1</v>
          </cell>
          <cell r="Q140">
            <v>0</v>
          </cell>
          <cell r="R140">
            <v>0</v>
          </cell>
          <cell r="S140">
            <v>1</v>
          </cell>
          <cell r="T140">
            <v>2014</v>
          </cell>
          <cell r="U140">
            <v>9</v>
          </cell>
          <cell r="V140">
            <v>6</v>
          </cell>
          <cell r="W140">
            <v>1</v>
          </cell>
          <cell r="X140">
            <v>0</v>
          </cell>
          <cell r="Y140">
            <v>0</v>
          </cell>
        </row>
        <row r="141">
          <cell r="A141" t="str">
            <v>ELI-260</v>
          </cell>
          <cell r="B141" t="str">
            <v>Tena Tena</v>
          </cell>
          <cell r="C141" t="str">
            <v>Tena Tena F01</v>
          </cell>
          <cell r="D141">
            <v>0</v>
          </cell>
          <cell r="E141">
            <v>0</v>
          </cell>
          <cell r="F141">
            <v>0</v>
          </cell>
          <cell r="G141">
            <v>0</v>
          </cell>
          <cell r="H141">
            <v>0</v>
          </cell>
          <cell r="I141">
            <v>1</v>
          </cell>
          <cell r="J141">
            <v>0</v>
          </cell>
          <cell r="K141">
            <v>0</v>
          </cell>
          <cell r="L141">
            <v>0</v>
          </cell>
          <cell r="M141">
            <v>0</v>
          </cell>
          <cell r="N141">
            <v>0</v>
          </cell>
          <cell r="O141">
            <v>0</v>
          </cell>
          <cell r="P141">
            <v>1</v>
          </cell>
          <cell r="Q141">
            <v>0</v>
          </cell>
          <cell r="R141">
            <v>0</v>
          </cell>
          <cell r="S141">
            <v>1</v>
          </cell>
          <cell r="T141">
            <v>2008</v>
          </cell>
          <cell r="U141">
            <v>6</v>
          </cell>
          <cell r="V141">
            <v>1</v>
          </cell>
          <cell r="W141">
            <v>0</v>
          </cell>
          <cell r="X141">
            <v>0</v>
          </cell>
          <cell r="Y141">
            <v>0</v>
          </cell>
        </row>
        <row r="142">
          <cell r="A142" t="str">
            <v>ELI-262</v>
          </cell>
          <cell r="B142" t="str">
            <v>Tena Tena</v>
          </cell>
          <cell r="C142" t="str">
            <v>Tena Tena F02</v>
          </cell>
          <cell r="D142">
            <v>0</v>
          </cell>
          <cell r="E142">
            <v>0</v>
          </cell>
          <cell r="F142">
            <v>0</v>
          </cell>
          <cell r="G142">
            <v>0</v>
          </cell>
          <cell r="H142">
            <v>0</v>
          </cell>
          <cell r="I142">
            <v>1</v>
          </cell>
          <cell r="J142">
            <v>0</v>
          </cell>
          <cell r="K142">
            <v>0</v>
          </cell>
          <cell r="L142">
            <v>0</v>
          </cell>
          <cell r="M142">
            <v>0</v>
          </cell>
          <cell r="N142">
            <v>0</v>
          </cell>
          <cell r="O142">
            <v>0</v>
          </cell>
          <cell r="P142">
            <v>1</v>
          </cell>
          <cell r="Q142">
            <v>0</v>
          </cell>
          <cell r="R142">
            <v>0</v>
          </cell>
          <cell r="S142">
            <v>1</v>
          </cell>
          <cell r="T142">
            <v>2008</v>
          </cell>
          <cell r="U142">
            <v>6</v>
          </cell>
          <cell r="V142">
            <v>2</v>
          </cell>
          <cell r="W142">
            <v>0</v>
          </cell>
          <cell r="X142">
            <v>0</v>
          </cell>
          <cell r="Y142">
            <v>0</v>
          </cell>
        </row>
        <row r="143">
          <cell r="A143" t="str">
            <v>ELI-752</v>
          </cell>
          <cell r="B143" t="str">
            <v>Tena Tena</v>
          </cell>
          <cell r="C143" t="str">
            <v>Tena Tena Cub 1</v>
          </cell>
          <cell r="D143">
            <v>0</v>
          </cell>
          <cell r="E143">
            <v>0</v>
          </cell>
          <cell r="F143">
            <v>0</v>
          </cell>
          <cell r="G143">
            <v>0</v>
          </cell>
          <cell r="H143">
            <v>0</v>
          </cell>
          <cell r="I143">
            <v>1</v>
          </cell>
          <cell r="J143">
            <v>0</v>
          </cell>
          <cell r="K143">
            <v>0</v>
          </cell>
          <cell r="L143">
            <v>0</v>
          </cell>
          <cell r="M143">
            <v>0</v>
          </cell>
          <cell r="N143">
            <v>0</v>
          </cell>
          <cell r="O143">
            <v>0</v>
          </cell>
          <cell r="P143">
            <v>1</v>
          </cell>
          <cell r="Q143">
            <v>1</v>
          </cell>
          <cell r="R143">
            <v>0</v>
          </cell>
          <cell r="S143">
            <v>1</v>
          </cell>
          <cell r="T143">
            <v>2014</v>
          </cell>
          <cell r="U143">
            <v>6</v>
          </cell>
          <cell r="V143">
            <v>0</v>
          </cell>
          <cell r="W143">
            <v>0</v>
          </cell>
          <cell r="X143">
            <v>0</v>
          </cell>
          <cell r="Y143">
            <v>0</v>
          </cell>
        </row>
        <row r="144">
          <cell r="A144" t="str">
            <v>ELI-753</v>
          </cell>
          <cell r="B144" t="str">
            <v>Tena Tena</v>
          </cell>
          <cell r="C144" t="str">
            <v>Tena Tena Cub 2</v>
          </cell>
          <cell r="D144">
            <v>0</v>
          </cell>
          <cell r="E144">
            <v>0</v>
          </cell>
          <cell r="F144">
            <v>0</v>
          </cell>
          <cell r="G144">
            <v>0</v>
          </cell>
          <cell r="H144">
            <v>0</v>
          </cell>
          <cell r="I144">
            <v>1</v>
          </cell>
          <cell r="J144">
            <v>0</v>
          </cell>
          <cell r="K144">
            <v>0</v>
          </cell>
          <cell r="L144">
            <v>0</v>
          </cell>
          <cell r="M144">
            <v>0</v>
          </cell>
          <cell r="N144">
            <v>0</v>
          </cell>
          <cell r="O144">
            <v>0</v>
          </cell>
          <cell r="P144">
            <v>1</v>
          </cell>
          <cell r="Q144">
            <v>0</v>
          </cell>
          <cell r="R144">
            <v>0</v>
          </cell>
          <cell r="S144">
            <v>1</v>
          </cell>
          <cell r="T144">
            <v>2014</v>
          </cell>
          <cell r="U144">
            <v>6</v>
          </cell>
          <cell r="V144">
            <v>0</v>
          </cell>
          <cell r="W144">
            <v>0</v>
          </cell>
          <cell r="X144">
            <v>0</v>
          </cell>
          <cell r="Y144">
            <v>1</v>
          </cell>
        </row>
        <row r="145">
          <cell r="A145" t="str">
            <v>ELI-754</v>
          </cell>
          <cell r="B145" t="str">
            <v>Tena Tena</v>
          </cell>
          <cell r="C145" t="str">
            <v>Tena Tena Cub 3</v>
          </cell>
          <cell r="D145">
            <v>0</v>
          </cell>
          <cell r="E145">
            <v>0</v>
          </cell>
          <cell r="F145">
            <v>0</v>
          </cell>
          <cell r="G145">
            <v>0</v>
          </cell>
          <cell r="H145">
            <v>0</v>
          </cell>
          <cell r="I145">
            <v>1</v>
          </cell>
          <cell r="J145">
            <v>0</v>
          </cell>
          <cell r="K145">
            <v>0</v>
          </cell>
          <cell r="L145">
            <v>0</v>
          </cell>
          <cell r="M145">
            <v>0</v>
          </cell>
          <cell r="N145">
            <v>0</v>
          </cell>
          <cell r="O145">
            <v>0</v>
          </cell>
          <cell r="P145">
            <v>0</v>
          </cell>
          <cell r="Q145" t="str">
            <v>NA</v>
          </cell>
          <cell r="R145">
            <v>0</v>
          </cell>
          <cell r="S145">
            <v>1</v>
          </cell>
          <cell r="T145">
            <v>2014</v>
          </cell>
          <cell r="U145">
            <v>6</v>
          </cell>
          <cell r="V145">
            <v>0</v>
          </cell>
          <cell r="W145">
            <v>0</v>
          </cell>
          <cell r="X145">
            <v>0</v>
          </cell>
          <cell r="Y145">
            <v>0</v>
          </cell>
        </row>
        <row r="146">
          <cell r="A146" t="str">
            <v>ELI-755</v>
          </cell>
          <cell r="B146" t="str">
            <v>Tena Tena</v>
          </cell>
          <cell r="C146" t="str">
            <v>Tena Tena Cub 4</v>
          </cell>
          <cell r="D146">
            <v>0</v>
          </cell>
          <cell r="E146">
            <v>0</v>
          </cell>
          <cell r="F146">
            <v>0</v>
          </cell>
          <cell r="G146">
            <v>0</v>
          </cell>
          <cell r="H146">
            <v>0</v>
          </cell>
          <cell r="I146">
            <v>1</v>
          </cell>
          <cell r="J146">
            <v>0</v>
          </cell>
          <cell r="K146">
            <v>0</v>
          </cell>
          <cell r="L146">
            <v>0</v>
          </cell>
          <cell r="M146">
            <v>0</v>
          </cell>
          <cell r="N146">
            <v>0</v>
          </cell>
          <cell r="O146">
            <v>0</v>
          </cell>
          <cell r="P146">
            <v>0</v>
          </cell>
          <cell r="Q146" t="str">
            <v>NA</v>
          </cell>
          <cell r="R146">
            <v>0</v>
          </cell>
          <cell r="S146">
            <v>1</v>
          </cell>
          <cell r="T146">
            <v>2014</v>
          </cell>
          <cell r="U146">
            <v>6</v>
          </cell>
          <cell r="V146">
            <v>0</v>
          </cell>
          <cell r="W146">
            <v>0</v>
          </cell>
          <cell r="X146">
            <v>0</v>
          </cell>
          <cell r="Y146">
            <v>1</v>
          </cell>
        </row>
        <row r="147">
          <cell r="A147" t="str">
            <v>ELI-756</v>
          </cell>
          <cell r="B147" t="str">
            <v>Tena Tena</v>
          </cell>
          <cell r="C147" t="str">
            <v>Tena Tena Cub 5</v>
          </cell>
          <cell r="D147">
            <v>0</v>
          </cell>
          <cell r="E147">
            <v>0</v>
          </cell>
          <cell r="F147">
            <v>0</v>
          </cell>
          <cell r="G147">
            <v>0</v>
          </cell>
          <cell r="H147">
            <v>0</v>
          </cell>
          <cell r="I147">
            <v>1</v>
          </cell>
          <cell r="J147">
            <v>0</v>
          </cell>
          <cell r="K147">
            <v>0</v>
          </cell>
          <cell r="L147">
            <v>0</v>
          </cell>
          <cell r="M147">
            <v>0</v>
          </cell>
          <cell r="N147">
            <v>0</v>
          </cell>
          <cell r="O147">
            <v>0</v>
          </cell>
          <cell r="P147">
            <v>0</v>
          </cell>
          <cell r="Q147" t="str">
            <v>NA</v>
          </cell>
          <cell r="R147">
            <v>0</v>
          </cell>
          <cell r="S147">
            <v>1</v>
          </cell>
          <cell r="T147">
            <v>2014</v>
          </cell>
          <cell r="U147">
            <v>6</v>
          </cell>
          <cell r="V147">
            <v>0</v>
          </cell>
          <cell r="W147">
            <v>0</v>
          </cell>
          <cell r="X147">
            <v>0</v>
          </cell>
          <cell r="Y147">
            <v>0</v>
          </cell>
        </row>
        <row r="148">
          <cell r="A148" t="str">
            <v>ELI-757</v>
          </cell>
          <cell r="B148" t="str">
            <v>Tena Tena</v>
          </cell>
          <cell r="C148" t="str">
            <v>Tena Tena Cub 6</v>
          </cell>
          <cell r="D148">
            <v>0</v>
          </cell>
          <cell r="E148">
            <v>0</v>
          </cell>
          <cell r="F148">
            <v>0</v>
          </cell>
          <cell r="G148">
            <v>0</v>
          </cell>
          <cell r="H148">
            <v>0</v>
          </cell>
          <cell r="I148">
            <v>1</v>
          </cell>
          <cell r="J148">
            <v>0</v>
          </cell>
          <cell r="K148">
            <v>0</v>
          </cell>
          <cell r="L148">
            <v>0</v>
          </cell>
          <cell r="M148">
            <v>0</v>
          </cell>
          <cell r="N148">
            <v>0</v>
          </cell>
          <cell r="O148">
            <v>0</v>
          </cell>
          <cell r="P148">
            <v>0</v>
          </cell>
          <cell r="Q148" t="str">
            <v>NA</v>
          </cell>
          <cell r="R148">
            <v>0</v>
          </cell>
          <cell r="S148">
            <v>1</v>
          </cell>
          <cell r="T148">
            <v>2014</v>
          </cell>
          <cell r="U148">
            <v>6</v>
          </cell>
          <cell r="V148">
            <v>0</v>
          </cell>
          <cell r="W148">
            <v>0</v>
          </cell>
          <cell r="X148">
            <v>0</v>
          </cell>
          <cell r="Y148">
            <v>1</v>
          </cell>
        </row>
        <row r="149">
          <cell r="A149" t="str">
            <v>ELI-758</v>
          </cell>
          <cell r="B149" t="str">
            <v>Tena Tena</v>
          </cell>
          <cell r="C149" t="str">
            <v>Tena Tena Cub 7</v>
          </cell>
          <cell r="D149">
            <v>0</v>
          </cell>
          <cell r="E149">
            <v>0</v>
          </cell>
          <cell r="F149">
            <v>0</v>
          </cell>
          <cell r="G149">
            <v>0</v>
          </cell>
          <cell r="H149">
            <v>0</v>
          </cell>
          <cell r="I149">
            <v>1</v>
          </cell>
          <cell r="J149">
            <v>0</v>
          </cell>
          <cell r="K149">
            <v>0</v>
          </cell>
          <cell r="L149">
            <v>0</v>
          </cell>
          <cell r="M149">
            <v>0</v>
          </cell>
          <cell r="N149">
            <v>0</v>
          </cell>
          <cell r="O149">
            <v>0</v>
          </cell>
          <cell r="P149">
            <v>0</v>
          </cell>
          <cell r="Q149" t="str">
            <v>NA</v>
          </cell>
          <cell r="R149">
            <v>0</v>
          </cell>
          <cell r="S149">
            <v>1</v>
          </cell>
          <cell r="T149">
            <v>2014</v>
          </cell>
          <cell r="U149">
            <v>6</v>
          </cell>
          <cell r="V149">
            <v>0</v>
          </cell>
          <cell r="W149">
            <v>0</v>
          </cell>
          <cell r="X149">
            <v>0</v>
          </cell>
          <cell r="Y149">
            <v>0</v>
          </cell>
        </row>
        <row r="150">
          <cell r="A150" t="str">
            <v>ELI-759</v>
          </cell>
          <cell r="B150" t="str">
            <v>Tena Tena</v>
          </cell>
          <cell r="C150" t="str">
            <v>Tena Tena Cub 8</v>
          </cell>
          <cell r="D150">
            <v>0</v>
          </cell>
          <cell r="E150">
            <v>0</v>
          </cell>
          <cell r="F150">
            <v>0</v>
          </cell>
          <cell r="G150">
            <v>0</v>
          </cell>
          <cell r="H150">
            <v>0</v>
          </cell>
          <cell r="I150">
            <v>1</v>
          </cell>
          <cell r="J150">
            <v>0</v>
          </cell>
          <cell r="K150">
            <v>0</v>
          </cell>
          <cell r="L150">
            <v>0</v>
          </cell>
          <cell r="M150">
            <v>0</v>
          </cell>
          <cell r="N150">
            <v>0</v>
          </cell>
          <cell r="O150">
            <v>0</v>
          </cell>
          <cell r="P150">
            <v>0</v>
          </cell>
          <cell r="Q150" t="str">
            <v>NA</v>
          </cell>
          <cell r="R150">
            <v>0</v>
          </cell>
          <cell r="S150">
            <v>1</v>
          </cell>
          <cell r="T150">
            <v>2014</v>
          </cell>
          <cell r="U150">
            <v>6</v>
          </cell>
          <cell r="V150">
            <v>0</v>
          </cell>
          <cell r="W150">
            <v>0</v>
          </cell>
          <cell r="X150">
            <v>0</v>
          </cell>
          <cell r="Y150">
            <v>1</v>
          </cell>
        </row>
        <row r="151">
          <cell r="A151" t="str">
            <v>ELI-168</v>
          </cell>
          <cell r="B151" t="str">
            <v>Big Pride Coa</v>
          </cell>
          <cell r="C151" t="str">
            <v>Big Pride M05</v>
          </cell>
          <cell r="D151">
            <v>0</v>
          </cell>
          <cell r="E151">
            <v>0</v>
          </cell>
          <cell r="F151">
            <v>0</v>
          </cell>
          <cell r="G151">
            <v>0</v>
          </cell>
          <cell r="H151">
            <v>0</v>
          </cell>
          <cell r="I151">
            <v>1</v>
          </cell>
          <cell r="J151">
            <v>0</v>
          </cell>
          <cell r="K151">
            <v>0</v>
          </cell>
          <cell r="L151">
            <v>0</v>
          </cell>
          <cell r="M151">
            <v>1</v>
          </cell>
          <cell r="N151">
            <v>0</v>
          </cell>
          <cell r="O151">
            <v>0</v>
          </cell>
          <cell r="P151">
            <v>1</v>
          </cell>
          <cell r="Q151">
            <v>1</v>
          </cell>
          <cell r="R151">
            <v>0</v>
          </cell>
          <cell r="S151">
            <v>1</v>
          </cell>
          <cell r="T151">
            <v>2009</v>
          </cell>
          <cell r="U151">
            <v>4</v>
          </cell>
          <cell r="V151">
            <v>0</v>
          </cell>
          <cell r="W151">
            <v>0</v>
          </cell>
          <cell r="X151">
            <v>0</v>
          </cell>
          <cell r="Y151">
            <v>1</v>
          </cell>
        </row>
        <row r="152">
          <cell r="A152" t="str">
            <v>ELI-564</v>
          </cell>
          <cell r="B152" t="str">
            <v>Tsetse Coa</v>
          </cell>
          <cell r="C152" t="str">
            <v>Tsetse Coa M01</v>
          </cell>
          <cell r="D152">
            <v>0</v>
          </cell>
          <cell r="E152">
            <v>0</v>
          </cell>
          <cell r="F152">
            <v>0</v>
          </cell>
          <cell r="G152">
            <v>0</v>
          </cell>
          <cell r="H152">
            <v>0</v>
          </cell>
          <cell r="I152">
            <v>1</v>
          </cell>
          <cell r="J152">
            <v>0</v>
          </cell>
          <cell r="K152">
            <v>0</v>
          </cell>
          <cell r="L152">
            <v>0</v>
          </cell>
          <cell r="M152">
            <v>0</v>
          </cell>
          <cell r="N152">
            <v>1</v>
          </cell>
          <cell r="O152">
            <v>0</v>
          </cell>
          <cell r="P152">
            <v>1</v>
          </cell>
          <cell r="Q152">
            <v>1</v>
          </cell>
          <cell r="R152">
            <v>0</v>
          </cell>
          <cell r="S152">
            <v>1</v>
          </cell>
          <cell r="T152">
            <v>2012</v>
          </cell>
          <cell r="U152">
            <v>10</v>
          </cell>
          <cell r="V152">
            <v>3</v>
          </cell>
          <cell r="W152">
            <v>0</v>
          </cell>
          <cell r="X152">
            <v>0</v>
          </cell>
          <cell r="Y152">
            <v>1</v>
          </cell>
        </row>
        <row r="153">
          <cell r="A153" t="str">
            <v>ELI-565</v>
          </cell>
          <cell r="B153" t="str">
            <v>Tsetse Coa</v>
          </cell>
          <cell r="C153" t="str">
            <v>Tsetse Coa M02</v>
          </cell>
          <cell r="D153">
            <v>0</v>
          </cell>
          <cell r="E153">
            <v>0</v>
          </cell>
          <cell r="F153">
            <v>0</v>
          </cell>
          <cell r="G153">
            <v>0</v>
          </cell>
          <cell r="H153">
            <v>0</v>
          </cell>
          <cell r="I153">
            <v>1</v>
          </cell>
          <cell r="J153">
            <v>0</v>
          </cell>
          <cell r="K153">
            <v>0</v>
          </cell>
          <cell r="L153">
            <v>1</v>
          </cell>
          <cell r="M153">
            <v>1</v>
          </cell>
          <cell r="N153">
            <v>1</v>
          </cell>
          <cell r="O153">
            <v>0</v>
          </cell>
          <cell r="P153">
            <v>1</v>
          </cell>
          <cell r="Q153">
            <v>1</v>
          </cell>
          <cell r="R153">
            <v>0</v>
          </cell>
          <cell r="S153">
            <v>1</v>
          </cell>
          <cell r="T153">
            <v>2012</v>
          </cell>
          <cell r="U153">
            <v>10</v>
          </cell>
          <cell r="V153">
            <v>3</v>
          </cell>
          <cell r="W153">
            <v>0</v>
          </cell>
          <cell r="X153">
            <v>0</v>
          </cell>
          <cell r="Y153">
            <v>1</v>
          </cell>
        </row>
        <row r="154">
          <cell r="A154" t="str">
            <v>ELI-213</v>
          </cell>
          <cell r="B154" t="str">
            <v>Nsolo II Coa</v>
          </cell>
          <cell r="C154" t="str">
            <v>Nsolo II Coa M01</v>
          </cell>
          <cell r="D154">
            <v>0</v>
          </cell>
          <cell r="E154">
            <v>0</v>
          </cell>
          <cell r="F154">
            <v>1</v>
          </cell>
          <cell r="G154">
            <v>1</v>
          </cell>
          <cell r="H154">
            <v>1</v>
          </cell>
          <cell r="I154">
            <v>1</v>
          </cell>
          <cell r="J154">
            <v>0</v>
          </cell>
          <cell r="K154">
            <v>1</v>
          </cell>
          <cell r="L154">
            <v>1</v>
          </cell>
          <cell r="M154">
            <v>1</v>
          </cell>
          <cell r="N154">
            <v>0</v>
          </cell>
          <cell r="O154">
            <v>0</v>
          </cell>
          <cell r="P154">
            <v>1</v>
          </cell>
          <cell r="Q154">
            <v>1</v>
          </cell>
          <cell r="R154">
            <v>0</v>
          </cell>
          <cell r="S154">
            <v>1</v>
          </cell>
          <cell r="T154">
            <v>2008</v>
          </cell>
          <cell r="U154">
            <v>10</v>
          </cell>
          <cell r="V154">
            <v>0</v>
          </cell>
          <cell r="W154">
            <v>0</v>
          </cell>
          <cell r="X154">
            <v>0</v>
          </cell>
          <cell r="Y154">
            <v>1</v>
          </cell>
        </row>
        <row r="155">
          <cell r="A155" t="str">
            <v>ELI-214</v>
          </cell>
          <cell r="B155" t="str">
            <v>Nsolo II Coa</v>
          </cell>
          <cell r="C155" t="str">
            <v>Nsolo II Coa M02</v>
          </cell>
          <cell r="D155">
            <v>0</v>
          </cell>
          <cell r="E155">
            <v>0</v>
          </cell>
          <cell r="F155">
            <v>1</v>
          </cell>
          <cell r="G155">
            <v>0</v>
          </cell>
          <cell r="H155">
            <v>1</v>
          </cell>
          <cell r="I155">
            <v>1</v>
          </cell>
          <cell r="J155">
            <v>0</v>
          </cell>
          <cell r="K155">
            <v>1</v>
          </cell>
          <cell r="L155">
            <v>1</v>
          </cell>
          <cell r="M155">
            <v>1</v>
          </cell>
          <cell r="N155">
            <v>1</v>
          </cell>
          <cell r="O155">
            <v>0</v>
          </cell>
          <cell r="P155">
            <v>1</v>
          </cell>
          <cell r="Q155">
            <v>1</v>
          </cell>
          <cell r="R155">
            <v>0</v>
          </cell>
          <cell r="S155">
            <v>1</v>
          </cell>
          <cell r="T155">
            <v>2008</v>
          </cell>
          <cell r="U155">
            <v>10</v>
          </cell>
          <cell r="V155">
            <v>0</v>
          </cell>
          <cell r="W155">
            <v>0</v>
          </cell>
          <cell r="X155">
            <v>0</v>
          </cell>
          <cell r="Y155">
            <v>1</v>
          </cell>
        </row>
        <row r="156">
          <cell r="A156" t="str">
            <v>ELI-216</v>
          </cell>
          <cell r="B156" t="str">
            <v>Nsolo II Coa</v>
          </cell>
          <cell r="C156" t="str">
            <v>Nsolo II Coa M03</v>
          </cell>
          <cell r="D156">
            <v>0</v>
          </cell>
          <cell r="E156">
            <v>0</v>
          </cell>
          <cell r="F156">
            <v>1</v>
          </cell>
          <cell r="G156">
            <v>1</v>
          </cell>
          <cell r="H156">
            <v>1</v>
          </cell>
          <cell r="I156">
            <v>1</v>
          </cell>
          <cell r="J156">
            <v>0</v>
          </cell>
          <cell r="K156">
            <v>1</v>
          </cell>
          <cell r="L156">
            <v>1</v>
          </cell>
          <cell r="M156">
            <v>1</v>
          </cell>
          <cell r="N156">
            <v>0</v>
          </cell>
          <cell r="O156">
            <v>0</v>
          </cell>
          <cell r="P156">
            <v>1</v>
          </cell>
          <cell r="Q156">
            <v>1</v>
          </cell>
          <cell r="R156">
            <v>0</v>
          </cell>
          <cell r="S156">
            <v>1</v>
          </cell>
          <cell r="T156">
            <v>2008</v>
          </cell>
          <cell r="U156">
            <v>10</v>
          </cell>
          <cell r="V156">
            <v>2</v>
          </cell>
          <cell r="W156">
            <v>0</v>
          </cell>
          <cell r="X156">
            <v>0</v>
          </cell>
          <cell r="Y156">
            <v>1</v>
          </cell>
        </row>
        <row r="157">
          <cell r="A157" t="str">
            <v>ELI-420</v>
          </cell>
          <cell r="B157" t="str">
            <v>Mwamba Coa</v>
          </cell>
          <cell r="C157" t="str">
            <v>Mwamba Coa M01</v>
          </cell>
          <cell r="D157">
            <v>0</v>
          </cell>
          <cell r="E157">
            <v>0</v>
          </cell>
          <cell r="F157">
            <v>0</v>
          </cell>
          <cell r="G157">
            <v>0</v>
          </cell>
          <cell r="H157">
            <v>0</v>
          </cell>
          <cell r="I157">
            <v>1</v>
          </cell>
          <cell r="J157">
            <v>0</v>
          </cell>
          <cell r="K157">
            <v>1</v>
          </cell>
          <cell r="L157">
            <v>0</v>
          </cell>
          <cell r="M157">
            <v>0</v>
          </cell>
          <cell r="N157">
            <v>0</v>
          </cell>
          <cell r="O157">
            <v>0</v>
          </cell>
          <cell r="P157">
            <v>1</v>
          </cell>
          <cell r="Q157">
            <v>1</v>
          </cell>
          <cell r="R157">
            <v>0</v>
          </cell>
          <cell r="S157">
            <v>1</v>
          </cell>
          <cell r="T157">
            <v>2011</v>
          </cell>
          <cell r="U157">
            <v>7</v>
          </cell>
          <cell r="V157">
            <v>3</v>
          </cell>
          <cell r="W157">
            <v>0</v>
          </cell>
          <cell r="X157">
            <v>0</v>
          </cell>
          <cell r="Y157">
            <v>1</v>
          </cell>
        </row>
        <row r="158">
          <cell r="A158" t="str">
            <v>ELI-421</v>
          </cell>
          <cell r="B158" t="str">
            <v>Mwamba Coa</v>
          </cell>
          <cell r="C158" t="str">
            <v>Mwamba Coa M02</v>
          </cell>
          <cell r="D158">
            <v>0</v>
          </cell>
          <cell r="E158">
            <v>0</v>
          </cell>
          <cell r="F158">
            <v>0</v>
          </cell>
          <cell r="G158">
            <v>0</v>
          </cell>
          <cell r="H158">
            <v>0</v>
          </cell>
          <cell r="I158">
            <v>1</v>
          </cell>
          <cell r="J158">
            <v>1</v>
          </cell>
          <cell r="K158">
            <v>0</v>
          </cell>
          <cell r="L158">
            <v>0</v>
          </cell>
          <cell r="M158">
            <v>1</v>
          </cell>
          <cell r="N158">
            <v>0</v>
          </cell>
          <cell r="O158">
            <v>0</v>
          </cell>
          <cell r="P158">
            <v>1</v>
          </cell>
          <cell r="Q158">
            <v>1</v>
          </cell>
          <cell r="R158">
            <v>0</v>
          </cell>
          <cell r="S158">
            <v>1</v>
          </cell>
          <cell r="T158">
            <v>2011</v>
          </cell>
          <cell r="U158">
            <v>8</v>
          </cell>
          <cell r="V158">
            <v>3</v>
          </cell>
          <cell r="W158">
            <v>0</v>
          </cell>
          <cell r="X158">
            <v>0</v>
          </cell>
          <cell r="Y158">
            <v>1</v>
          </cell>
        </row>
        <row r="159">
          <cell r="A159" t="str">
            <v>ELI-422</v>
          </cell>
          <cell r="B159" t="str">
            <v>Mwamba Coa</v>
          </cell>
          <cell r="C159" t="str">
            <v>Mwamba Coa M03</v>
          </cell>
          <cell r="D159">
            <v>0</v>
          </cell>
          <cell r="E159">
            <v>0</v>
          </cell>
          <cell r="F159">
            <v>0</v>
          </cell>
          <cell r="G159">
            <v>0</v>
          </cell>
          <cell r="H159">
            <v>0</v>
          </cell>
          <cell r="I159">
            <v>1</v>
          </cell>
          <cell r="J159">
            <v>1</v>
          </cell>
          <cell r="K159">
            <v>1</v>
          </cell>
          <cell r="L159">
            <v>1</v>
          </cell>
          <cell r="M159">
            <v>0</v>
          </cell>
          <cell r="N159">
            <v>0</v>
          </cell>
          <cell r="O159">
            <v>0</v>
          </cell>
          <cell r="P159">
            <v>1</v>
          </cell>
          <cell r="Q159">
            <v>1</v>
          </cell>
          <cell r="R159">
            <v>1</v>
          </cell>
          <cell r="S159">
            <v>1</v>
          </cell>
          <cell r="T159">
            <v>2011</v>
          </cell>
          <cell r="U159">
            <v>8</v>
          </cell>
          <cell r="V159">
            <v>3</v>
          </cell>
          <cell r="W159">
            <v>0</v>
          </cell>
          <cell r="X159">
            <v>0</v>
          </cell>
          <cell r="Y159">
            <v>1</v>
          </cell>
        </row>
        <row r="160">
          <cell r="A160" t="str">
            <v>ELI-175</v>
          </cell>
          <cell r="B160" t="str">
            <v>Lion Plain Coa</v>
          </cell>
          <cell r="C160" t="str">
            <v>Lion Plain M01</v>
          </cell>
          <cell r="D160">
            <v>0</v>
          </cell>
          <cell r="E160">
            <v>0</v>
          </cell>
          <cell r="F160">
            <v>0</v>
          </cell>
          <cell r="G160">
            <v>0</v>
          </cell>
          <cell r="H160">
            <v>0</v>
          </cell>
          <cell r="I160">
            <v>0</v>
          </cell>
          <cell r="J160">
            <v>1</v>
          </cell>
          <cell r="K160">
            <v>0</v>
          </cell>
          <cell r="L160">
            <v>0</v>
          </cell>
          <cell r="M160">
            <v>0</v>
          </cell>
          <cell r="N160">
            <v>0</v>
          </cell>
          <cell r="O160">
            <v>0</v>
          </cell>
          <cell r="P160">
            <v>1</v>
          </cell>
          <cell r="Q160">
            <v>1</v>
          </cell>
          <cell r="R160">
            <v>0</v>
          </cell>
          <cell r="S160">
            <v>1</v>
          </cell>
          <cell r="T160">
            <v>2008</v>
          </cell>
          <cell r="U160">
            <v>7</v>
          </cell>
          <cell r="V160">
            <v>2</v>
          </cell>
          <cell r="W160">
            <v>1</v>
          </cell>
          <cell r="X160">
            <v>1</v>
          </cell>
          <cell r="Y160">
            <v>1</v>
          </cell>
        </row>
        <row r="161">
          <cell r="A161" t="str">
            <v>ELI-474</v>
          </cell>
          <cell r="B161" t="str">
            <v>Limpy Coa</v>
          </cell>
          <cell r="C161" t="str">
            <v>Limpy</v>
          </cell>
          <cell r="D161">
            <v>0</v>
          </cell>
          <cell r="E161">
            <v>0</v>
          </cell>
          <cell r="F161">
            <v>1</v>
          </cell>
          <cell r="G161">
            <v>0</v>
          </cell>
          <cell r="H161">
            <v>1</v>
          </cell>
          <cell r="I161">
            <v>0</v>
          </cell>
          <cell r="J161">
            <v>0</v>
          </cell>
          <cell r="K161">
            <v>0</v>
          </cell>
          <cell r="L161">
            <v>1</v>
          </cell>
          <cell r="M161">
            <v>0</v>
          </cell>
          <cell r="N161">
            <v>0</v>
          </cell>
          <cell r="O161">
            <v>0</v>
          </cell>
          <cell r="P161">
            <v>1</v>
          </cell>
          <cell r="Q161">
            <v>1</v>
          </cell>
          <cell r="R161">
            <v>0</v>
          </cell>
          <cell r="S161">
            <v>1</v>
          </cell>
          <cell r="T161">
            <v>2011</v>
          </cell>
          <cell r="U161">
            <v>9</v>
          </cell>
          <cell r="V161">
            <v>3</v>
          </cell>
          <cell r="W161">
            <v>0</v>
          </cell>
          <cell r="X161">
            <v>0</v>
          </cell>
          <cell r="Y161">
            <v>1</v>
          </cell>
        </row>
        <row r="162">
          <cell r="A162" t="str">
            <v>ELI-130</v>
          </cell>
          <cell r="B162" t="str">
            <v>Zikomo Coa</v>
          </cell>
          <cell r="C162" t="str">
            <v>Zikomo M1</v>
          </cell>
          <cell r="D162">
            <v>0</v>
          </cell>
          <cell r="E162">
            <v>0</v>
          </cell>
          <cell r="F162">
            <v>0</v>
          </cell>
          <cell r="G162">
            <v>0</v>
          </cell>
          <cell r="H162">
            <v>0</v>
          </cell>
          <cell r="I162">
            <v>1</v>
          </cell>
          <cell r="J162">
            <v>0</v>
          </cell>
          <cell r="K162">
            <v>0</v>
          </cell>
          <cell r="L162">
            <v>0</v>
          </cell>
          <cell r="M162">
            <v>0</v>
          </cell>
          <cell r="N162">
            <v>0</v>
          </cell>
          <cell r="O162">
            <v>0</v>
          </cell>
          <cell r="P162">
            <v>1</v>
          </cell>
          <cell r="Q162">
            <v>1</v>
          </cell>
          <cell r="R162">
            <v>0</v>
          </cell>
          <cell r="S162">
            <v>1</v>
          </cell>
          <cell r="T162">
            <v>2008</v>
          </cell>
          <cell r="U162">
            <v>9</v>
          </cell>
          <cell r="V162">
            <v>0</v>
          </cell>
          <cell r="W162">
            <v>0</v>
          </cell>
          <cell r="X162">
            <v>0</v>
          </cell>
          <cell r="Y162">
            <v>1</v>
          </cell>
        </row>
        <row r="163">
          <cell r="A163" t="str">
            <v>ELI-699</v>
          </cell>
          <cell r="B163" t="str">
            <v>Zikomo Coa</v>
          </cell>
          <cell r="C163" t="str">
            <v>Zikomo M2</v>
          </cell>
          <cell r="D163">
            <v>0</v>
          </cell>
          <cell r="E163">
            <v>0</v>
          </cell>
          <cell r="F163">
            <v>0</v>
          </cell>
          <cell r="G163">
            <v>0</v>
          </cell>
          <cell r="H163">
            <v>0</v>
          </cell>
          <cell r="I163">
            <v>1</v>
          </cell>
          <cell r="J163">
            <v>0</v>
          </cell>
          <cell r="K163">
            <v>1</v>
          </cell>
          <cell r="L163">
            <v>0</v>
          </cell>
          <cell r="M163">
            <v>0</v>
          </cell>
          <cell r="N163">
            <v>0</v>
          </cell>
          <cell r="O163">
            <v>0</v>
          </cell>
          <cell r="P163">
            <v>1</v>
          </cell>
          <cell r="Q163">
            <v>1</v>
          </cell>
          <cell r="R163">
            <v>0</v>
          </cell>
          <cell r="S163">
            <v>1</v>
          </cell>
          <cell r="T163">
            <v>2013</v>
          </cell>
          <cell r="U163">
            <v>4</v>
          </cell>
          <cell r="V163">
            <v>3</v>
          </cell>
          <cell r="W163">
            <v>0</v>
          </cell>
          <cell r="X163">
            <v>0</v>
          </cell>
          <cell r="Y163">
            <v>1</v>
          </cell>
        </row>
        <row r="164">
          <cell r="A164" t="str">
            <v>ELI-628</v>
          </cell>
          <cell r="B164" t="str">
            <v>Tafika 2 COA</v>
          </cell>
          <cell r="C164" t="str">
            <v>Tafika 2 M1</v>
          </cell>
          <cell r="D164">
            <v>0</v>
          </cell>
          <cell r="E164">
            <v>0</v>
          </cell>
          <cell r="F164">
            <v>0</v>
          </cell>
          <cell r="G164">
            <v>0</v>
          </cell>
          <cell r="H164">
            <v>0</v>
          </cell>
          <cell r="I164">
            <v>0</v>
          </cell>
          <cell r="J164">
            <v>1</v>
          </cell>
          <cell r="K164">
            <v>1</v>
          </cell>
          <cell r="L164">
            <v>1</v>
          </cell>
          <cell r="M164">
            <v>1</v>
          </cell>
          <cell r="N164">
            <v>1</v>
          </cell>
          <cell r="O164">
            <v>0</v>
          </cell>
          <cell r="P164">
            <v>1</v>
          </cell>
          <cell r="Q164">
            <v>1</v>
          </cell>
          <cell r="R164">
            <v>0</v>
          </cell>
          <cell r="S164">
            <v>1</v>
          </cell>
          <cell r="T164">
            <v>2013</v>
          </cell>
          <cell r="U164">
            <v>8</v>
          </cell>
          <cell r="V164">
            <v>4</v>
          </cell>
          <cell r="W164">
            <v>0</v>
          </cell>
          <cell r="X164">
            <v>0</v>
          </cell>
          <cell r="Y164">
            <v>1</v>
          </cell>
        </row>
        <row r="165">
          <cell r="A165" t="str">
            <v>ELI-629</v>
          </cell>
          <cell r="B165" t="str">
            <v>Tafika 2 COA</v>
          </cell>
          <cell r="C165" t="str">
            <v>Tafika 2 M2</v>
          </cell>
          <cell r="D165">
            <v>0</v>
          </cell>
          <cell r="E165">
            <v>0</v>
          </cell>
          <cell r="F165">
            <v>0</v>
          </cell>
          <cell r="G165">
            <v>0</v>
          </cell>
          <cell r="H165">
            <v>0</v>
          </cell>
          <cell r="I165">
            <v>0</v>
          </cell>
          <cell r="J165">
            <v>1</v>
          </cell>
          <cell r="K165">
            <v>1</v>
          </cell>
          <cell r="L165">
            <v>1</v>
          </cell>
          <cell r="M165">
            <v>1</v>
          </cell>
          <cell r="N165">
            <v>1</v>
          </cell>
          <cell r="O165">
            <v>0</v>
          </cell>
          <cell r="P165">
            <v>1</v>
          </cell>
          <cell r="Q165">
            <v>1</v>
          </cell>
          <cell r="R165">
            <v>0</v>
          </cell>
          <cell r="S165">
            <v>1</v>
          </cell>
          <cell r="T165">
            <v>2013</v>
          </cell>
          <cell r="U165">
            <v>8</v>
          </cell>
          <cell r="V165">
            <v>4</v>
          </cell>
          <cell r="W165">
            <v>0</v>
          </cell>
          <cell r="X165">
            <v>0</v>
          </cell>
          <cell r="Y165">
            <v>1</v>
          </cell>
        </row>
        <row r="166">
          <cell r="A166" t="str">
            <v>ELI-779</v>
          </cell>
          <cell r="B166" t="str">
            <v>New Luwi COA</v>
          </cell>
          <cell r="C166" t="str">
            <v>New Luwi</v>
          </cell>
          <cell r="D166">
            <v>0</v>
          </cell>
          <cell r="E166">
            <v>0</v>
          </cell>
          <cell r="F166">
            <v>0</v>
          </cell>
          <cell r="G166">
            <v>0</v>
          </cell>
          <cell r="H166">
            <v>0</v>
          </cell>
          <cell r="I166">
            <v>1</v>
          </cell>
          <cell r="J166">
            <v>1</v>
          </cell>
          <cell r="K166">
            <v>1</v>
          </cell>
          <cell r="L166">
            <v>1</v>
          </cell>
          <cell r="M166">
            <v>0</v>
          </cell>
          <cell r="N166">
            <v>0</v>
          </cell>
          <cell r="O166">
            <v>0</v>
          </cell>
          <cell r="P166">
            <v>1</v>
          </cell>
          <cell r="Q166">
            <v>1</v>
          </cell>
          <cell r="R166">
            <v>0</v>
          </cell>
          <cell r="S166">
            <v>1</v>
          </cell>
          <cell r="T166">
            <v>2013</v>
          </cell>
          <cell r="U166">
            <v>5</v>
          </cell>
          <cell r="V166">
            <v>4</v>
          </cell>
          <cell r="W166">
            <v>0</v>
          </cell>
          <cell r="X166">
            <v>0</v>
          </cell>
          <cell r="Y166">
            <v>1</v>
          </cell>
        </row>
        <row r="167">
          <cell r="A167" t="str">
            <v>ELI-373</v>
          </cell>
          <cell r="B167" t="str">
            <v>Kakumbi Coa</v>
          </cell>
          <cell r="C167" t="str">
            <v>Kakumbi M01</v>
          </cell>
          <cell r="D167">
            <v>0</v>
          </cell>
          <cell r="E167">
            <v>0</v>
          </cell>
          <cell r="F167">
            <v>0</v>
          </cell>
          <cell r="G167">
            <v>0</v>
          </cell>
          <cell r="H167">
            <v>0</v>
          </cell>
          <cell r="I167">
            <v>0</v>
          </cell>
          <cell r="J167">
            <v>0</v>
          </cell>
          <cell r="K167">
            <v>1</v>
          </cell>
          <cell r="L167">
            <v>1</v>
          </cell>
          <cell r="M167">
            <v>1</v>
          </cell>
          <cell r="N167">
            <v>0</v>
          </cell>
          <cell r="O167">
            <v>0</v>
          </cell>
          <cell r="P167">
            <v>1</v>
          </cell>
          <cell r="Q167">
            <v>1</v>
          </cell>
          <cell r="R167">
            <v>0</v>
          </cell>
          <cell r="S167">
            <v>1</v>
          </cell>
          <cell r="T167">
            <v>2010</v>
          </cell>
          <cell r="U167">
            <v>7</v>
          </cell>
          <cell r="V167">
            <v>0</v>
          </cell>
          <cell r="W167">
            <v>0</v>
          </cell>
          <cell r="X167">
            <v>0</v>
          </cell>
          <cell r="Y167">
            <v>1</v>
          </cell>
        </row>
        <row r="168">
          <cell r="A168" t="str">
            <v>ELI-375</v>
          </cell>
          <cell r="B168" t="str">
            <v>Kakumbi Coa</v>
          </cell>
          <cell r="C168" t="str">
            <v>Kakumbi M02</v>
          </cell>
          <cell r="D168">
            <v>0</v>
          </cell>
          <cell r="E168">
            <v>0</v>
          </cell>
          <cell r="F168">
            <v>0</v>
          </cell>
          <cell r="G168">
            <v>0</v>
          </cell>
          <cell r="H168">
            <v>0</v>
          </cell>
          <cell r="I168">
            <v>0</v>
          </cell>
          <cell r="J168">
            <v>0</v>
          </cell>
          <cell r="K168">
            <v>1</v>
          </cell>
          <cell r="L168">
            <v>1</v>
          </cell>
          <cell r="M168">
            <v>0</v>
          </cell>
          <cell r="N168">
            <v>0</v>
          </cell>
          <cell r="O168">
            <v>0</v>
          </cell>
          <cell r="P168">
            <v>1</v>
          </cell>
          <cell r="Q168">
            <v>1</v>
          </cell>
          <cell r="R168">
            <v>0</v>
          </cell>
          <cell r="S168">
            <v>1</v>
          </cell>
          <cell r="T168">
            <v>2010</v>
          </cell>
          <cell r="U168">
            <v>10</v>
          </cell>
          <cell r="V168">
            <v>0</v>
          </cell>
          <cell r="W168">
            <v>0</v>
          </cell>
          <cell r="X168">
            <v>0</v>
          </cell>
          <cell r="Y168">
            <v>1</v>
          </cell>
        </row>
        <row r="169">
          <cell r="A169" t="str">
            <v>ELI-377</v>
          </cell>
          <cell r="B169" t="str">
            <v>Kakumbi Coa</v>
          </cell>
          <cell r="C169" t="str">
            <v>Kakumbi M03</v>
          </cell>
          <cell r="D169">
            <v>0</v>
          </cell>
          <cell r="E169">
            <v>0</v>
          </cell>
          <cell r="F169">
            <v>0</v>
          </cell>
          <cell r="G169">
            <v>0</v>
          </cell>
          <cell r="H169">
            <v>0</v>
          </cell>
          <cell r="I169">
            <v>0</v>
          </cell>
          <cell r="J169">
            <v>1</v>
          </cell>
          <cell r="K169">
            <v>1</v>
          </cell>
          <cell r="L169">
            <v>1</v>
          </cell>
          <cell r="M169">
            <v>0</v>
          </cell>
          <cell r="N169">
            <v>0</v>
          </cell>
          <cell r="O169">
            <v>0</v>
          </cell>
          <cell r="P169">
            <v>1</v>
          </cell>
          <cell r="Q169">
            <v>1</v>
          </cell>
          <cell r="R169">
            <v>0</v>
          </cell>
          <cell r="S169">
            <v>1</v>
          </cell>
          <cell r="T169">
            <v>2010</v>
          </cell>
          <cell r="U169">
            <v>10</v>
          </cell>
          <cell r="V169">
            <v>0</v>
          </cell>
          <cell r="W169">
            <v>0</v>
          </cell>
          <cell r="X169">
            <v>0</v>
          </cell>
          <cell r="Y169">
            <v>1</v>
          </cell>
        </row>
        <row r="170">
          <cell r="A170" t="str">
            <v>ELI-376</v>
          </cell>
          <cell r="B170" t="str">
            <v>Kakumbi Coa</v>
          </cell>
          <cell r="C170" t="str">
            <v>Kakumbi M04</v>
          </cell>
          <cell r="D170">
            <v>0</v>
          </cell>
          <cell r="E170">
            <v>0</v>
          </cell>
          <cell r="F170">
            <v>0</v>
          </cell>
          <cell r="G170">
            <v>0</v>
          </cell>
          <cell r="H170">
            <v>0</v>
          </cell>
          <cell r="I170">
            <v>0</v>
          </cell>
          <cell r="J170">
            <v>1</v>
          </cell>
          <cell r="K170">
            <v>1</v>
          </cell>
          <cell r="L170">
            <v>1</v>
          </cell>
          <cell r="M170">
            <v>0</v>
          </cell>
          <cell r="N170">
            <v>0</v>
          </cell>
          <cell r="O170">
            <v>0</v>
          </cell>
          <cell r="P170">
            <v>1</v>
          </cell>
          <cell r="Q170">
            <v>1</v>
          </cell>
          <cell r="R170">
            <v>0</v>
          </cell>
          <cell r="S170">
            <v>1</v>
          </cell>
          <cell r="T170">
            <v>2010</v>
          </cell>
          <cell r="U170">
            <v>10</v>
          </cell>
          <cell r="V170">
            <v>0</v>
          </cell>
          <cell r="W170">
            <v>0</v>
          </cell>
          <cell r="X170">
            <v>0</v>
          </cell>
          <cell r="Y170">
            <v>1</v>
          </cell>
        </row>
      </sheetData>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Q421"/>
  <sheetViews>
    <sheetView tabSelected="1" workbookViewId="0">
      <pane ySplit="1" topLeftCell="A2" activePane="bottomLeft" state="frozen"/>
      <selection pane="bottomLeft" activeCell="A18" sqref="A18"/>
    </sheetView>
  </sheetViews>
  <sheetFormatPr defaultColWidth="8.7109375" defaultRowHeight="15" x14ac:dyDescent="0.25"/>
  <cols>
    <col min="2" max="2" width="22.85546875" customWidth="1"/>
    <col min="4" max="4" width="28.42578125" style="97" bestFit="1" customWidth="1"/>
    <col min="6" max="6" width="18.42578125" customWidth="1"/>
    <col min="7" max="7" width="16.140625" customWidth="1"/>
    <col min="8" max="8" width="13.5703125" customWidth="1"/>
    <col min="9" max="9" width="13.140625" customWidth="1"/>
    <col min="10" max="10" width="15.28515625" customWidth="1"/>
    <col min="11" max="11" width="41" customWidth="1"/>
    <col min="12" max="12" width="18.42578125" style="98" customWidth="1"/>
    <col min="13" max="13" width="10.42578125" customWidth="1"/>
  </cols>
  <sheetData>
    <row r="1" spans="1:17" x14ac:dyDescent="0.25">
      <c r="A1" s="1" t="s">
        <v>0</v>
      </c>
      <c r="B1" s="1" t="s">
        <v>1</v>
      </c>
      <c r="C1" s="1" t="s">
        <v>2</v>
      </c>
      <c r="D1" s="99" t="s">
        <v>3</v>
      </c>
      <c r="E1" s="1" t="s">
        <v>4</v>
      </c>
      <c r="F1" s="1" t="s">
        <v>5</v>
      </c>
      <c r="G1" s="1" t="s">
        <v>6</v>
      </c>
      <c r="H1" s="1" t="s">
        <v>7</v>
      </c>
      <c r="I1" s="1" t="s">
        <v>8</v>
      </c>
      <c r="J1" s="1" t="s">
        <v>9</v>
      </c>
      <c r="K1" s="1" t="s">
        <v>10</v>
      </c>
      <c r="L1" s="95" t="s">
        <v>876</v>
      </c>
      <c r="M1" t="s">
        <v>882</v>
      </c>
      <c r="N1" s="1" t="s">
        <v>884</v>
      </c>
      <c r="O1" s="1" t="s">
        <v>885</v>
      </c>
      <c r="P1" s="1" t="s">
        <v>886</v>
      </c>
      <c r="Q1" s="100" t="s">
        <v>888</v>
      </c>
    </row>
    <row r="2" spans="1:17" x14ac:dyDescent="0.25">
      <c r="A2" s="2" t="s">
        <v>527</v>
      </c>
      <c r="B2" s="2" t="s">
        <v>528</v>
      </c>
      <c r="C2" s="2" t="s">
        <v>23</v>
      </c>
      <c r="D2" s="25">
        <v>37987</v>
      </c>
      <c r="E2" s="2">
        <v>700</v>
      </c>
      <c r="F2" s="5" t="s">
        <v>47</v>
      </c>
      <c r="G2" s="2"/>
      <c r="H2" s="2"/>
      <c r="I2" s="2" t="s">
        <v>176</v>
      </c>
      <c r="J2" s="2"/>
      <c r="K2" s="2"/>
      <c r="L2" s="96">
        <v>4</v>
      </c>
      <c r="M2" t="b">
        <v>0</v>
      </c>
      <c r="N2" s="96" t="s">
        <v>47</v>
      </c>
      <c r="O2" s="96" t="s">
        <v>47</v>
      </c>
      <c r="P2">
        <f>YEAR(D2)</f>
        <v>2004</v>
      </c>
    </row>
    <row r="3" spans="1:17" x14ac:dyDescent="0.25">
      <c r="A3" s="2" t="s">
        <v>358</v>
      </c>
      <c r="B3" s="2" t="s">
        <v>368</v>
      </c>
      <c r="C3" s="2" t="s">
        <v>23</v>
      </c>
      <c r="D3" s="25">
        <v>37263</v>
      </c>
      <c r="E3" s="2">
        <v>500</v>
      </c>
      <c r="F3" s="5">
        <v>39553</v>
      </c>
      <c r="G3" s="2"/>
      <c r="H3" s="2"/>
      <c r="I3" s="2"/>
      <c r="J3" s="2"/>
      <c r="K3" s="2"/>
      <c r="L3" s="96">
        <v>6.2739726027397262</v>
      </c>
      <c r="M3" t="b">
        <v>1</v>
      </c>
      <c r="N3">
        <f t="shared" ref="N3:N66" si="0">MONTH(F3)</f>
        <v>4</v>
      </c>
      <c r="O3">
        <f t="shared" ref="O3:O66" si="1">YEAR(F3)</f>
        <v>2008</v>
      </c>
      <c r="P3">
        <f t="shared" ref="P3:P66" si="2">YEAR(D3)</f>
        <v>2002</v>
      </c>
    </row>
    <row r="4" spans="1:17" x14ac:dyDescent="0.25">
      <c r="A4" s="2" t="s">
        <v>352</v>
      </c>
      <c r="B4" s="2" t="s">
        <v>353</v>
      </c>
      <c r="C4" s="2" t="s">
        <v>13</v>
      </c>
      <c r="D4" s="25">
        <v>37681</v>
      </c>
      <c r="E4" s="2">
        <v>365</v>
      </c>
      <c r="F4" s="5">
        <v>39553</v>
      </c>
      <c r="G4" s="2"/>
      <c r="H4" s="2"/>
      <c r="I4" s="2"/>
      <c r="J4" s="2"/>
      <c r="K4" s="2"/>
      <c r="L4" s="96">
        <v>5.1287671232876715</v>
      </c>
      <c r="M4" t="b">
        <v>1</v>
      </c>
      <c r="N4">
        <f t="shared" si="0"/>
        <v>4</v>
      </c>
      <c r="O4">
        <f t="shared" si="1"/>
        <v>2008</v>
      </c>
      <c r="P4">
        <f t="shared" si="2"/>
        <v>2003</v>
      </c>
    </row>
    <row r="5" spans="1:17" x14ac:dyDescent="0.25">
      <c r="A5" s="2" t="s">
        <v>354</v>
      </c>
      <c r="B5" s="2" t="s">
        <v>355</v>
      </c>
      <c r="C5" s="2" t="s">
        <v>13</v>
      </c>
      <c r="D5" s="25">
        <v>38047</v>
      </c>
      <c r="E5" s="2">
        <v>180</v>
      </c>
      <c r="F5" s="5">
        <v>39553</v>
      </c>
      <c r="G5" s="2"/>
      <c r="H5" s="2"/>
      <c r="I5" s="2"/>
      <c r="J5" s="2"/>
      <c r="K5" s="2"/>
      <c r="L5" s="96">
        <v>4.1260273972602741</v>
      </c>
      <c r="M5" t="b">
        <v>1</v>
      </c>
      <c r="N5">
        <f t="shared" si="0"/>
        <v>4</v>
      </c>
      <c r="O5">
        <f t="shared" si="1"/>
        <v>2008</v>
      </c>
      <c r="P5">
        <f t="shared" si="2"/>
        <v>2004</v>
      </c>
    </row>
    <row r="6" spans="1:17" x14ac:dyDescent="0.25">
      <c r="A6" s="2" t="s">
        <v>356</v>
      </c>
      <c r="B6" s="2" t="s">
        <v>357</v>
      </c>
      <c r="C6" s="2" t="s">
        <v>23</v>
      </c>
      <c r="D6" s="25">
        <v>39187</v>
      </c>
      <c r="E6" s="2">
        <v>60</v>
      </c>
      <c r="F6" s="5">
        <v>39553</v>
      </c>
      <c r="G6" s="2"/>
      <c r="H6" s="2"/>
      <c r="I6" s="2" t="s">
        <v>352</v>
      </c>
      <c r="J6" s="2" t="s">
        <v>358</v>
      </c>
      <c r="K6" s="2"/>
      <c r="L6" s="96">
        <v>1.0027397260273974</v>
      </c>
      <c r="M6" t="b">
        <v>1</v>
      </c>
      <c r="N6">
        <f t="shared" si="0"/>
        <v>4</v>
      </c>
      <c r="O6">
        <f t="shared" si="1"/>
        <v>2008</v>
      </c>
      <c r="P6">
        <f t="shared" si="2"/>
        <v>2007</v>
      </c>
    </row>
    <row r="7" spans="1:17" x14ac:dyDescent="0.25">
      <c r="A7" s="2" t="s">
        <v>359</v>
      </c>
      <c r="B7" s="2" t="s">
        <v>360</v>
      </c>
      <c r="C7" s="2" t="s">
        <v>13</v>
      </c>
      <c r="D7" s="25">
        <v>39187</v>
      </c>
      <c r="E7" s="2">
        <v>60</v>
      </c>
      <c r="F7" s="5">
        <v>39553</v>
      </c>
      <c r="G7" s="2"/>
      <c r="H7" s="2"/>
      <c r="I7" s="2" t="s">
        <v>352</v>
      </c>
      <c r="J7" s="2" t="s">
        <v>358</v>
      </c>
      <c r="K7" s="2"/>
      <c r="L7" s="96">
        <v>1.0027397260273974</v>
      </c>
      <c r="M7" t="b">
        <v>1</v>
      </c>
      <c r="N7">
        <f t="shared" si="0"/>
        <v>4</v>
      </c>
      <c r="O7">
        <f t="shared" si="1"/>
        <v>2008</v>
      </c>
      <c r="P7">
        <f t="shared" si="2"/>
        <v>2007</v>
      </c>
    </row>
    <row r="8" spans="1:17" x14ac:dyDescent="0.25">
      <c r="A8" s="2" t="s">
        <v>361</v>
      </c>
      <c r="B8" s="2" t="s">
        <v>362</v>
      </c>
      <c r="C8" s="2" t="s">
        <v>13</v>
      </c>
      <c r="D8" s="25">
        <v>39493</v>
      </c>
      <c r="E8" s="2">
        <v>30</v>
      </c>
      <c r="F8" s="5">
        <v>39553</v>
      </c>
      <c r="G8" s="25">
        <v>39931</v>
      </c>
      <c r="H8" s="2" t="s">
        <v>28</v>
      </c>
      <c r="I8" s="2" t="s">
        <v>354</v>
      </c>
      <c r="J8" s="2" t="s">
        <v>358</v>
      </c>
      <c r="K8" s="2"/>
      <c r="L8" s="96">
        <v>0.16438356164383561</v>
      </c>
      <c r="M8" t="b">
        <v>1</v>
      </c>
      <c r="N8">
        <f t="shared" si="0"/>
        <v>4</v>
      </c>
      <c r="O8">
        <f t="shared" si="1"/>
        <v>2008</v>
      </c>
      <c r="P8">
        <f t="shared" si="2"/>
        <v>2008</v>
      </c>
    </row>
    <row r="9" spans="1:17" x14ac:dyDescent="0.25">
      <c r="A9" s="2" t="s">
        <v>363</v>
      </c>
      <c r="B9" s="2" t="s">
        <v>364</v>
      </c>
      <c r="C9" s="2" t="s">
        <v>23</v>
      </c>
      <c r="D9" s="25">
        <v>39493</v>
      </c>
      <c r="E9" s="2">
        <v>30</v>
      </c>
      <c r="F9" s="5">
        <v>39553</v>
      </c>
      <c r="G9" s="2"/>
      <c r="H9" s="2"/>
      <c r="I9" s="2" t="s">
        <v>354</v>
      </c>
      <c r="J9" s="2" t="s">
        <v>358</v>
      </c>
      <c r="K9" s="2"/>
      <c r="L9" s="96">
        <v>0.16438356164383561</v>
      </c>
      <c r="M9" t="b">
        <v>1</v>
      </c>
      <c r="N9">
        <f t="shared" si="0"/>
        <v>4</v>
      </c>
      <c r="O9">
        <f t="shared" si="1"/>
        <v>2008</v>
      </c>
      <c r="P9">
        <f t="shared" si="2"/>
        <v>2008</v>
      </c>
    </row>
    <row r="10" spans="1:17" x14ac:dyDescent="0.25">
      <c r="A10" s="2" t="s">
        <v>365</v>
      </c>
      <c r="B10" s="2" t="s">
        <v>366</v>
      </c>
      <c r="C10" s="2" t="s">
        <v>13</v>
      </c>
      <c r="D10" s="25">
        <v>39493</v>
      </c>
      <c r="E10" s="2">
        <v>30</v>
      </c>
      <c r="F10" s="5">
        <v>39553</v>
      </c>
      <c r="G10" s="25">
        <v>39675</v>
      </c>
      <c r="H10" s="2" t="s">
        <v>28</v>
      </c>
      <c r="I10" s="2" t="s">
        <v>354</v>
      </c>
      <c r="J10" s="2" t="s">
        <v>358</v>
      </c>
      <c r="K10" s="2" t="s">
        <v>367</v>
      </c>
      <c r="L10" s="96">
        <v>0.16438356164383561</v>
      </c>
      <c r="M10" t="b">
        <v>1</v>
      </c>
      <c r="N10">
        <f t="shared" si="0"/>
        <v>4</v>
      </c>
      <c r="O10">
        <f t="shared" si="1"/>
        <v>2008</v>
      </c>
      <c r="P10">
        <f t="shared" si="2"/>
        <v>2008</v>
      </c>
    </row>
    <row r="11" spans="1:17" x14ac:dyDescent="0.25">
      <c r="A11" s="2" t="s">
        <v>377</v>
      </c>
      <c r="B11" s="2" t="s">
        <v>378</v>
      </c>
      <c r="C11" s="2" t="s">
        <v>13</v>
      </c>
      <c r="D11" s="25">
        <v>37185</v>
      </c>
      <c r="E11" s="2">
        <v>180</v>
      </c>
      <c r="F11" s="5">
        <v>39706</v>
      </c>
      <c r="G11" s="2"/>
      <c r="H11" s="2"/>
      <c r="I11" s="2"/>
      <c r="J11" s="2"/>
      <c r="K11" s="2"/>
      <c r="L11" s="96">
        <v>6.9068493150684933</v>
      </c>
      <c r="M11" t="b">
        <v>1</v>
      </c>
      <c r="N11">
        <f t="shared" si="0"/>
        <v>9</v>
      </c>
      <c r="O11">
        <f t="shared" si="1"/>
        <v>2008</v>
      </c>
      <c r="P11">
        <f t="shared" si="2"/>
        <v>2001</v>
      </c>
    </row>
    <row r="12" spans="1:17" x14ac:dyDescent="0.25">
      <c r="A12" s="2" t="s">
        <v>380</v>
      </c>
      <c r="B12" s="2" t="s">
        <v>381</v>
      </c>
      <c r="C12" s="2" t="s">
        <v>13</v>
      </c>
      <c r="D12" s="25">
        <v>37023</v>
      </c>
      <c r="E12" s="2">
        <v>180</v>
      </c>
      <c r="F12" s="5">
        <v>39706</v>
      </c>
      <c r="G12" s="2"/>
      <c r="H12" s="2"/>
      <c r="I12" s="2"/>
      <c r="J12" s="2"/>
      <c r="K12" s="2"/>
      <c r="L12" s="96">
        <v>7.3506849315068497</v>
      </c>
      <c r="M12" t="b">
        <v>1</v>
      </c>
      <c r="N12">
        <f t="shared" si="0"/>
        <v>9</v>
      </c>
      <c r="O12">
        <f t="shared" si="1"/>
        <v>2008</v>
      </c>
      <c r="P12">
        <f t="shared" si="2"/>
        <v>2001</v>
      </c>
    </row>
    <row r="13" spans="1:17" x14ac:dyDescent="0.25">
      <c r="A13" s="2" t="s">
        <v>382</v>
      </c>
      <c r="B13" s="2" t="s">
        <v>383</v>
      </c>
      <c r="C13" s="2" t="s">
        <v>13</v>
      </c>
      <c r="D13" s="25">
        <v>38532</v>
      </c>
      <c r="E13" s="2">
        <v>180</v>
      </c>
      <c r="F13" s="5">
        <v>39706</v>
      </c>
      <c r="G13" s="2"/>
      <c r="H13" s="2"/>
      <c r="I13" s="2"/>
      <c r="J13" s="2"/>
      <c r="K13" s="2"/>
      <c r="L13" s="96">
        <v>3.2164383561643834</v>
      </c>
      <c r="M13" t="b">
        <v>1</v>
      </c>
      <c r="N13">
        <f t="shared" si="0"/>
        <v>9</v>
      </c>
      <c r="O13">
        <f t="shared" si="1"/>
        <v>2008</v>
      </c>
      <c r="P13">
        <f t="shared" si="2"/>
        <v>2005</v>
      </c>
    </row>
    <row r="14" spans="1:17" x14ac:dyDescent="0.25">
      <c r="A14" s="2" t="s">
        <v>384</v>
      </c>
      <c r="B14" s="2" t="s">
        <v>385</v>
      </c>
      <c r="C14" s="2" t="s">
        <v>13</v>
      </c>
      <c r="D14" s="25">
        <v>38855</v>
      </c>
      <c r="E14" s="2">
        <v>180</v>
      </c>
      <c r="F14" s="5">
        <v>39706</v>
      </c>
      <c r="G14" s="2"/>
      <c r="H14" s="2"/>
      <c r="I14" s="2"/>
      <c r="J14" s="2"/>
      <c r="K14" s="2"/>
      <c r="L14" s="96">
        <v>2.3315068493150686</v>
      </c>
      <c r="M14" t="b">
        <v>1</v>
      </c>
      <c r="N14">
        <f t="shared" si="0"/>
        <v>9</v>
      </c>
      <c r="O14">
        <f t="shared" si="1"/>
        <v>2008</v>
      </c>
      <c r="P14">
        <f t="shared" si="2"/>
        <v>2006</v>
      </c>
    </row>
    <row r="15" spans="1:17" x14ac:dyDescent="0.25">
      <c r="A15" s="2" t="s">
        <v>386</v>
      </c>
      <c r="B15" s="2" t="s">
        <v>387</v>
      </c>
      <c r="C15" s="2" t="s">
        <v>13</v>
      </c>
      <c r="D15" s="25">
        <v>38855</v>
      </c>
      <c r="E15" s="2">
        <v>180</v>
      </c>
      <c r="F15" s="5">
        <v>39706</v>
      </c>
      <c r="G15" s="2"/>
      <c r="H15" s="2"/>
      <c r="I15" s="2"/>
      <c r="J15" s="2"/>
      <c r="K15" s="2"/>
      <c r="L15" s="96">
        <v>2.3315068493150686</v>
      </c>
      <c r="M15" t="b">
        <v>1</v>
      </c>
      <c r="N15">
        <f t="shared" si="0"/>
        <v>9</v>
      </c>
      <c r="O15">
        <f t="shared" si="1"/>
        <v>2008</v>
      </c>
      <c r="P15">
        <f t="shared" si="2"/>
        <v>2006</v>
      </c>
    </row>
    <row r="16" spans="1:17" x14ac:dyDescent="0.25">
      <c r="A16" s="2" t="s">
        <v>388</v>
      </c>
      <c r="B16" s="2" t="s">
        <v>389</v>
      </c>
      <c r="C16" s="2" t="s">
        <v>13</v>
      </c>
      <c r="D16" s="25">
        <v>39448</v>
      </c>
      <c r="E16" s="2">
        <v>90</v>
      </c>
      <c r="F16" s="5">
        <v>39706</v>
      </c>
      <c r="G16" s="2"/>
      <c r="H16" s="2"/>
      <c r="I16" s="2"/>
      <c r="J16" s="2"/>
      <c r="K16" s="2"/>
      <c r="L16" s="96">
        <v>0.70684931506849313</v>
      </c>
      <c r="M16" t="b">
        <v>1</v>
      </c>
      <c r="N16">
        <f t="shared" si="0"/>
        <v>9</v>
      </c>
      <c r="O16">
        <f t="shared" si="1"/>
        <v>2008</v>
      </c>
      <c r="P16">
        <f t="shared" si="2"/>
        <v>2008</v>
      </c>
    </row>
    <row r="17" spans="1:17" x14ac:dyDescent="0.25">
      <c r="A17" s="2" t="s">
        <v>390</v>
      </c>
      <c r="B17" s="2" t="s">
        <v>391</v>
      </c>
      <c r="C17" s="2" t="s">
        <v>23</v>
      </c>
      <c r="D17" s="25">
        <v>39448</v>
      </c>
      <c r="E17" s="2">
        <v>90</v>
      </c>
      <c r="F17" s="5">
        <v>39706</v>
      </c>
      <c r="G17" s="2"/>
      <c r="H17" s="2"/>
      <c r="I17" s="2"/>
      <c r="J17" s="2"/>
      <c r="K17" s="2"/>
      <c r="L17" s="96">
        <v>0.70684931506849313</v>
      </c>
      <c r="M17" t="b">
        <v>1</v>
      </c>
      <c r="N17">
        <f t="shared" si="0"/>
        <v>9</v>
      </c>
      <c r="O17">
        <f t="shared" si="1"/>
        <v>2008</v>
      </c>
      <c r="P17">
        <f t="shared" si="2"/>
        <v>2008</v>
      </c>
    </row>
    <row r="18" spans="1:17" x14ac:dyDescent="0.25">
      <c r="A18" s="2" t="s">
        <v>613</v>
      </c>
      <c r="B18" s="2" t="s">
        <v>614</v>
      </c>
      <c r="C18" s="2" t="s">
        <v>23</v>
      </c>
      <c r="D18" s="25">
        <v>39448</v>
      </c>
      <c r="E18" s="2">
        <v>90</v>
      </c>
      <c r="F18" s="5">
        <v>39706</v>
      </c>
      <c r="G18" s="2"/>
      <c r="H18" s="2"/>
      <c r="I18" s="2"/>
      <c r="J18" s="2"/>
      <c r="K18" s="2"/>
      <c r="L18" s="96">
        <v>0.70684931506849313</v>
      </c>
      <c r="M18" t="b">
        <v>1</v>
      </c>
      <c r="N18">
        <f t="shared" si="0"/>
        <v>9</v>
      </c>
      <c r="O18">
        <f t="shared" si="1"/>
        <v>2008</v>
      </c>
      <c r="P18">
        <f t="shared" si="2"/>
        <v>2008</v>
      </c>
      <c r="Q18" t="s">
        <v>661</v>
      </c>
    </row>
    <row r="19" spans="1:17" x14ac:dyDescent="0.25">
      <c r="A19" s="2" t="s">
        <v>392</v>
      </c>
      <c r="B19" s="2" t="s">
        <v>393</v>
      </c>
      <c r="C19" s="2" t="s">
        <v>23</v>
      </c>
      <c r="D19" s="25">
        <v>38869</v>
      </c>
      <c r="E19" s="2">
        <v>90</v>
      </c>
      <c r="F19" s="5">
        <v>39706</v>
      </c>
      <c r="G19" s="2"/>
      <c r="H19" s="2"/>
      <c r="I19" s="2"/>
      <c r="J19" s="2"/>
      <c r="K19" s="2"/>
      <c r="L19" s="96">
        <v>2.2931506849315069</v>
      </c>
      <c r="M19" t="b">
        <v>1</v>
      </c>
      <c r="N19">
        <f t="shared" si="0"/>
        <v>9</v>
      </c>
      <c r="O19">
        <f t="shared" si="1"/>
        <v>2008</v>
      </c>
      <c r="P19">
        <f t="shared" si="2"/>
        <v>2006</v>
      </c>
    </row>
    <row r="20" spans="1:17" x14ac:dyDescent="0.25">
      <c r="A20" s="2" t="s">
        <v>394</v>
      </c>
      <c r="B20" s="2" t="s">
        <v>395</v>
      </c>
      <c r="C20" s="2" t="s">
        <v>23</v>
      </c>
      <c r="D20" s="25">
        <v>38869</v>
      </c>
      <c r="E20" s="2">
        <v>90</v>
      </c>
      <c r="F20" s="5">
        <v>39706</v>
      </c>
      <c r="G20" s="2"/>
      <c r="H20" s="2"/>
      <c r="I20" s="2"/>
      <c r="J20" s="2"/>
      <c r="K20" s="2"/>
      <c r="L20" s="96">
        <v>2.2931506849315069</v>
      </c>
      <c r="M20" t="b">
        <v>1</v>
      </c>
      <c r="N20">
        <f t="shared" si="0"/>
        <v>9</v>
      </c>
      <c r="O20">
        <f t="shared" si="1"/>
        <v>2008</v>
      </c>
      <c r="P20">
        <f t="shared" si="2"/>
        <v>2006</v>
      </c>
    </row>
    <row r="21" spans="1:17" x14ac:dyDescent="0.25">
      <c r="A21" s="2" t="s">
        <v>402</v>
      </c>
      <c r="B21" s="2" t="s">
        <v>403</v>
      </c>
      <c r="C21" s="2" t="s">
        <v>13</v>
      </c>
      <c r="D21" s="25">
        <v>38589</v>
      </c>
      <c r="E21" s="2">
        <v>180</v>
      </c>
      <c r="F21" s="5">
        <v>39736</v>
      </c>
      <c r="G21" s="2"/>
      <c r="H21" s="2"/>
      <c r="I21" s="2"/>
      <c r="J21" s="2"/>
      <c r="K21" s="2"/>
      <c r="L21" s="96">
        <v>3.1424657534246574</v>
      </c>
      <c r="M21" t="b">
        <v>1</v>
      </c>
      <c r="N21">
        <f t="shared" si="0"/>
        <v>10</v>
      </c>
      <c r="O21">
        <f t="shared" si="1"/>
        <v>2008</v>
      </c>
      <c r="P21">
        <f t="shared" si="2"/>
        <v>2005</v>
      </c>
    </row>
    <row r="22" spans="1:17" x14ac:dyDescent="0.25">
      <c r="A22" s="2" t="s">
        <v>405</v>
      </c>
      <c r="B22" s="2" t="s">
        <v>406</v>
      </c>
      <c r="C22" s="2" t="s">
        <v>13</v>
      </c>
      <c r="D22" s="25">
        <v>38697</v>
      </c>
      <c r="E22" s="2">
        <v>180</v>
      </c>
      <c r="F22" s="5">
        <v>39736</v>
      </c>
      <c r="G22" s="2"/>
      <c r="H22" s="2"/>
      <c r="I22" s="2"/>
      <c r="J22" s="2"/>
      <c r="K22" s="2"/>
      <c r="L22" s="96">
        <v>2.8465753424657536</v>
      </c>
      <c r="M22" t="b">
        <v>1</v>
      </c>
      <c r="N22">
        <f t="shared" si="0"/>
        <v>10</v>
      </c>
      <c r="O22">
        <f t="shared" si="1"/>
        <v>2008</v>
      </c>
      <c r="P22">
        <f t="shared" si="2"/>
        <v>2005</v>
      </c>
    </row>
    <row r="23" spans="1:17" x14ac:dyDescent="0.25">
      <c r="A23" s="2" t="s">
        <v>407</v>
      </c>
      <c r="B23" s="2" t="s">
        <v>408</v>
      </c>
      <c r="C23" s="2" t="s">
        <v>13</v>
      </c>
      <c r="D23" s="25">
        <v>37530</v>
      </c>
      <c r="E23" s="2">
        <v>180</v>
      </c>
      <c r="F23" s="5">
        <v>39736</v>
      </c>
      <c r="G23" s="2"/>
      <c r="H23" s="2"/>
      <c r="I23" s="2"/>
      <c r="J23" s="2"/>
      <c r="K23" s="2"/>
      <c r="L23" s="96">
        <v>6.043835616438356</v>
      </c>
      <c r="M23" t="b">
        <v>1</v>
      </c>
      <c r="N23">
        <f t="shared" si="0"/>
        <v>10</v>
      </c>
      <c r="O23">
        <f t="shared" si="1"/>
        <v>2008</v>
      </c>
      <c r="P23">
        <f t="shared" si="2"/>
        <v>2002</v>
      </c>
    </row>
    <row r="24" spans="1:17" x14ac:dyDescent="0.25">
      <c r="A24" s="2" t="s">
        <v>409</v>
      </c>
      <c r="B24" s="2" t="s">
        <v>410</v>
      </c>
      <c r="C24" s="2" t="s">
        <v>13</v>
      </c>
      <c r="D24" s="25">
        <v>38697</v>
      </c>
      <c r="E24" s="2">
        <v>180</v>
      </c>
      <c r="F24" s="5">
        <v>39736</v>
      </c>
      <c r="G24" s="2"/>
      <c r="H24" s="2"/>
      <c r="I24" s="2"/>
      <c r="J24" s="2"/>
      <c r="K24" s="2"/>
      <c r="L24" s="96">
        <v>2.8465753424657536</v>
      </c>
      <c r="M24" t="b">
        <v>1</v>
      </c>
      <c r="N24">
        <f t="shared" si="0"/>
        <v>10</v>
      </c>
      <c r="O24">
        <f t="shared" si="1"/>
        <v>2008</v>
      </c>
      <c r="P24">
        <f t="shared" si="2"/>
        <v>2005</v>
      </c>
    </row>
    <row r="25" spans="1:17" x14ac:dyDescent="0.25">
      <c r="A25" s="2" t="s">
        <v>411</v>
      </c>
      <c r="B25" s="2" t="s">
        <v>412</v>
      </c>
      <c r="C25" s="2" t="s">
        <v>13</v>
      </c>
      <c r="D25" s="25">
        <v>37781</v>
      </c>
      <c r="E25" s="2">
        <v>180</v>
      </c>
      <c r="F25" s="5">
        <v>39736</v>
      </c>
      <c r="G25" s="2"/>
      <c r="H25" s="2"/>
      <c r="I25" s="2"/>
      <c r="J25" s="2"/>
      <c r="K25" s="2"/>
      <c r="L25" s="96">
        <v>5.3561643835616435</v>
      </c>
      <c r="M25" t="b">
        <v>1</v>
      </c>
      <c r="N25">
        <f t="shared" si="0"/>
        <v>10</v>
      </c>
      <c r="O25">
        <f t="shared" si="1"/>
        <v>2008</v>
      </c>
      <c r="P25">
        <f t="shared" si="2"/>
        <v>2003</v>
      </c>
    </row>
    <row r="26" spans="1:17" x14ac:dyDescent="0.25">
      <c r="A26" s="2" t="s">
        <v>413</v>
      </c>
      <c r="B26" s="2" t="s">
        <v>414</v>
      </c>
      <c r="C26" s="2" t="s">
        <v>13</v>
      </c>
      <c r="D26" s="25">
        <v>38535</v>
      </c>
      <c r="E26" s="2">
        <v>180</v>
      </c>
      <c r="F26" s="5">
        <v>39736</v>
      </c>
      <c r="G26" s="2"/>
      <c r="H26" s="2"/>
      <c r="I26" s="2"/>
      <c r="J26" s="2"/>
      <c r="K26" s="2"/>
      <c r="L26" s="96">
        <v>3.2904109589041095</v>
      </c>
      <c r="M26" t="b">
        <v>1</v>
      </c>
      <c r="N26">
        <f t="shared" si="0"/>
        <v>10</v>
      </c>
      <c r="O26">
        <f t="shared" si="1"/>
        <v>2008</v>
      </c>
      <c r="P26">
        <f t="shared" si="2"/>
        <v>2005</v>
      </c>
    </row>
    <row r="27" spans="1:17" x14ac:dyDescent="0.25">
      <c r="A27" s="2" t="s">
        <v>415</v>
      </c>
      <c r="B27" s="2" t="s">
        <v>416</v>
      </c>
      <c r="C27" s="2" t="s">
        <v>23</v>
      </c>
      <c r="D27" s="25">
        <v>38961</v>
      </c>
      <c r="E27" s="2">
        <v>180</v>
      </c>
      <c r="F27" s="5">
        <v>39736</v>
      </c>
      <c r="G27" s="2"/>
      <c r="H27" s="2"/>
      <c r="I27" s="2"/>
      <c r="J27" s="2"/>
      <c r="K27" s="2"/>
      <c r="L27" s="96">
        <v>2.1232876712328768</v>
      </c>
      <c r="M27" t="b">
        <v>1</v>
      </c>
      <c r="N27">
        <f t="shared" si="0"/>
        <v>10</v>
      </c>
      <c r="O27">
        <f t="shared" si="1"/>
        <v>2008</v>
      </c>
      <c r="P27">
        <f t="shared" si="2"/>
        <v>2006</v>
      </c>
    </row>
    <row r="28" spans="1:17" x14ac:dyDescent="0.25">
      <c r="A28" s="2" t="s">
        <v>11</v>
      </c>
      <c r="B28" s="2" t="s">
        <v>12</v>
      </c>
      <c r="C28" s="2" t="s">
        <v>13</v>
      </c>
      <c r="D28" s="25">
        <v>39508</v>
      </c>
      <c r="E28" s="2">
        <v>90</v>
      </c>
      <c r="F28" s="5">
        <v>40009</v>
      </c>
      <c r="G28" s="2"/>
      <c r="H28" s="2"/>
      <c r="I28" s="2"/>
      <c r="J28" s="2"/>
      <c r="K28" s="2"/>
      <c r="L28" s="96">
        <v>1.3726027397260274</v>
      </c>
      <c r="M28" t="b">
        <v>1</v>
      </c>
      <c r="N28">
        <f t="shared" si="0"/>
        <v>7</v>
      </c>
      <c r="O28">
        <f t="shared" si="1"/>
        <v>2009</v>
      </c>
      <c r="P28">
        <f t="shared" si="2"/>
        <v>2008</v>
      </c>
    </row>
    <row r="29" spans="1:17" x14ac:dyDescent="0.25">
      <c r="A29" s="2" t="s">
        <v>301</v>
      </c>
      <c r="B29" s="2" t="s">
        <v>302</v>
      </c>
      <c r="C29" s="2" t="s">
        <v>13</v>
      </c>
      <c r="D29" s="25">
        <v>37408</v>
      </c>
      <c r="E29" s="2">
        <v>180</v>
      </c>
      <c r="F29" s="5">
        <v>40009</v>
      </c>
      <c r="G29" s="2"/>
      <c r="H29" s="2"/>
      <c r="I29" s="2"/>
      <c r="J29" s="2"/>
      <c r="K29" s="2"/>
      <c r="L29" s="96">
        <v>7.1260273972602741</v>
      </c>
      <c r="M29" t="b">
        <v>1</v>
      </c>
      <c r="N29">
        <f t="shared" si="0"/>
        <v>7</v>
      </c>
      <c r="O29">
        <f t="shared" si="1"/>
        <v>2009</v>
      </c>
      <c r="P29">
        <f t="shared" si="2"/>
        <v>2002</v>
      </c>
    </row>
    <row r="30" spans="1:17" x14ac:dyDescent="0.25">
      <c r="A30" s="2" t="s">
        <v>303</v>
      </c>
      <c r="B30" s="2" t="s">
        <v>304</v>
      </c>
      <c r="C30" s="2" t="s">
        <v>13</v>
      </c>
      <c r="D30" s="25">
        <v>37069</v>
      </c>
      <c r="E30" s="2">
        <v>180</v>
      </c>
      <c r="F30" s="5">
        <v>39583</v>
      </c>
      <c r="G30" s="2"/>
      <c r="H30" s="2"/>
      <c r="I30" s="2"/>
      <c r="J30" s="2"/>
      <c r="K30" s="2"/>
      <c r="L30" s="96">
        <v>6.8876712328767127</v>
      </c>
      <c r="M30" t="b">
        <v>1</v>
      </c>
      <c r="N30">
        <f t="shared" si="0"/>
        <v>5</v>
      </c>
      <c r="O30">
        <f t="shared" si="1"/>
        <v>2008</v>
      </c>
      <c r="P30">
        <f t="shared" si="2"/>
        <v>2001</v>
      </c>
    </row>
    <row r="31" spans="1:17" x14ac:dyDescent="0.25">
      <c r="A31" s="2" t="s">
        <v>305</v>
      </c>
      <c r="B31" s="2" t="s">
        <v>306</v>
      </c>
      <c r="C31" s="2" t="s">
        <v>13</v>
      </c>
      <c r="D31" s="25">
        <v>37923</v>
      </c>
      <c r="E31" s="2">
        <v>180</v>
      </c>
      <c r="F31" s="5">
        <v>39644</v>
      </c>
      <c r="G31" s="2"/>
      <c r="H31" s="2"/>
      <c r="I31" s="2"/>
      <c r="J31" s="2"/>
      <c r="K31" s="2"/>
      <c r="L31" s="96">
        <v>4.7150684931506852</v>
      </c>
      <c r="M31" t="b">
        <v>1</v>
      </c>
      <c r="N31">
        <f t="shared" si="0"/>
        <v>7</v>
      </c>
      <c r="O31">
        <f t="shared" si="1"/>
        <v>2008</v>
      </c>
      <c r="P31">
        <f t="shared" si="2"/>
        <v>2003</v>
      </c>
    </row>
    <row r="32" spans="1:17" x14ac:dyDescent="0.25">
      <c r="A32" s="2" t="s">
        <v>307</v>
      </c>
      <c r="B32" s="2" t="s">
        <v>308</v>
      </c>
      <c r="C32" s="2" t="s">
        <v>13</v>
      </c>
      <c r="D32" s="25">
        <v>38686</v>
      </c>
      <c r="E32" s="2">
        <v>180</v>
      </c>
      <c r="F32" s="5">
        <v>39583</v>
      </c>
      <c r="G32" s="2"/>
      <c r="H32" s="2"/>
      <c r="I32" s="2"/>
      <c r="J32" s="2"/>
      <c r="K32" s="2"/>
      <c r="L32" s="96">
        <v>2.4575342465753423</v>
      </c>
      <c r="M32" t="b">
        <v>1</v>
      </c>
      <c r="N32">
        <f t="shared" si="0"/>
        <v>5</v>
      </c>
      <c r="O32">
        <f t="shared" si="1"/>
        <v>2008</v>
      </c>
      <c r="P32">
        <f t="shared" si="2"/>
        <v>2005</v>
      </c>
    </row>
    <row r="33" spans="1:16" x14ac:dyDescent="0.25">
      <c r="A33" s="2" t="s">
        <v>309</v>
      </c>
      <c r="B33" s="2" t="s">
        <v>310</v>
      </c>
      <c r="C33" s="2" t="s">
        <v>13</v>
      </c>
      <c r="D33" s="25">
        <v>37716</v>
      </c>
      <c r="E33" s="2">
        <v>180</v>
      </c>
      <c r="F33" s="5">
        <v>39583</v>
      </c>
      <c r="G33" s="2"/>
      <c r="H33" s="2"/>
      <c r="I33" s="2"/>
      <c r="J33" s="2"/>
      <c r="K33" s="2"/>
      <c r="L33" s="96">
        <v>5.1150684931506847</v>
      </c>
      <c r="M33" t="b">
        <v>1</v>
      </c>
      <c r="N33">
        <f t="shared" si="0"/>
        <v>5</v>
      </c>
      <c r="O33">
        <f t="shared" si="1"/>
        <v>2008</v>
      </c>
      <c r="P33">
        <f t="shared" si="2"/>
        <v>2003</v>
      </c>
    </row>
    <row r="34" spans="1:16" x14ac:dyDescent="0.25">
      <c r="A34" s="2" t="s">
        <v>311</v>
      </c>
      <c r="B34" s="2" t="s">
        <v>312</v>
      </c>
      <c r="C34" s="2" t="s">
        <v>13</v>
      </c>
      <c r="D34" s="25" t="s">
        <v>47</v>
      </c>
      <c r="E34" s="2" t="s">
        <v>47</v>
      </c>
      <c r="F34" s="5">
        <v>40071</v>
      </c>
      <c r="G34" s="2"/>
      <c r="H34" s="2"/>
      <c r="I34" s="2"/>
      <c r="J34" s="2"/>
      <c r="K34" s="2" t="s">
        <v>313</v>
      </c>
      <c r="L34" s="96">
        <v>3</v>
      </c>
      <c r="M34" t="b">
        <v>1</v>
      </c>
      <c r="N34">
        <f t="shared" si="0"/>
        <v>9</v>
      </c>
      <c r="O34">
        <f t="shared" si="1"/>
        <v>2009</v>
      </c>
      <c r="P34" s="96" t="s">
        <v>47</v>
      </c>
    </row>
    <row r="35" spans="1:16" x14ac:dyDescent="0.25">
      <c r="A35" s="2" t="s">
        <v>342</v>
      </c>
      <c r="B35" s="2" t="s">
        <v>343</v>
      </c>
      <c r="C35" s="2" t="s">
        <v>23</v>
      </c>
      <c r="D35" s="25">
        <v>39449</v>
      </c>
      <c r="E35" s="2">
        <v>60</v>
      </c>
      <c r="F35" s="5">
        <v>39614</v>
      </c>
      <c r="G35" s="2"/>
      <c r="H35" s="2"/>
      <c r="I35" s="2"/>
      <c r="J35" s="2"/>
      <c r="K35" s="2"/>
      <c r="L35" s="96">
        <v>0.45205479452054792</v>
      </c>
      <c r="M35" t="b">
        <v>1</v>
      </c>
      <c r="N35">
        <f t="shared" si="0"/>
        <v>6</v>
      </c>
      <c r="O35">
        <f t="shared" si="1"/>
        <v>2008</v>
      </c>
      <c r="P35">
        <f t="shared" si="2"/>
        <v>2008</v>
      </c>
    </row>
    <row r="36" spans="1:16" x14ac:dyDescent="0.25">
      <c r="A36" s="2" t="s">
        <v>314</v>
      </c>
      <c r="B36" s="2" t="s">
        <v>315</v>
      </c>
      <c r="C36" s="2" t="s">
        <v>13</v>
      </c>
      <c r="D36" s="25">
        <v>39449</v>
      </c>
      <c r="E36" s="2">
        <v>90</v>
      </c>
      <c r="F36" s="5">
        <v>39614</v>
      </c>
      <c r="G36" s="2"/>
      <c r="H36" s="2"/>
      <c r="I36" s="2"/>
      <c r="J36" s="2"/>
      <c r="K36" s="2"/>
      <c r="L36" s="96">
        <v>0.45205479452054792</v>
      </c>
      <c r="M36" t="b">
        <v>1</v>
      </c>
      <c r="N36">
        <f t="shared" si="0"/>
        <v>6</v>
      </c>
      <c r="O36">
        <f t="shared" si="1"/>
        <v>2008</v>
      </c>
      <c r="P36">
        <f t="shared" si="2"/>
        <v>2008</v>
      </c>
    </row>
    <row r="37" spans="1:16" x14ac:dyDescent="0.25">
      <c r="A37" s="2" t="s">
        <v>316</v>
      </c>
      <c r="B37" s="2" t="s">
        <v>317</v>
      </c>
      <c r="C37" s="2" t="s">
        <v>13</v>
      </c>
      <c r="D37" s="25">
        <v>39449</v>
      </c>
      <c r="E37" s="2">
        <v>90</v>
      </c>
      <c r="F37" s="5">
        <v>39614</v>
      </c>
      <c r="G37" s="2"/>
      <c r="H37" s="2"/>
      <c r="I37" s="2"/>
      <c r="J37" s="2"/>
      <c r="K37" s="2"/>
      <c r="L37" s="96">
        <v>0.45205479452054792</v>
      </c>
      <c r="M37" t="b">
        <v>1</v>
      </c>
      <c r="N37">
        <f t="shared" si="0"/>
        <v>6</v>
      </c>
      <c r="O37">
        <f t="shared" si="1"/>
        <v>2008</v>
      </c>
      <c r="P37">
        <f t="shared" si="2"/>
        <v>2008</v>
      </c>
    </row>
    <row r="38" spans="1:16" x14ac:dyDescent="0.25">
      <c r="A38" s="2" t="s">
        <v>344</v>
      </c>
      <c r="B38" s="2" t="s">
        <v>345</v>
      </c>
      <c r="C38" s="2" t="s">
        <v>23</v>
      </c>
      <c r="D38" s="25">
        <v>39449</v>
      </c>
      <c r="E38" s="2">
        <v>90</v>
      </c>
      <c r="F38" s="5">
        <v>39614</v>
      </c>
      <c r="G38" s="2"/>
      <c r="H38" s="2"/>
      <c r="I38" s="2"/>
      <c r="J38" s="2"/>
      <c r="K38" s="2"/>
      <c r="L38" s="96">
        <v>0.45205479452054792</v>
      </c>
      <c r="M38" t="b">
        <v>1</v>
      </c>
      <c r="N38">
        <f t="shared" si="0"/>
        <v>6</v>
      </c>
      <c r="O38">
        <f t="shared" si="1"/>
        <v>2008</v>
      </c>
      <c r="P38">
        <f t="shared" si="2"/>
        <v>2008</v>
      </c>
    </row>
    <row r="39" spans="1:16" x14ac:dyDescent="0.25">
      <c r="A39" s="2" t="s">
        <v>346</v>
      </c>
      <c r="B39" s="2" t="s">
        <v>347</v>
      </c>
      <c r="C39" s="2" t="s">
        <v>23</v>
      </c>
      <c r="D39" s="25">
        <v>39630</v>
      </c>
      <c r="E39" s="2">
        <v>15</v>
      </c>
      <c r="F39" s="5">
        <v>39736</v>
      </c>
      <c r="G39" s="2"/>
      <c r="H39" s="2"/>
      <c r="I39" s="2"/>
      <c r="J39" s="2"/>
      <c r="K39" s="2"/>
      <c r="L39" s="96">
        <v>0.29041095890410956</v>
      </c>
      <c r="M39" t="b">
        <v>1</v>
      </c>
      <c r="N39">
        <f t="shared" si="0"/>
        <v>10</v>
      </c>
      <c r="O39">
        <f t="shared" si="1"/>
        <v>2008</v>
      </c>
      <c r="P39">
        <f t="shared" si="2"/>
        <v>2008</v>
      </c>
    </row>
    <row r="40" spans="1:16" x14ac:dyDescent="0.25">
      <c r="A40" s="2" t="s">
        <v>348</v>
      </c>
      <c r="B40" s="2" t="s">
        <v>349</v>
      </c>
      <c r="C40" s="2" t="s">
        <v>23</v>
      </c>
      <c r="D40" s="25">
        <v>39630</v>
      </c>
      <c r="E40" s="2">
        <v>15</v>
      </c>
      <c r="F40" s="5">
        <v>39736</v>
      </c>
      <c r="G40" s="2"/>
      <c r="H40" s="2"/>
      <c r="I40" s="2"/>
      <c r="J40" s="2"/>
      <c r="K40" s="2"/>
      <c r="L40" s="96">
        <v>0.29041095890410956</v>
      </c>
      <c r="M40" t="b">
        <v>1</v>
      </c>
      <c r="N40">
        <f t="shared" si="0"/>
        <v>10</v>
      </c>
      <c r="O40">
        <f t="shared" si="1"/>
        <v>2008</v>
      </c>
      <c r="P40">
        <f t="shared" si="2"/>
        <v>2008</v>
      </c>
    </row>
    <row r="41" spans="1:16" x14ac:dyDescent="0.25">
      <c r="A41" s="2" t="s">
        <v>318</v>
      </c>
      <c r="B41" s="2" t="s">
        <v>319</v>
      </c>
      <c r="C41" s="2" t="s">
        <v>47</v>
      </c>
      <c r="D41" s="25">
        <v>39630</v>
      </c>
      <c r="E41" s="2">
        <v>15</v>
      </c>
      <c r="F41" s="97">
        <v>39931</v>
      </c>
      <c r="G41" s="25">
        <v>41183</v>
      </c>
      <c r="H41" s="2" t="s">
        <v>28</v>
      </c>
      <c r="I41" s="2"/>
      <c r="J41" s="2"/>
      <c r="K41" s="2" t="s">
        <v>880</v>
      </c>
      <c r="L41" s="96">
        <v>0.8246575342465754</v>
      </c>
      <c r="M41" t="b">
        <v>1</v>
      </c>
      <c r="N41">
        <f t="shared" si="0"/>
        <v>4</v>
      </c>
      <c r="O41">
        <f t="shared" si="1"/>
        <v>2009</v>
      </c>
      <c r="P41">
        <f t="shared" si="2"/>
        <v>2008</v>
      </c>
    </row>
    <row r="42" spans="1:16" x14ac:dyDescent="0.25">
      <c r="A42" s="2" t="s">
        <v>320</v>
      </c>
      <c r="B42" s="2" t="s">
        <v>321</v>
      </c>
      <c r="C42" s="2" t="s">
        <v>47</v>
      </c>
      <c r="D42" s="25">
        <v>39630</v>
      </c>
      <c r="E42" s="2">
        <v>15</v>
      </c>
      <c r="F42" s="97">
        <v>39931</v>
      </c>
      <c r="G42" s="25">
        <v>41183</v>
      </c>
      <c r="H42" s="2" t="s">
        <v>322</v>
      </c>
      <c r="I42" s="2"/>
      <c r="J42" s="2"/>
      <c r="K42" s="2" t="s">
        <v>880</v>
      </c>
      <c r="L42" s="96">
        <v>0.8246575342465754</v>
      </c>
      <c r="M42" t="b">
        <v>1</v>
      </c>
      <c r="N42">
        <f t="shared" si="0"/>
        <v>4</v>
      </c>
      <c r="O42">
        <f t="shared" si="1"/>
        <v>2009</v>
      </c>
      <c r="P42">
        <f t="shared" si="2"/>
        <v>2008</v>
      </c>
    </row>
    <row r="43" spans="1:16" x14ac:dyDescent="0.25">
      <c r="A43" s="2" t="s">
        <v>574</v>
      </c>
      <c r="B43" s="2" t="s">
        <v>575</v>
      </c>
      <c r="C43" s="2" t="s">
        <v>23</v>
      </c>
      <c r="D43" s="25">
        <v>39859</v>
      </c>
      <c r="E43" s="2">
        <v>30</v>
      </c>
      <c r="F43" s="5">
        <v>39918</v>
      </c>
      <c r="G43" s="2"/>
      <c r="H43" s="2"/>
      <c r="I43" s="2" t="s">
        <v>576</v>
      </c>
      <c r="J43" s="2"/>
      <c r="K43" s="2"/>
      <c r="L43" s="96">
        <v>0.16164383561643836</v>
      </c>
      <c r="M43" t="b">
        <v>1</v>
      </c>
      <c r="N43">
        <f t="shared" si="0"/>
        <v>4</v>
      </c>
      <c r="O43">
        <f t="shared" si="1"/>
        <v>2009</v>
      </c>
      <c r="P43">
        <f t="shared" si="2"/>
        <v>2009</v>
      </c>
    </row>
    <row r="44" spans="1:16" x14ac:dyDescent="0.25">
      <c r="A44" s="2" t="s">
        <v>577</v>
      </c>
      <c r="B44" s="2" t="s">
        <v>578</v>
      </c>
      <c r="C44" s="2" t="s">
        <v>23</v>
      </c>
      <c r="D44" s="25">
        <v>39859</v>
      </c>
      <c r="E44" s="2">
        <v>30</v>
      </c>
      <c r="F44" s="5">
        <v>39918</v>
      </c>
      <c r="G44" s="2"/>
      <c r="H44" s="2"/>
      <c r="I44" s="2" t="s">
        <v>579</v>
      </c>
      <c r="J44" s="2"/>
      <c r="K44" s="2"/>
      <c r="L44" s="96">
        <v>0.16164383561643836</v>
      </c>
      <c r="M44" t="b">
        <v>0</v>
      </c>
      <c r="N44">
        <f t="shared" si="0"/>
        <v>4</v>
      </c>
      <c r="O44">
        <f t="shared" si="1"/>
        <v>2009</v>
      </c>
      <c r="P44">
        <f t="shared" si="2"/>
        <v>2009</v>
      </c>
    </row>
    <row r="45" spans="1:16" x14ac:dyDescent="0.25">
      <c r="A45" s="2" t="s">
        <v>580</v>
      </c>
      <c r="B45" s="2" t="s">
        <v>581</v>
      </c>
      <c r="C45" s="2" t="s">
        <v>23</v>
      </c>
      <c r="D45" s="25">
        <v>39859</v>
      </c>
      <c r="E45" s="2">
        <v>30</v>
      </c>
      <c r="F45" s="5">
        <v>39918</v>
      </c>
      <c r="G45" s="25">
        <v>40422</v>
      </c>
      <c r="H45" s="2" t="s">
        <v>28</v>
      </c>
      <c r="I45" s="2" t="s">
        <v>579</v>
      </c>
      <c r="J45" s="2"/>
      <c r="K45" s="2" t="s">
        <v>582</v>
      </c>
      <c r="L45" s="96">
        <v>0.16164383561643836</v>
      </c>
      <c r="M45" t="b">
        <v>0</v>
      </c>
      <c r="N45">
        <f t="shared" si="0"/>
        <v>4</v>
      </c>
      <c r="O45">
        <f t="shared" si="1"/>
        <v>2009</v>
      </c>
      <c r="P45">
        <f t="shared" si="2"/>
        <v>2009</v>
      </c>
    </row>
    <row r="46" spans="1:16" x14ac:dyDescent="0.25">
      <c r="A46" s="2" t="s">
        <v>335</v>
      </c>
      <c r="B46" s="2" t="s">
        <v>336</v>
      </c>
      <c r="C46" s="2" t="s">
        <v>23</v>
      </c>
      <c r="D46" s="25">
        <v>36895</v>
      </c>
      <c r="E46" s="2">
        <v>180</v>
      </c>
      <c r="F46" s="5">
        <v>39583</v>
      </c>
      <c r="G46" s="25">
        <v>40575</v>
      </c>
      <c r="H46" s="2" t="s">
        <v>28</v>
      </c>
      <c r="I46" s="2"/>
      <c r="J46" s="2"/>
      <c r="K46" s="2" t="s">
        <v>337</v>
      </c>
      <c r="L46" s="96">
        <v>7.3643835616438356</v>
      </c>
      <c r="M46" t="b">
        <v>1</v>
      </c>
      <c r="N46">
        <f t="shared" si="0"/>
        <v>5</v>
      </c>
      <c r="O46">
        <f t="shared" si="1"/>
        <v>2008</v>
      </c>
      <c r="P46">
        <f t="shared" si="2"/>
        <v>2001</v>
      </c>
    </row>
    <row r="47" spans="1:16" x14ac:dyDescent="0.25">
      <c r="A47" s="2" t="s">
        <v>338</v>
      </c>
      <c r="B47" s="2" t="s">
        <v>339</v>
      </c>
      <c r="C47" s="2" t="s">
        <v>23</v>
      </c>
      <c r="D47" s="25">
        <v>37991</v>
      </c>
      <c r="E47" s="2">
        <v>180</v>
      </c>
      <c r="F47" s="5">
        <v>39644</v>
      </c>
      <c r="G47" s="25">
        <v>39986</v>
      </c>
      <c r="H47" s="2"/>
      <c r="I47" s="2"/>
      <c r="J47" s="2"/>
      <c r="K47" s="2" t="s">
        <v>340</v>
      </c>
      <c r="L47" s="96">
        <v>4.5287671232876709</v>
      </c>
      <c r="M47" t="b">
        <v>1</v>
      </c>
      <c r="N47">
        <f t="shared" si="0"/>
        <v>7</v>
      </c>
      <c r="O47">
        <f t="shared" si="1"/>
        <v>2008</v>
      </c>
      <c r="P47">
        <f t="shared" si="2"/>
        <v>2004</v>
      </c>
    </row>
    <row r="48" spans="1:16" x14ac:dyDescent="0.25">
      <c r="A48" s="2" t="s">
        <v>41</v>
      </c>
      <c r="B48" s="2" t="s">
        <v>341</v>
      </c>
      <c r="C48" s="2" t="s">
        <v>23</v>
      </c>
      <c r="D48" s="25">
        <v>36347</v>
      </c>
      <c r="E48" s="2">
        <v>180</v>
      </c>
      <c r="F48" s="5">
        <v>39583</v>
      </c>
      <c r="G48" s="2"/>
      <c r="H48" s="2"/>
      <c r="I48" s="2"/>
      <c r="J48" s="2"/>
      <c r="K48" s="2"/>
      <c r="L48" s="96">
        <v>8.8657534246575338</v>
      </c>
      <c r="M48" t="b">
        <v>1</v>
      </c>
      <c r="N48">
        <f t="shared" si="0"/>
        <v>5</v>
      </c>
      <c r="O48">
        <f t="shared" si="1"/>
        <v>2008</v>
      </c>
      <c r="P48">
        <f t="shared" si="2"/>
        <v>1999</v>
      </c>
    </row>
    <row r="49" spans="1:16" x14ac:dyDescent="0.25">
      <c r="A49" s="2" t="s">
        <v>427</v>
      </c>
      <c r="B49" s="2" t="s">
        <v>428</v>
      </c>
      <c r="C49" s="2" t="s">
        <v>13</v>
      </c>
      <c r="D49" s="25">
        <v>38827</v>
      </c>
      <c r="E49" s="2">
        <v>180</v>
      </c>
      <c r="F49" s="5">
        <v>39675</v>
      </c>
      <c r="G49" s="2"/>
      <c r="H49" s="2"/>
      <c r="I49" s="2"/>
      <c r="J49" s="2"/>
      <c r="K49" s="2"/>
      <c r="L49" s="96">
        <v>2.3232876712328765</v>
      </c>
      <c r="M49" t="b">
        <v>1</v>
      </c>
      <c r="N49">
        <f t="shared" si="0"/>
        <v>8</v>
      </c>
      <c r="O49">
        <f t="shared" si="1"/>
        <v>2008</v>
      </c>
      <c r="P49">
        <f t="shared" si="2"/>
        <v>2006</v>
      </c>
    </row>
    <row r="50" spans="1:16" x14ac:dyDescent="0.25">
      <c r="A50" s="2" t="s">
        <v>430</v>
      </c>
      <c r="B50" s="2" t="s">
        <v>431</v>
      </c>
      <c r="C50" s="2" t="s">
        <v>13</v>
      </c>
      <c r="D50" s="25">
        <v>37465</v>
      </c>
      <c r="E50" s="2">
        <v>180</v>
      </c>
      <c r="F50" s="5">
        <v>39675</v>
      </c>
      <c r="G50" s="2"/>
      <c r="H50" s="2"/>
      <c r="I50" s="2"/>
      <c r="J50" s="2"/>
      <c r="K50" s="2"/>
      <c r="L50" s="96">
        <v>6.0547945205479454</v>
      </c>
      <c r="M50" t="b">
        <v>1</v>
      </c>
      <c r="N50">
        <f t="shared" si="0"/>
        <v>8</v>
      </c>
      <c r="O50">
        <f t="shared" si="1"/>
        <v>2008</v>
      </c>
      <c r="P50">
        <f t="shared" si="2"/>
        <v>2002</v>
      </c>
    </row>
    <row r="51" spans="1:16" x14ac:dyDescent="0.25">
      <c r="A51" s="2" t="s">
        <v>288</v>
      </c>
      <c r="B51" s="2" t="s">
        <v>289</v>
      </c>
      <c r="C51" s="2" t="s">
        <v>23</v>
      </c>
      <c r="D51" s="25">
        <v>38718</v>
      </c>
      <c r="E51" s="2">
        <v>180</v>
      </c>
      <c r="F51" s="5">
        <v>39644</v>
      </c>
      <c r="G51" s="2"/>
      <c r="H51" s="2"/>
      <c r="I51" s="2"/>
      <c r="J51" s="2"/>
      <c r="K51" s="2"/>
      <c r="L51" s="96">
        <v>2.536986301369863</v>
      </c>
      <c r="M51" t="b">
        <v>1</v>
      </c>
      <c r="N51">
        <f t="shared" si="0"/>
        <v>7</v>
      </c>
      <c r="O51">
        <f t="shared" si="1"/>
        <v>2008</v>
      </c>
      <c r="P51">
        <f t="shared" si="2"/>
        <v>2006</v>
      </c>
    </row>
    <row r="52" spans="1:16" x14ac:dyDescent="0.25">
      <c r="A52" s="2" t="s">
        <v>290</v>
      </c>
      <c r="B52" s="2" t="s">
        <v>291</v>
      </c>
      <c r="C52" s="2" t="s">
        <v>23</v>
      </c>
      <c r="D52" s="25">
        <v>38718</v>
      </c>
      <c r="E52" s="2">
        <v>180</v>
      </c>
      <c r="F52" s="5">
        <v>39644</v>
      </c>
      <c r="G52" s="25">
        <v>41136</v>
      </c>
      <c r="H52" s="2" t="s">
        <v>292</v>
      </c>
      <c r="I52" s="2"/>
      <c r="J52" s="2"/>
      <c r="K52" s="2"/>
      <c r="L52" s="96">
        <v>2.536986301369863</v>
      </c>
      <c r="M52" t="b">
        <v>1</v>
      </c>
      <c r="N52">
        <f t="shared" si="0"/>
        <v>7</v>
      </c>
      <c r="O52">
        <f t="shared" si="1"/>
        <v>2008</v>
      </c>
      <c r="P52">
        <f t="shared" si="2"/>
        <v>2006</v>
      </c>
    </row>
    <row r="53" spans="1:16" x14ac:dyDescent="0.25">
      <c r="A53" s="2" t="s">
        <v>293</v>
      </c>
      <c r="B53" s="2" t="s">
        <v>294</v>
      </c>
      <c r="C53" s="2" t="s">
        <v>23</v>
      </c>
      <c r="D53" s="25">
        <v>38718</v>
      </c>
      <c r="E53" s="2">
        <v>180</v>
      </c>
      <c r="F53" s="5">
        <v>39644</v>
      </c>
      <c r="G53" s="25">
        <v>41100</v>
      </c>
      <c r="H53" s="2" t="s">
        <v>277</v>
      </c>
      <c r="I53" s="2"/>
      <c r="J53" s="2"/>
      <c r="K53" s="2"/>
      <c r="L53" s="96">
        <v>2.536986301369863</v>
      </c>
      <c r="M53" t="b">
        <v>1</v>
      </c>
      <c r="N53">
        <f t="shared" si="0"/>
        <v>7</v>
      </c>
      <c r="O53">
        <f t="shared" si="1"/>
        <v>2008</v>
      </c>
      <c r="P53">
        <f t="shared" si="2"/>
        <v>2006</v>
      </c>
    </row>
    <row r="54" spans="1:16" x14ac:dyDescent="0.25">
      <c r="A54" s="2" t="s">
        <v>564</v>
      </c>
      <c r="B54" s="2" t="s">
        <v>565</v>
      </c>
      <c r="C54" s="2" t="s">
        <v>23</v>
      </c>
      <c r="D54" s="25">
        <v>38596</v>
      </c>
      <c r="E54" s="2">
        <v>180</v>
      </c>
      <c r="F54" s="5">
        <v>39675</v>
      </c>
      <c r="G54" s="25">
        <v>40450</v>
      </c>
      <c r="H54" s="2" t="s">
        <v>566</v>
      </c>
      <c r="I54" s="2"/>
      <c r="J54" s="2"/>
      <c r="K54" s="2" t="s">
        <v>567</v>
      </c>
      <c r="L54" s="96">
        <v>2.956164383561644</v>
      </c>
      <c r="M54" t="b">
        <v>1</v>
      </c>
      <c r="N54">
        <f t="shared" si="0"/>
        <v>8</v>
      </c>
      <c r="O54">
        <f t="shared" si="1"/>
        <v>2008</v>
      </c>
      <c r="P54">
        <f t="shared" si="2"/>
        <v>2005</v>
      </c>
    </row>
    <row r="55" spans="1:16" x14ac:dyDescent="0.25">
      <c r="A55" s="2" t="s">
        <v>568</v>
      </c>
      <c r="B55" s="2" t="s">
        <v>569</v>
      </c>
      <c r="C55" s="2" t="s">
        <v>23</v>
      </c>
      <c r="D55" s="25">
        <v>38718</v>
      </c>
      <c r="E55" s="2">
        <v>180</v>
      </c>
      <c r="F55" s="5">
        <v>39675</v>
      </c>
      <c r="G55" s="2"/>
      <c r="H55" s="2"/>
      <c r="I55" s="2"/>
      <c r="J55" s="2"/>
      <c r="K55" s="2"/>
      <c r="L55" s="96">
        <v>2.6219178082191781</v>
      </c>
      <c r="M55" t="b">
        <v>1</v>
      </c>
      <c r="N55">
        <f t="shared" si="0"/>
        <v>8</v>
      </c>
      <c r="O55">
        <f t="shared" si="1"/>
        <v>2008</v>
      </c>
      <c r="P55">
        <f t="shared" si="2"/>
        <v>2006</v>
      </c>
    </row>
    <row r="56" spans="1:16" x14ac:dyDescent="0.25">
      <c r="A56" s="2" t="s">
        <v>570</v>
      </c>
      <c r="B56" s="2" t="s">
        <v>571</v>
      </c>
      <c r="C56" s="2" t="s">
        <v>23</v>
      </c>
      <c r="D56" s="25">
        <v>38718</v>
      </c>
      <c r="E56" s="2">
        <v>180</v>
      </c>
      <c r="F56" s="5">
        <v>39675</v>
      </c>
      <c r="G56" s="2"/>
      <c r="H56" s="2"/>
      <c r="I56" s="2"/>
      <c r="J56" s="2"/>
      <c r="K56" s="2"/>
      <c r="L56" s="96">
        <v>2.6219178082191781</v>
      </c>
      <c r="M56" t="b">
        <v>1</v>
      </c>
      <c r="N56">
        <f t="shared" si="0"/>
        <v>8</v>
      </c>
      <c r="O56">
        <f t="shared" si="1"/>
        <v>2008</v>
      </c>
      <c r="P56">
        <f t="shared" si="2"/>
        <v>2006</v>
      </c>
    </row>
    <row r="57" spans="1:16" x14ac:dyDescent="0.25">
      <c r="A57" s="2" t="s">
        <v>572</v>
      </c>
      <c r="B57" s="2" t="s">
        <v>573</v>
      </c>
      <c r="C57" s="2" t="s">
        <v>23</v>
      </c>
      <c r="D57" s="25">
        <v>38596</v>
      </c>
      <c r="E57" s="2">
        <v>180</v>
      </c>
      <c r="F57" s="5">
        <v>39675</v>
      </c>
      <c r="G57" s="2"/>
      <c r="H57" s="2"/>
      <c r="I57" s="2"/>
      <c r="J57" s="2"/>
      <c r="K57" s="2"/>
      <c r="L57" s="96">
        <v>2.956164383561644</v>
      </c>
      <c r="M57" t="b">
        <v>1</v>
      </c>
      <c r="N57">
        <f t="shared" si="0"/>
        <v>8</v>
      </c>
      <c r="O57">
        <f t="shared" si="1"/>
        <v>2008</v>
      </c>
      <c r="P57">
        <f t="shared" si="2"/>
        <v>2005</v>
      </c>
    </row>
    <row r="58" spans="1:16" x14ac:dyDescent="0.25">
      <c r="A58" s="2" t="s">
        <v>533</v>
      </c>
      <c r="B58" s="2" t="s">
        <v>534</v>
      </c>
      <c r="C58" s="2" t="s">
        <v>13</v>
      </c>
      <c r="D58" s="25">
        <v>37517</v>
      </c>
      <c r="E58" s="2">
        <v>180</v>
      </c>
      <c r="F58" s="5">
        <v>39675</v>
      </c>
      <c r="G58" s="2"/>
      <c r="H58" s="2"/>
      <c r="I58" s="2"/>
      <c r="J58" s="2"/>
      <c r="K58" s="2"/>
      <c r="L58" s="96">
        <v>5.912328767123288</v>
      </c>
      <c r="M58" t="b">
        <v>1</v>
      </c>
      <c r="N58">
        <f t="shared" si="0"/>
        <v>8</v>
      </c>
      <c r="O58">
        <f t="shared" si="1"/>
        <v>2008</v>
      </c>
      <c r="P58">
        <f t="shared" si="2"/>
        <v>2002</v>
      </c>
    </row>
    <row r="59" spans="1:16" x14ac:dyDescent="0.25">
      <c r="A59" s="2" t="s">
        <v>535</v>
      </c>
      <c r="B59" s="2" t="s">
        <v>536</v>
      </c>
      <c r="C59" s="2" t="s">
        <v>13</v>
      </c>
      <c r="D59" s="25">
        <v>37507</v>
      </c>
      <c r="E59" s="2">
        <v>180</v>
      </c>
      <c r="F59" s="5">
        <v>40071</v>
      </c>
      <c r="G59" s="2"/>
      <c r="H59" s="2"/>
      <c r="I59" s="2"/>
      <c r="J59" s="2"/>
      <c r="K59" s="2"/>
      <c r="L59" s="96">
        <v>7.0246575342465754</v>
      </c>
      <c r="M59" t="b">
        <v>1</v>
      </c>
      <c r="N59">
        <f t="shared" si="0"/>
        <v>9</v>
      </c>
      <c r="O59">
        <f t="shared" si="1"/>
        <v>2009</v>
      </c>
      <c r="P59">
        <f t="shared" si="2"/>
        <v>2002</v>
      </c>
    </row>
    <row r="60" spans="1:16" x14ac:dyDescent="0.25">
      <c r="A60" s="2" t="s">
        <v>537</v>
      </c>
      <c r="B60" s="2" t="s">
        <v>538</v>
      </c>
      <c r="C60" s="2" t="s">
        <v>13</v>
      </c>
      <c r="D60" s="25">
        <v>37438</v>
      </c>
      <c r="E60" s="2">
        <v>180</v>
      </c>
      <c r="F60" s="5">
        <v>39675</v>
      </c>
      <c r="G60" s="2"/>
      <c r="H60" s="2"/>
      <c r="I60" s="2"/>
      <c r="J60" s="2"/>
      <c r="K60" s="2" t="s">
        <v>539</v>
      </c>
      <c r="L60" s="96">
        <v>6.1287671232876715</v>
      </c>
      <c r="M60" t="b">
        <v>1</v>
      </c>
      <c r="N60">
        <f t="shared" si="0"/>
        <v>8</v>
      </c>
      <c r="O60">
        <f t="shared" si="1"/>
        <v>2008</v>
      </c>
      <c r="P60">
        <f t="shared" si="2"/>
        <v>2002</v>
      </c>
    </row>
    <row r="61" spans="1:16" x14ac:dyDescent="0.25">
      <c r="A61" s="2" t="s">
        <v>540</v>
      </c>
      <c r="B61" s="2" t="s">
        <v>541</v>
      </c>
      <c r="C61" s="2" t="s">
        <v>23</v>
      </c>
      <c r="D61" s="25">
        <v>39295</v>
      </c>
      <c r="E61" s="2">
        <v>180</v>
      </c>
      <c r="F61" s="5">
        <v>39675</v>
      </c>
      <c r="G61" s="2"/>
      <c r="H61" s="2"/>
      <c r="I61" s="2"/>
      <c r="J61" s="2"/>
      <c r="K61" s="2"/>
      <c r="L61" s="96">
        <v>1.0410958904109588</v>
      </c>
      <c r="M61" t="b">
        <v>1</v>
      </c>
      <c r="N61">
        <f t="shared" si="0"/>
        <v>8</v>
      </c>
      <c r="O61">
        <f t="shared" si="1"/>
        <v>2008</v>
      </c>
      <c r="P61">
        <f t="shared" si="2"/>
        <v>2007</v>
      </c>
    </row>
    <row r="62" spans="1:16" x14ac:dyDescent="0.25">
      <c r="A62" s="2" t="s">
        <v>542</v>
      </c>
      <c r="B62" s="2" t="s">
        <v>543</v>
      </c>
      <c r="C62" s="2" t="s">
        <v>23</v>
      </c>
      <c r="D62" s="25">
        <v>39295</v>
      </c>
      <c r="E62" s="2">
        <v>180</v>
      </c>
      <c r="F62" s="5">
        <v>40436</v>
      </c>
      <c r="G62" s="2"/>
      <c r="H62" s="2"/>
      <c r="I62" s="2"/>
      <c r="J62" s="2"/>
      <c r="K62" s="2"/>
      <c r="L62" s="96">
        <v>3.1260273972602741</v>
      </c>
      <c r="M62" t="b">
        <v>1</v>
      </c>
      <c r="N62">
        <f t="shared" si="0"/>
        <v>9</v>
      </c>
      <c r="O62">
        <f t="shared" si="1"/>
        <v>2010</v>
      </c>
      <c r="P62">
        <f t="shared" si="2"/>
        <v>2007</v>
      </c>
    </row>
    <row r="63" spans="1:16" x14ac:dyDescent="0.25">
      <c r="A63" s="2" t="s">
        <v>544</v>
      </c>
      <c r="B63" s="2" t="s">
        <v>545</v>
      </c>
      <c r="C63" s="2" t="s">
        <v>13</v>
      </c>
      <c r="D63" s="25">
        <v>39295</v>
      </c>
      <c r="E63" s="2">
        <v>180</v>
      </c>
      <c r="F63" s="5">
        <v>39675</v>
      </c>
      <c r="G63" s="2"/>
      <c r="H63" s="2"/>
      <c r="I63" s="2"/>
      <c r="J63" s="2"/>
      <c r="K63" s="2"/>
      <c r="L63" s="96">
        <v>1.0410958904109588</v>
      </c>
      <c r="M63" t="b">
        <v>1</v>
      </c>
      <c r="N63">
        <f t="shared" si="0"/>
        <v>8</v>
      </c>
      <c r="O63">
        <f t="shared" si="1"/>
        <v>2008</v>
      </c>
      <c r="P63">
        <f t="shared" si="2"/>
        <v>2007</v>
      </c>
    </row>
    <row r="64" spans="1:16" x14ac:dyDescent="0.25">
      <c r="A64" s="2" t="s">
        <v>546</v>
      </c>
      <c r="B64" s="2" t="s">
        <v>547</v>
      </c>
      <c r="C64" s="2" t="s">
        <v>23</v>
      </c>
      <c r="D64" s="25">
        <v>39295</v>
      </c>
      <c r="E64" s="2">
        <v>180</v>
      </c>
      <c r="F64" s="5" t="s">
        <v>47</v>
      </c>
      <c r="G64" s="2"/>
      <c r="H64" s="2"/>
      <c r="I64" s="2"/>
      <c r="J64" s="2"/>
      <c r="K64" s="2"/>
      <c r="L64" s="96" t="s">
        <v>47</v>
      </c>
      <c r="M64" t="b">
        <v>0</v>
      </c>
      <c r="N64" s="96" t="s">
        <v>47</v>
      </c>
      <c r="O64" s="96" t="s">
        <v>47</v>
      </c>
      <c r="P64">
        <f t="shared" si="2"/>
        <v>2007</v>
      </c>
    </row>
    <row r="65" spans="1:16" x14ac:dyDescent="0.25">
      <c r="A65" s="2" t="s">
        <v>108</v>
      </c>
      <c r="B65" s="2" t="s">
        <v>109</v>
      </c>
      <c r="C65" s="2" t="s">
        <v>13</v>
      </c>
      <c r="D65" s="25">
        <v>38026</v>
      </c>
      <c r="E65" s="2">
        <v>180</v>
      </c>
      <c r="F65" s="5">
        <v>40405</v>
      </c>
      <c r="G65" s="2"/>
      <c r="H65" s="2"/>
      <c r="I65" s="2"/>
      <c r="J65" s="2"/>
      <c r="K65" s="2"/>
      <c r="L65" s="96">
        <v>6.5178082191780824</v>
      </c>
      <c r="M65" t="b">
        <v>1</v>
      </c>
      <c r="N65">
        <f t="shared" si="0"/>
        <v>8</v>
      </c>
      <c r="O65">
        <f t="shared" si="1"/>
        <v>2010</v>
      </c>
      <c r="P65">
        <f t="shared" si="2"/>
        <v>2004</v>
      </c>
    </row>
    <row r="66" spans="1:16" x14ac:dyDescent="0.25">
      <c r="A66" s="2" t="s">
        <v>110</v>
      </c>
      <c r="B66" s="2" t="s">
        <v>111</v>
      </c>
      <c r="C66" s="2" t="s">
        <v>13</v>
      </c>
      <c r="D66" s="25">
        <v>37661</v>
      </c>
      <c r="E66" s="2">
        <v>180</v>
      </c>
      <c r="F66" s="5">
        <v>41197</v>
      </c>
      <c r="G66" s="2"/>
      <c r="H66" s="2"/>
      <c r="I66" s="2"/>
      <c r="J66" s="2"/>
      <c r="K66" s="2"/>
      <c r="L66" s="96">
        <v>9.6876712328767116</v>
      </c>
      <c r="M66" t="b">
        <v>1</v>
      </c>
      <c r="N66">
        <f t="shared" si="0"/>
        <v>10</v>
      </c>
      <c r="O66">
        <f t="shared" si="1"/>
        <v>2012</v>
      </c>
      <c r="P66">
        <f t="shared" si="2"/>
        <v>2003</v>
      </c>
    </row>
    <row r="67" spans="1:16" x14ac:dyDescent="0.25">
      <c r="A67" s="2" t="s">
        <v>112</v>
      </c>
      <c r="B67" s="2" t="s">
        <v>113</v>
      </c>
      <c r="C67" s="2" t="s">
        <v>13</v>
      </c>
      <c r="D67" s="25">
        <v>37661</v>
      </c>
      <c r="E67" s="2">
        <v>180</v>
      </c>
      <c r="F67" s="5">
        <v>41197</v>
      </c>
      <c r="G67" s="2"/>
      <c r="H67" s="2"/>
      <c r="I67" s="2"/>
      <c r="J67" s="2"/>
      <c r="K67" s="2"/>
      <c r="L67" s="96">
        <v>9.6876712328767116</v>
      </c>
      <c r="M67" t="b">
        <v>1</v>
      </c>
      <c r="N67">
        <f t="shared" ref="N67:N130" si="3">MONTH(F67)</f>
        <v>10</v>
      </c>
      <c r="O67">
        <f t="shared" ref="O67:O130" si="4">YEAR(F67)</f>
        <v>2012</v>
      </c>
      <c r="P67">
        <f t="shared" ref="P67:P130" si="5">YEAR(D67)</f>
        <v>2003</v>
      </c>
    </row>
    <row r="68" spans="1:16" x14ac:dyDescent="0.25">
      <c r="A68" s="2" t="s">
        <v>114</v>
      </c>
      <c r="B68" s="2" t="s">
        <v>115</v>
      </c>
      <c r="C68" s="2" t="s">
        <v>13</v>
      </c>
      <c r="D68" s="25">
        <v>36568</v>
      </c>
      <c r="E68" s="2">
        <v>180</v>
      </c>
      <c r="F68" s="5" t="s">
        <v>47</v>
      </c>
      <c r="G68" s="2"/>
      <c r="H68" s="2"/>
      <c r="I68" s="2"/>
      <c r="J68" s="2"/>
      <c r="K68" s="2"/>
      <c r="L68" s="96" t="s">
        <v>47</v>
      </c>
      <c r="M68" t="b">
        <v>0</v>
      </c>
      <c r="N68" s="96" t="s">
        <v>47</v>
      </c>
      <c r="O68" s="96" t="s">
        <v>47</v>
      </c>
      <c r="P68">
        <f t="shared" si="5"/>
        <v>2000</v>
      </c>
    </row>
    <row r="69" spans="1:16" x14ac:dyDescent="0.25">
      <c r="A69" s="2" t="s">
        <v>116</v>
      </c>
      <c r="B69" s="2" t="s">
        <v>117</v>
      </c>
      <c r="C69" s="2" t="s">
        <v>23</v>
      </c>
      <c r="D69" s="25">
        <v>39448</v>
      </c>
      <c r="E69" s="2">
        <v>90</v>
      </c>
      <c r="F69" s="5">
        <v>40801</v>
      </c>
      <c r="G69" s="2"/>
      <c r="H69" s="2"/>
      <c r="I69" s="2"/>
      <c r="J69" s="2"/>
      <c r="K69" s="2"/>
      <c r="L69" s="96">
        <v>3.7068493150684931</v>
      </c>
      <c r="M69" t="b">
        <v>1</v>
      </c>
      <c r="N69">
        <f t="shared" si="3"/>
        <v>9</v>
      </c>
      <c r="O69">
        <f t="shared" si="4"/>
        <v>2011</v>
      </c>
      <c r="P69">
        <f t="shared" si="5"/>
        <v>2008</v>
      </c>
    </row>
    <row r="70" spans="1:16" x14ac:dyDescent="0.25">
      <c r="A70" s="2" t="s">
        <v>197</v>
      </c>
      <c r="B70" s="2" t="s">
        <v>198</v>
      </c>
      <c r="C70" s="2" t="s">
        <v>13</v>
      </c>
      <c r="D70" s="25">
        <v>38964</v>
      </c>
      <c r="E70" s="2">
        <v>180</v>
      </c>
      <c r="F70" s="5">
        <v>40040</v>
      </c>
      <c r="G70" s="2"/>
      <c r="H70" s="2"/>
      <c r="I70" s="2"/>
      <c r="J70" s="2"/>
      <c r="K70" s="2"/>
      <c r="L70" s="96">
        <v>2.9479452054794519</v>
      </c>
      <c r="M70" t="b">
        <v>1</v>
      </c>
      <c r="N70">
        <f t="shared" si="3"/>
        <v>8</v>
      </c>
      <c r="O70">
        <f t="shared" si="4"/>
        <v>2009</v>
      </c>
      <c r="P70">
        <f t="shared" si="5"/>
        <v>2006</v>
      </c>
    </row>
    <row r="71" spans="1:16" x14ac:dyDescent="0.25">
      <c r="A71" s="2" t="s">
        <v>199</v>
      </c>
      <c r="B71" s="2" t="s">
        <v>200</v>
      </c>
      <c r="C71" s="2" t="s">
        <v>13</v>
      </c>
      <c r="D71" s="25">
        <v>38102</v>
      </c>
      <c r="E71" s="2">
        <v>180</v>
      </c>
      <c r="F71" s="5">
        <v>40040</v>
      </c>
      <c r="G71" s="2"/>
      <c r="H71" s="2"/>
      <c r="I71" s="2"/>
      <c r="J71" s="2"/>
      <c r="K71" s="2"/>
      <c r="L71" s="96">
        <v>5.3095890410958901</v>
      </c>
      <c r="M71" t="b">
        <v>1</v>
      </c>
      <c r="N71">
        <f t="shared" si="3"/>
        <v>8</v>
      </c>
      <c r="O71">
        <f t="shared" si="4"/>
        <v>2009</v>
      </c>
      <c r="P71">
        <f t="shared" si="5"/>
        <v>2004</v>
      </c>
    </row>
    <row r="72" spans="1:16" x14ac:dyDescent="0.25">
      <c r="A72" s="2" t="s">
        <v>269</v>
      </c>
      <c r="B72" s="2" t="s">
        <v>270</v>
      </c>
      <c r="C72" s="2" t="s">
        <v>23</v>
      </c>
      <c r="D72" s="25">
        <v>38565</v>
      </c>
      <c r="E72" s="2">
        <v>180</v>
      </c>
      <c r="F72" s="5">
        <v>40101</v>
      </c>
      <c r="G72" s="2"/>
      <c r="H72" s="2"/>
      <c r="I72" s="2"/>
      <c r="J72" s="2"/>
      <c r="K72" s="2"/>
      <c r="L72" s="96">
        <v>4.2082191780821914</v>
      </c>
      <c r="M72" t="b">
        <v>1</v>
      </c>
      <c r="N72">
        <f t="shared" si="3"/>
        <v>10</v>
      </c>
      <c r="O72">
        <f t="shared" si="4"/>
        <v>2009</v>
      </c>
      <c r="P72">
        <f t="shared" si="5"/>
        <v>2005</v>
      </c>
    </row>
    <row r="73" spans="1:16" x14ac:dyDescent="0.25">
      <c r="A73" s="2" t="s">
        <v>237</v>
      </c>
      <c r="B73" s="2" t="s">
        <v>238</v>
      </c>
      <c r="C73" s="2" t="s">
        <v>13</v>
      </c>
      <c r="D73" s="25">
        <v>37601</v>
      </c>
      <c r="E73" s="2">
        <v>180</v>
      </c>
      <c r="F73" s="5">
        <v>40709</v>
      </c>
      <c r="G73" s="2"/>
      <c r="H73" s="2"/>
      <c r="I73" s="2"/>
      <c r="J73" s="2"/>
      <c r="K73" s="2"/>
      <c r="L73" s="96">
        <v>8.5150684931506841</v>
      </c>
      <c r="M73" t="b">
        <v>1</v>
      </c>
      <c r="N73">
        <f t="shared" si="3"/>
        <v>6</v>
      </c>
      <c r="O73">
        <f t="shared" si="4"/>
        <v>2011</v>
      </c>
      <c r="P73">
        <f t="shared" si="5"/>
        <v>2002</v>
      </c>
    </row>
    <row r="74" spans="1:16" x14ac:dyDescent="0.25">
      <c r="A74" s="2" t="s">
        <v>239</v>
      </c>
      <c r="B74" s="2" t="s">
        <v>240</v>
      </c>
      <c r="C74" s="2" t="s">
        <v>13</v>
      </c>
      <c r="D74" s="25">
        <v>37601</v>
      </c>
      <c r="E74" s="2">
        <v>180</v>
      </c>
      <c r="F74" s="5">
        <v>41197</v>
      </c>
      <c r="G74" s="2"/>
      <c r="H74" s="2"/>
      <c r="I74" s="2"/>
      <c r="J74" s="2"/>
      <c r="K74" s="2"/>
      <c r="L74" s="96">
        <v>9.8520547945205479</v>
      </c>
      <c r="M74" t="b">
        <v>1</v>
      </c>
      <c r="N74">
        <f t="shared" si="3"/>
        <v>10</v>
      </c>
      <c r="O74">
        <f t="shared" si="4"/>
        <v>2012</v>
      </c>
      <c r="P74">
        <f t="shared" si="5"/>
        <v>2002</v>
      </c>
    </row>
    <row r="75" spans="1:16" x14ac:dyDescent="0.25">
      <c r="A75" s="2" t="s">
        <v>241</v>
      </c>
      <c r="B75" s="2" t="s">
        <v>242</v>
      </c>
      <c r="C75" s="2" t="s">
        <v>23</v>
      </c>
      <c r="D75" s="25">
        <v>38961</v>
      </c>
      <c r="E75" s="2">
        <v>90</v>
      </c>
      <c r="F75" s="5" t="s">
        <v>47</v>
      </c>
      <c r="G75" s="2"/>
      <c r="H75" s="2"/>
      <c r="I75" s="2"/>
      <c r="J75" s="2"/>
      <c r="K75" s="2"/>
      <c r="L75" s="96" t="s">
        <v>47</v>
      </c>
      <c r="M75" t="b">
        <v>0</v>
      </c>
      <c r="N75" s="96" t="s">
        <v>47</v>
      </c>
      <c r="O75" s="96" t="s">
        <v>47</v>
      </c>
      <c r="P75">
        <f t="shared" si="5"/>
        <v>2006</v>
      </c>
    </row>
    <row r="76" spans="1:16" x14ac:dyDescent="0.25">
      <c r="A76" s="2" t="s">
        <v>243</v>
      </c>
      <c r="B76" s="2" t="s">
        <v>244</v>
      </c>
      <c r="C76" s="2" t="s">
        <v>23</v>
      </c>
      <c r="D76" s="25">
        <v>38961</v>
      </c>
      <c r="E76" s="2">
        <v>90</v>
      </c>
      <c r="F76" s="5" t="s">
        <v>47</v>
      </c>
      <c r="G76" s="2"/>
      <c r="H76" s="2"/>
      <c r="I76" s="2"/>
      <c r="J76" s="2"/>
      <c r="K76" s="2"/>
      <c r="L76" s="96" t="s">
        <v>47</v>
      </c>
      <c r="M76" t="b">
        <v>0</v>
      </c>
      <c r="N76" s="96" t="s">
        <v>47</v>
      </c>
      <c r="O76" s="96" t="s">
        <v>47</v>
      </c>
      <c r="P76">
        <f t="shared" si="5"/>
        <v>2006</v>
      </c>
    </row>
    <row r="77" spans="1:16" x14ac:dyDescent="0.25">
      <c r="A77" s="2" t="s">
        <v>514</v>
      </c>
      <c r="B77" s="2" t="s">
        <v>515</v>
      </c>
      <c r="C77" s="2" t="s">
        <v>23</v>
      </c>
      <c r="D77" s="25">
        <v>37987</v>
      </c>
      <c r="E77" s="2">
        <v>700</v>
      </c>
      <c r="F77" s="5">
        <v>39736</v>
      </c>
      <c r="G77" s="2"/>
      <c r="H77" s="2"/>
      <c r="I77" s="2"/>
      <c r="J77" s="2"/>
      <c r="K77" s="2" t="s">
        <v>516</v>
      </c>
      <c r="L77" s="96">
        <v>4.7917808219178086</v>
      </c>
      <c r="M77" t="b">
        <v>1</v>
      </c>
      <c r="N77">
        <f t="shared" si="3"/>
        <v>10</v>
      </c>
      <c r="O77">
        <f t="shared" si="4"/>
        <v>2008</v>
      </c>
      <c r="P77">
        <f t="shared" si="5"/>
        <v>2004</v>
      </c>
    </row>
    <row r="78" spans="1:16" x14ac:dyDescent="0.25">
      <c r="A78" s="2" t="s">
        <v>480</v>
      </c>
      <c r="B78" s="2" t="s">
        <v>481</v>
      </c>
      <c r="C78" s="2" t="s">
        <v>13</v>
      </c>
      <c r="D78" s="25">
        <v>38780</v>
      </c>
      <c r="E78" s="2">
        <v>180</v>
      </c>
      <c r="F78" s="5">
        <v>39736</v>
      </c>
      <c r="G78" s="25">
        <v>40726</v>
      </c>
      <c r="H78" s="2" t="s">
        <v>155</v>
      </c>
      <c r="I78" s="2"/>
      <c r="J78" s="2"/>
      <c r="K78" s="2"/>
      <c r="L78" s="96">
        <v>2.6191780821917807</v>
      </c>
      <c r="M78" t="b">
        <v>1</v>
      </c>
      <c r="N78">
        <f t="shared" si="3"/>
        <v>10</v>
      </c>
      <c r="O78">
        <f t="shared" si="4"/>
        <v>2008</v>
      </c>
      <c r="P78">
        <f t="shared" si="5"/>
        <v>2006</v>
      </c>
    </row>
    <row r="79" spans="1:16" x14ac:dyDescent="0.25">
      <c r="A79" s="2" t="s">
        <v>482</v>
      </c>
      <c r="B79" s="2" t="s">
        <v>483</v>
      </c>
      <c r="C79" s="2" t="s">
        <v>13</v>
      </c>
      <c r="D79" s="25">
        <v>37917</v>
      </c>
      <c r="E79" s="2">
        <v>180</v>
      </c>
      <c r="F79" s="5">
        <v>39736</v>
      </c>
      <c r="G79" s="2"/>
      <c r="H79" s="2"/>
      <c r="I79" s="2"/>
      <c r="J79" s="2"/>
      <c r="K79" s="2"/>
      <c r="L79" s="96">
        <v>4.9835616438356167</v>
      </c>
      <c r="M79" t="b">
        <v>1</v>
      </c>
      <c r="N79">
        <f t="shared" si="3"/>
        <v>10</v>
      </c>
      <c r="O79">
        <f t="shared" si="4"/>
        <v>2008</v>
      </c>
      <c r="P79">
        <f t="shared" si="5"/>
        <v>2003</v>
      </c>
    </row>
    <row r="80" spans="1:16" x14ac:dyDescent="0.25">
      <c r="A80" s="2" t="s">
        <v>484</v>
      </c>
      <c r="B80" s="2" t="s">
        <v>485</v>
      </c>
      <c r="C80" s="2" t="s">
        <v>13</v>
      </c>
      <c r="D80" s="25">
        <v>37378</v>
      </c>
      <c r="E80" s="2">
        <v>180</v>
      </c>
      <c r="F80" s="5">
        <v>39736</v>
      </c>
      <c r="G80" s="2"/>
      <c r="H80" s="2"/>
      <c r="I80" s="2"/>
      <c r="J80" s="2"/>
      <c r="K80" s="2"/>
      <c r="L80" s="96">
        <v>6.4602739726027396</v>
      </c>
      <c r="M80" t="b">
        <v>1</v>
      </c>
      <c r="N80">
        <f t="shared" si="3"/>
        <v>10</v>
      </c>
      <c r="O80">
        <f t="shared" si="4"/>
        <v>2008</v>
      </c>
      <c r="P80">
        <f t="shared" si="5"/>
        <v>2002</v>
      </c>
    </row>
    <row r="81" spans="1:16" x14ac:dyDescent="0.25">
      <c r="A81" s="2" t="s">
        <v>486</v>
      </c>
      <c r="B81" s="2" t="s">
        <v>487</v>
      </c>
      <c r="C81" s="2" t="s">
        <v>13</v>
      </c>
      <c r="D81" s="25">
        <v>36943</v>
      </c>
      <c r="E81" s="2">
        <v>180</v>
      </c>
      <c r="F81" s="5">
        <v>39736</v>
      </c>
      <c r="G81" s="25">
        <v>40288</v>
      </c>
      <c r="H81" s="2" t="s">
        <v>155</v>
      </c>
      <c r="I81" s="2"/>
      <c r="J81" s="2"/>
      <c r="K81" s="2" t="s">
        <v>488</v>
      </c>
      <c r="L81" s="96">
        <v>7.6520547945205477</v>
      </c>
      <c r="M81" t="b">
        <v>1</v>
      </c>
      <c r="N81">
        <f t="shared" si="3"/>
        <v>10</v>
      </c>
      <c r="O81">
        <f t="shared" si="4"/>
        <v>2008</v>
      </c>
      <c r="P81">
        <f t="shared" si="5"/>
        <v>2001</v>
      </c>
    </row>
    <row r="82" spans="1:16" x14ac:dyDescent="0.25">
      <c r="A82" s="2" t="s">
        <v>489</v>
      </c>
      <c r="B82" s="2" t="s">
        <v>490</v>
      </c>
      <c r="C82" s="2" t="s">
        <v>13</v>
      </c>
      <c r="D82" s="25">
        <v>37085</v>
      </c>
      <c r="E82" s="2">
        <v>180</v>
      </c>
      <c r="F82" s="5">
        <v>39736</v>
      </c>
      <c r="G82" s="2"/>
      <c r="H82" s="2"/>
      <c r="I82" s="2"/>
      <c r="J82" s="2"/>
      <c r="K82" s="2"/>
      <c r="L82" s="96">
        <v>7.2630136986301368</v>
      </c>
      <c r="M82" t="b">
        <v>1</v>
      </c>
      <c r="N82">
        <f t="shared" si="3"/>
        <v>10</v>
      </c>
      <c r="O82">
        <f t="shared" si="4"/>
        <v>2008</v>
      </c>
      <c r="P82">
        <f t="shared" si="5"/>
        <v>2001</v>
      </c>
    </row>
    <row r="83" spans="1:16" x14ac:dyDescent="0.25">
      <c r="A83" s="2" t="s">
        <v>517</v>
      </c>
      <c r="B83" s="2" t="s">
        <v>518</v>
      </c>
      <c r="C83" s="2" t="s">
        <v>23</v>
      </c>
      <c r="D83" s="25">
        <v>39539</v>
      </c>
      <c r="E83" s="2">
        <v>90</v>
      </c>
      <c r="F83" s="5">
        <v>39736</v>
      </c>
      <c r="G83" s="2"/>
      <c r="H83" s="2"/>
      <c r="I83" s="2"/>
      <c r="J83" s="2"/>
      <c r="K83" s="2"/>
      <c r="L83" s="96">
        <v>0.53972602739726028</v>
      </c>
      <c r="M83" t="b">
        <v>1</v>
      </c>
      <c r="N83">
        <f t="shared" si="3"/>
        <v>10</v>
      </c>
      <c r="O83">
        <f t="shared" si="4"/>
        <v>2008</v>
      </c>
      <c r="P83">
        <f t="shared" si="5"/>
        <v>2008</v>
      </c>
    </row>
    <row r="84" spans="1:16" x14ac:dyDescent="0.25">
      <c r="A84" s="2" t="s">
        <v>519</v>
      </c>
      <c r="B84" s="2" t="s">
        <v>520</v>
      </c>
      <c r="C84" s="2" t="s">
        <v>23</v>
      </c>
      <c r="D84" s="25">
        <v>39539</v>
      </c>
      <c r="E84" s="2">
        <v>90</v>
      </c>
      <c r="F84" s="5">
        <v>39736</v>
      </c>
      <c r="G84" s="2"/>
      <c r="H84" s="2"/>
      <c r="I84" s="2"/>
      <c r="J84" s="2"/>
      <c r="K84" s="2"/>
      <c r="L84" s="96">
        <v>0.53972602739726028</v>
      </c>
      <c r="M84" t="b">
        <v>1</v>
      </c>
      <c r="N84">
        <f t="shared" si="3"/>
        <v>10</v>
      </c>
      <c r="O84">
        <f t="shared" si="4"/>
        <v>2008</v>
      </c>
      <c r="P84">
        <f t="shared" si="5"/>
        <v>2008</v>
      </c>
    </row>
    <row r="85" spans="1:16" x14ac:dyDescent="0.25">
      <c r="A85" s="2" t="s">
        <v>491</v>
      </c>
      <c r="B85" s="2" t="s">
        <v>492</v>
      </c>
      <c r="C85" s="2" t="s">
        <v>13</v>
      </c>
      <c r="D85" s="25">
        <v>39539</v>
      </c>
      <c r="E85" s="2">
        <v>90</v>
      </c>
      <c r="F85" s="5">
        <v>39736</v>
      </c>
      <c r="G85" s="2"/>
      <c r="H85" s="2"/>
      <c r="I85" s="2"/>
      <c r="J85" s="2"/>
      <c r="K85" s="2"/>
      <c r="L85" s="96">
        <v>0.53972602739726028</v>
      </c>
      <c r="M85" t="b">
        <v>1</v>
      </c>
      <c r="N85">
        <f t="shared" si="3"/>
        <v>10</v>
      </c>
      <c r="O85">
        <f t="shared" si="4"/>
        <v>2008</v>
      </c>
      <c r="P85">
        <f t="shared" si="5"/>
        <v>2008</v>
      </c>
    </row>
    <row r="86" spans="1:16" x14ac:dyDescent="0.25">
      <c r="A86" s="2" t="s">
        <v>521</v>
      </c>
      <c r="B86" s="2" t="s">
        <v>522</v>
      </c>
      <c r="C86" s="2" t="s">
        <v>23</v>
      </c>
      <c r="D86" s="25">
        <v>38777</v>
      </c>
      <c r="E86" s="2">
        <v>180</v>
      </c>
      <c r="F86" s="5">
        <v>39736</v>
      </c>
      <c r="G86" s="2"/>
      <c r="H86" s="2"/>
      <c r="I86" s="2"/>
      <c r="J86" s="2"/>
      <c r="K86" s="2"/>
      <c r="L86" s="96">
        <v>2.6273972602739728</v>
      </c>
      <c r="M86" t="b">
        <v>1</v>
      </c>
      <c r="N86">
        <f t="shared" si="3"/>
        <v>10</v>
      </c>
      <c r="O86">
        <f t="shared" si="4"/>
        <v>2008</v>
      </c>
      <c r="P86">
        <f t="shared" si="5"/>
        <v>2006</v>
      </c>
    </row>
    <row r="87" spans="1:16" x14ac:dyDescent="0.25">
      <c r="A87" s="2" t="s">
        <v>523</v>
      </c>
      <c r="B87" s="2" t="s">
        <v>524</v>
      </c>
      <c r="C87" s="2" t="s">
        <v>23</v>
      </c>
      <c r="D87" s="25">
        <v>38777</v>
      </c>
      <c r="E87" s="2">
        <v>180</v>
      </c>
      <c r="F87" s="5">
        <v>39736</v>
      </c>
      <c r="G87" s="2"/>
      <c r="H87" s="2"/>
      <c r="I87" s="2"/>
      <c r="J87" s="2"/>
      <c r="K87" s="2"/>
      <c r="L87" s="96">
        <v>2.6273972602739728</v>
      </c>
      <c r="M87" t="b">
        <v>1</v>
      </c>
      <c r="N87">
        <f t="shared" si="3"/>
        <v>10</v>
      </c>
      <c r="O87">
        <f t="shared" si="4"/>
        <v>2008</v>
      </c>
      <c r="P87">
        <f t="shared" si="5"/>
        <v>2006</v>
      </c>
    </row>
    <row r="88" spans="1:16" x14ac:dyDescent="0.25">
      <c r="A88" s="2" t="s">
        <v>14</v>
      </c>
      <c r="B88" s="2" t="s">
        <v>15</v>
      </c>
      <c r="C88" s="2" t="s">
        <v>13</v>
      </c>
      <c r="D88" s="25">
        <v>39508</v>
      </c>
      <c r="E88" s="2">
        <v>90</v>
      </c>
      <c r="F88" s="5">
        <v>39918</v>
      </c>
      <c r="G88" s="2"/>
      <c r="H88" s="2"/>
      <c r="I88" s="2"/>
      <c r="J88" s="2"/>
      <c r="K88" s="2" t="s">
        <v>16</v>
      </c>
      <c r="L88" s="96">
        <v>1.1232876712328768</v>
      </c>
      <c r="M88" t="b">
        <v>1</v>
      </c>
      <c r="N88">
        <f t="shared" si="3"/>
        <v>4</v>
      </c>
      <c r="O88">
        <f t="shared" si="4"/>
        <v>2009</v>
      </c>
      <c r="P88">
        <f t="shared" si="5"/>
        <v>2008</v>
      </c>
    </row>
    <row r="89" spans="1:16" x14ac:dyDescent="0.25">
      <c r="A89" s="2" t="s">
        <v>17</v>
      </c>
      <c r="B89" s="2" t="s">
        <v>18</v>
      </c>
      <c r="C89" s="2" t="s">
        <v>13</v>
      </c>
      <c r="D89" s="25">
        <v>39508</v>
      </c>
      <c r="E89" s="2">
        <v>90</v>
      </c>
      <c r="F89" s="5">
        <v>39736</v>
      </c>
      <c r="G89" s="2"/>
      <c r="H89" s="2"/>
      <c r="I89" s="2"/>
      <c r="J89" s="2"/>
      <c r="K89" s="2"/>
      <c r="L89" s="96">
        <v>0.62465753424657533</v>
      </c>
      <c r="M89" t="b">
        <v>1</v>
      </c>
      <c r="N89">
        <f t="shared" si="3"/>
        <v>10</v>
      </c>
      <c r="O89">
        <f t="shared" si="4"/>
        <v>2008</v>
      </c>
      <c r="P89">
        <f t="shared" si="5"/>
        <v>2008</v>
      </c>
    </row>
    <row r="90" spans="1:16" x14ac:dyDescent="0.25">
      <c r="A90" s="2" t="s">
        <v>19</v>
      </c>
      <c r="B90" s="2" t="s">
        <v>20</v>
      </c>
      <c r="C90" s="2" t="s">
        <v>13</v>
      </c>
      <c r="D90" s="25">
        <v>39508</v>
      </c>
      <c r="E90" s="2">
        <v>90</v>
      </c>
      <c r="F90" s="5">
        <v>39736</v>
      </c>
      <c r="G90" s="2"/>
      <c r="H90" s="2"/>
      <c r="I90" s="2"/>
      <c r="J90" s="2"/>
      <c r="K90" s="2"/>
      <c r="L90" s="96">
        <v>0.62465753424657533</v>
      </c>
      <c r="M90" t="b">
        <v>1</v>
      </c>
      <c r="N90">
        <f t="shared" si="3"/>
        <v>10</v>
      </c>
      <c r="O90">
        <f t="shared" si="4"/>
        <v>2008</v>
      </c>
      <c r="P90">
        <f t="shared" si="5"/>
        <v>2008</v>
      </c>
    </row>
    <row r="91" spans="1:16" x14ac:dyDescent="0.25">
      <c r="A91" s="2" t="s">
        <v>21</v>
      </c>
      <c r="B91" s="2" t="s">
        <v>22</v>
      </c>
      <c r="C91" s="2" t="s">
        <v>23</v>
      </c>
      <c r="D91" s="25">
        <v>39569</v>
      </c>
      <c r="E91" s="2">
        <v>90</v>
      </c>
      <c r="F91" s="5">
        <v>39918</v>
      </c>
      <c r="G91" s="2"/>
      <c r="H91" s="2"/>
      <c r="I91" s="2"/>
      <c r="J91" s="2"/>
      <c r="K91" s="2"/>
      <c r="L91" s="96">
        <v>0.95616438356164379</v>
      </c>
      <c r="M91" t="b">
        <v>1</v>
      </c>
      <c r="N91">
        <f t="shared" si="3"/>
        <v>4</v>
      </c>
      <c r="O91">
        <f t="shared" si="4"/>
        <v>2009</v>
      </c>
      <c r="P91">
        <f t="shared" si="5"/>
        <v>2008</v>
      </c>
    </row>
    <row r="92" spans="1:16" x14ac:dyDescent="0.25">
      <c r="A92" s="2" t="s">
        <v>24</v>
      </c>
      <c r="B92" s="2" t="s">
        <v>25</v>
      </c>
      <c r="C92" s="2" t="s">
        <v>23</v>
      </c>
      <c r="D92" s="25">
        <v>39569</v>
      </c>
      <c r="E92" s="2">
        <v>90</v>
      </c>
      <c r="F92" s="5">
        <v>39918</v>
      </c>
      <c r="G92" s="2"/>
      <c r="H92" s="2"/>
      <c r="I92" s="2"/>
      <c r="J92" s="2"/>
      <c r="K92" s="2"/>
      <c r="L92" s="96">
        <v>0.95616438356164379</v>
      </c>
      <c r="M92" t="b">
        <v>1</v>
      </c>
      <c r="N92">
        <f t="shared" si="3"/>
        <v>4</v>
      </c>
      <c r="O92">
        <f t="shared" si="4"/>
        <v>2009</v>
      </c>
      <c r="P92">
        <f t="shared" si="5"/>
        <v>2008</v>
      </c>
    </row>
    <row r="93" spans="1:16" x14ac:dyDescent="0.25">
      <c r="A93" s="2" t="s">
        <v>26</v>
      </c>
      <c r="B93" s="2" t="s">
        <v>27</v>
      </c>
      <c r="C93" s="2" t="s">
        <v>13</v>
      </c>
      <c r="D93" s="25">
        <v>39136</v>
      </c>
      <c r="E93" s="2">
        <v>180</v>
      </c>
      <c r="F93" s="5">
        <v>39736</v>
      </c>
      <c r="G93" s="2"/>
      <c r="H93" s="2"/>
      <c r="I93" s="2"/>
      <c r="J93" s="2"/>
      <c r="K93" s="2"/>
      <c r="L93" s="96">
        <v>1.6438356164383561</v>
      </c>
      <c r="M93" t="b">
        <v>1</v>
      </c>
      <c r="N93">
        <f t="shared" si="3"/>
        <v>10</v>
      </c>
      <c r="O93">
        <f t="shared" si="4"/>
        <v>2008</v>
      </c>
      <c r="P93">
        <f t="shared" si="5"/>
        <v>2007</v>
      </c>
    </row>
    <row r="94" spans="1:16" x14ac:dyDescent="0.25">
      <c r="A94" s="2" t="s">
        <v>29</v>
      </c>
      <c r="B94" s="2" t="s">
        <v>30</v>
      </c>
      <c r="C94" s="2" t="s">
        <v>13</v>
      </c>
      <c r="D94" s="25">
        <v>38278</v>
      </c>
      <c r="E94" s="2">
        <v>180</v>
      </c>
      <c r="F94" s="5">
        <v>39918</v>
      </c>
      <c r="G94" s="2"/>
      <c r="H94" s="2"/>
      <c r="I94" s="2"/>
      <c r="J94" s="2"/>
      <c r="K94" s="2"/>
      <c r="L94" s="96">
        <v>4.493150684931507</v>
      </c>
      <c r="M94" t="b">
        <v>1</v>
      </c>
      <c r="N94">
        <f t="shared" si="3"/>
        <v>4</v>
      </c>
      <c r="O94">
        <f t="shared" si="4"/>
        <v>2009</v>
      </c>
      <c r="P94">
        <f t="shared" si="5"/>
        <v>2004</v>
      </c>
    </row>
    <row r="95" spans="1:16" x14ac:dyDescent="0.25">
      <c r="A95" s="2" t="s">
        <v>31</v>
      </c>
      <c r="B95" s="2" t="s">
        <v>32</v>
      </c>
      <c r="C95" s="2" t="s">
        <v>13</v>
      </c>
      <c r="D95" s="25">
        <v>37681</v>
      </c>
      <c r="E95" s="2">
        <v>180</v>
      </c>
      <c r="F95" s="5">
        <v>39736</v>
      </c>
      <c r="G95" s="2"/>
      <c r="H95" s="2"/>
      <c r="I95" s="2"/>
      <c r="J95" s="2"/>
      <c r="K95" s="2"/>
      <c r="L95" s="96">
        <v>5.6301369863013697</v>
      </c>
      <c r="M95" t="b">
        <v>1</v>
      </c>
      <c r="N95">
        <f t="shared" si="3"/>
        <v>10</v>
      </c>
      <c r="O95">
        <f t="shared" si="4"/>
        <v>2008</v>
      </c>
      <c r="P95">
        <f t="shared" si="5"/>
        <v>2003</v>
      </c>
    </row>
    <row r="96" spans="1:16" x14ac:dyDescent="0.25">
      <c r="A96" s="2" t="s">
        <v>33</v>
      </c>
      <c r="B96" s="2" t="s">
        <v>34</v>
      </c>
      <c r="C96" s="2" t="s">
        <v>23</v>
      </c>
      <c r="D96" s="25">
        <v>39173</v>
      </c>
      <c r="E96" s="2">
        <v>90</v>
      </c>
      <c r="F96" s="5">
        <v>39918</v>
      </c>
      <c r="G96" s="2"/>
      <c r="H96" s="2"/>
      <c r="I96" s="2"/>
      <c r="J96" s="2"/>
      <c r="K96" s="2"/>
      <c r="L96" s="96">
        <v>2.0410958904109591</v>
      </c>
      <c r="M96" t="b">
        <v>1</v>
      </c>
      <c r="N96">
        <f t="shared" si="3"/>
        <v>4</v>
      </c>
      <c r="O96">
        <f t="shared" si="4"/>
        <v>2009</v>
      </c>
      <c r="P96">
        <f t="shared" si="5"/>
        <v>2007</v>
      </c>
    </row>
    <row r="97" spans="1:16" x14ac:dyDescent="0.25">
      <c r="A97" s="2" t="s">
        <v>118</v>
      </c>
      <c r="B97" s="2" t="s">
        <v>119</v>
      </c>
      <c r="C97" s="2" t="s">
        <v>13</v>
      </c>
      <c r="D97" s="25">
        <v>38740</v>
      </c>
      <c r="E97" s="2">
        <v>180</v>
      </c>
      <c r="F97" s="5">
        <v>40405</v>
      </c>
      <c r="G97" s="2"/>
      <c r="H97" s="2"/>
      <c r="I97" s="2"/>
      <c r="J97" s="2"/>
      <c r="K97" s="2"/>
      <c r="L97" s="96">
        <v>4.5616438356164384</v>
      </c>
      <c r="M97" t="b">
        <v>1</v>
      </c>
      <c r="N97">
        <f t="shared" si="3"/>
        <v>8</v>
      </c>
      <c r="O97">
        <f t="shared" si="4"/>
        <v>2010</v>
      </c>
      <c r="P97">
        <f t="shared" si="5"/>
        <v>2006</v>
      </c>
    </row>
    <row r="98" spans="1:16" x14ac:dyDescent="0.25">
      <c r="A98" s="2" t="s">
        <v>120</v>
      </c>
      <c r="B98" s="2" t="s">
        <v>121</v>
      </c>
      <c r="C98" s="2" t="s">
        <v>23</v>
      </c>
      <c r="D98" s="25">
        <v>38991</v>
      </c>
      <c r="E98" s="2">
        <v>180</v>
      </c>
      <c r="F98" s="5">
        <v>40009</v>
      </c>
      <c r="G98" s="2"/>
      <c r="H98" s="2"/>
      <c r="I98" s="2"/>
      <c r="J98" s="2"/>
      <c r="K98" s="2"/>
      <c r="L98" s="96">
        <v>2.7890410958904108</v>
      </c>
      <c r="M98" t="b">
        <v>1</v>
      </c>
      <c r="N98">
        <f t="shared" si="3"/>
        <v>7</v>
      </c>
      <c r="O98">
        <f t="shared" si="4"/>
        <v>2009</v>
      </c>
      <c r="P98">
        <f t="shared" si="5"/>
        <v>2006</v>
      </c>
    </row>
    <row r="99" spans="1:16" x14ac:dyDescent="0.25">
      <c r="A99" s="2" t="s">
        <v>201</v>
      </c>
      <c r="B99" s="2" t="s">
        <v>202</v>
      </c>
      <c r="C99" s="2" t="s">
        <v>13</v>
      </c>
      <c r="D99" s="25">
        <v>38360</v>
      </c>
      <c r="E99" s="2">
        <v>180</v>
      </c>
      <c r="F99" s="5">
        <v>40040</v>
      </c>
      <c r="G99" s="2"/>
      <c r="H99" s="2"/>
      <c r="I99" s="2"/>
      <c r="J99" s="2"/>
      <c r="K99" s="2"/>
      <c r="L99" s="96">
        <v>4.602739726027397</v>
      </c>
      <c r="M99" t="b">
        <v>1</v>
      </c>
      <c r="N99">
        <f t="shared" si="3"/>
        <v>8</v>
      </c>
      <c r="O99">
        <f t="shared" si="4"/>
        <v>2009</v>
      </c>
      <c r="P99">
        <f t="shared" si="5"/>
        <v>2005</v>
      </c>
    </row>
    <row r="100" spans="1:16" x14ac:dyDescent="0.25">
      <c r="A100" s="2" t="s">
        <v>203</v>
      </c>
      <c r="B100" s="2" t="s">
        <v>204</v>
      </c>
      <c r="C100" s="2" t="s">
        <v>13</v>
      </c>
      <c r="D100" s="25">
        <v>39948</v>
      </c>
      <c r="E100" s="2">
        <v>15</v>
      </c>
      <c r="F100" s="5">
        <v>40040</v>
      </c>
      <c r="G100" s="2"/>
      <c r="H100" s="2"/>
      <c r="I100" s="2"/>
      <c r="J100" s="2"/>
      <c r="K100" s="2"/>
      <c r="L100" s="96">
        <v>0.25205479452054796</v>
      </c>
      <c r="M100" t="b">
        <v>1</v>
      </c>
      <c r="N100">
        <f t="shared" si="3"/>
        <v>8</v>
      </c>
      <c r="O100">
        <f t="shared" si="4"/>
        <v>2009</v>
      </c>
      <c r="P100">
        <f t="shared" si="5"/>
        <v>2009</v>
      </c>
    </row>
    <row r="101" spans="1:16" x14ac:dyDescent="0.25">
      <c r="A101" s="2" t="s">
        <v>205</v>
      </c>
      <c r="B101" s="2" t="s">
        <v>206</v>
      </c>
      <c r="C101" s="2" t="s">
        <v>13</v>
      </c>
      <c r="D101" s="25">
        <v>39948</v>
      </c>
      <c r="E101" s="2">
        <v>15</v>
      </c>
      <c r="F101" s="5">
        <v>40040</v>
      </c>
      <c r="G101" s="2"/>
      <c r="H101" s="2"/>
      <c r="I101" s="2"/>
      <c r="J101" s="2"/>
      <c r="K101" s="2"/>
      <c r="L101" s="96">
        <v>0.25205479452054796</v>
      </c>
      <c r="M101" t="b">
        <v>1</v>
      </c>
      <c r="N101">
        <f t="shared" si="3"/>
        <v>8</v>
      </c>
      <c r="O101">
        <f t="shared" si="4"/>
        <v>2009</v>
      </c>
      <c r="P101">
        <f t="shared" si="5"/>
        <v>2009</v>
      </c>
    </row>
    <row r="102" spans="1:16" x14ac:dyDescent="0.25">
      <c r="A102" s="2" t="s">
        <v>207</v>
      </c>
      <c r="B102" s="2" t="s">
        <v>208</v>
      </c>
      <c r="C102" s="2" t="s">
        <v>23</v>
      </c>
      <c r="D102" s="25">
        <v>39948</v>
      </c>
      <c r="E102" s="2">
        <v>15</v>
      </c>
      <c r="F102" s="5">
        <v>40040</v>
      </c>
      <c r="G102" s="2"/>
      <c r="H102" s="2"/>
      <c r="I102" s="2"/>
      <c r="J102" s="2"/>
      <c r="K102" s="2"/>
      <c r="L102" s="96">
        <v>0.25205479452054796</v>
      </c>
      <c r="M102" t="b">
        <v>1</v>
      </c>
      <c r="N102">
        <f t="shared" si="3"/>
        <v>8</v>
      </c>
      <c r="O102">
        <f t="shared" si="4"/>
        <v>2009</v>
      </c>
      <c r="P102">
        <f t="shared" si="5"/>
        <v>2009</v>
      </c>
    </row>
    <row r="103" spans="1:16" x14ac:dyDescent="0.25">
      <c r="A103" s="2" t="s">
        <v>55</v>
      </c>
      <c r="B103" s="2" t="s">
        <v>168</v>
      </c>
      <c r="C103" s="2" t="s">
        <v>23</v>
      </c>
      <c r="D103" s="25">
        <v>38961</v>
      </c>
      <c r="E103" s="2">
        <v>60</v>
      </c>
      <c r="F103" s="5">
        <v>39706</v>
      </c>
      <c r="G103" s="2"/>
      <c r="H103" s="2"/>
      <c r="I103" s="2"/>
      <c r="J103" s="2"/>
      <c r="K103" s="2" t="s">
        <v>169</v>
      </c>
      <c r="L103" s="96">
        <v>2.0410958904109591</v>
      </c>
      <c r="M103" t="b">
        <v>1</v>
      </c>
      <c r="N103">
        <f t="shared" si="3"/>
        <v>9</v>
      </c>
      <c r="O103">
        <f t="shared" si="4"/>
        <v>2008</v>
      </c>
      <c r="P103">
        <f t="shared" si="5"/>
        <v>2006</v>
      </c>
    </row>
    <row r="104" spans="1:16" x14ac:dyDescent="0.25">
      <c r="A104" s="2" t="s">
        <v>148</v>
      </c>
      <c r="B104" s="2" t="s">
        <v>149</v>
      </c>
      <c r="C104" s="2" t="s">
        <v>13</v>
      </c>
      <c r="D104" s="25">
        <v>38961</v>
      </c>
      <c r="E104" s="2">
        <v>60</v>
      </c>
      <c r="F104" s="5">
        <v>39706</v>
      </c>
      <c r="G104" s="2"/>
      <c r="H104" s="2"/>
      <c r="I104" s="2"/>
      <c r="J104" s="2"/>
      <c r="K104" s="2"/>
      <c r="L104" s="96">
        <v>2.0410958904109591</v>
      </c>
      <c r="M104" t="b">
        <v>1</v>
      </c>
      <c r="N104">
        <f t="shared" si="3"/>
        <v>9</v>
      </c>
      <c r="O104">
        <f t="shared" si="4"/>
        <v>2008</v>
      </c>
      <c r="P104">
        <f t="shared" si="5"/>
        <v>2006</v>
      </c>
    </row>
    <row r="105" spans="1:16" x14ac:dyDescent="0.25">
      <c r="A105" s="2" t="s">
        <v>151</v>
      </c>
      <c r="B105" s="2" t="s">
        <v>152</v>
      </c>
      <c r="C105" s="2" t="s">
        <v>13</v>
      </c>
      <c r="D105" s="25">
        <v>37577</v>
      </c>
      <c r="E105" s="2">
        <v>180</v>
      </c>
      <c r="F105" s="5">
        <v>39706</v>
      </c>
      <c r="G105" s="2"/>
      <c r="H105" s="2"/>
      <c r="I105" s="2"/>
      <c r="J105" s="2"/>
      <c r="K105" s="2"/>
      <c r="L105" s="96">
        <v>5.8328767123287673</v>
      </c>
      <c r="M105" t="b">
        <v>1</v>
      </c>
      <c r="N105">
        <f t="shared" si="3"/>
        <v>9</v>
      </c>
      <c r="O105">
        <f t="shared" si="4"/>
        <v>2008</v>
      </c>
      <c r="P105">
        <f t="shared" si="5"/>
        <v>2002</v>
      </c>
    </row>
    <row r="106" spans="1:16" x14ac:dyDescent="0.25">
      <c r="A106" s="2" t="s">
        <v>153</v>
      </c>
      <c r="B106" s="2" t="s">
        <v>154</v>
      </c>
      <c r="C106" s="2" t="s">
        <v>13</v>
      </c>
      <c r="D106" s="25">
        <v>38648</v>
      </c>
      <c r="E106" s="2">
        <v>180</v>
      </c>
      <c r="F106" s="5">
        <v>39918</v>
      </c>
      <c r="G106" s="25">
        <v>40367</v>
      </c>
      <c r="H106" s="2" t="s">
        <v>155</v>
      </c>
      <c r="I106" s="2"/>
      <c r="J106" s="2"/>
      <c r="K106" s="2" t="s">
        <v>156</v>
      </c>
      <c r="L106" s="96">
        <v>3.4794520547945207</v>
      </c>
      <c r="M106" t="b">
        <v>1</v>
      </c>
      <c r="N106">
        <f t="shared" si="3"/>
        <v>4</v>
      </c>
      <c r="O106">
        <f t="shared" si="4"/>
        <v>2009</v>
      </c>
      <c r="P106">
        <f t="shared" si="5"/>
        <v>2005</v>
      </c>
    </row>
    <row r="107" spans="1:16" x14ac:dyDescent="0.25">
      <c r="A107" s="2" t="s">
        <v>157</v>
      </c>
      <c r="B107" s="2" t="s">
        <v>158</v>
      </c>
      <c r="C107" s="2" t="s">
        <v>23</v>
      </c>
      <c r="D107" s="25">
        <v>39797</v>
      </c>
      <c r="E107" s="2">
        <v>30</v>
      </c>
      <c r="F107" s="5">
        <v>39918</v>
      </c>
      <c r="G107" s="2"/>
      <c r="H107" s="2"/>
      <c r="I107" s="2"/>
      <c r="J107" s="2"/>
      <c r="K107" s="2"/>
      <c r="L107" s="96">
        <v>0.33150684931506852</v>
      </c>
      <c r="M107" t="b">
        <v>1</v>
      </c>
      <c r="N107">
        <f t="shared" si="3"/>
        <v>4</v>
      </c>
      <c r="O107">
        <f t="shared" si="4"/>
        <v>2009</v>
      </c>
      <c r="P107">
        <f t="shared" si="5"/>
        <v>2008</v>
      </c>
    </row>
    <row r="108" spans="1:16" x14ac:dyDescent="0.25">
      <c r="A108" s="2" t="s">
        <v>271</v>
      </c>
      <c r="B108" s="2" t="s">
        <v>272</v>
      </c>
      <c r="C108" s="2" t="s">
        <v>23</v>
      </c>
      <c r="D108" s="25">
        <v>38565</v>
      </c>
      <c r="E108" s="2">
        <v>180</v>
      </c>
      <c r="F108" s="5">
        <v>40101</v>
      </c>
      <c r="G108" s="2"/>
      <c r="H108" s="2"/>
      <c r="I108" s="2"/>
      <c r="J108" s="2"/>
      <c r="K108" s="2"/>
      <c r="L108" s="96">
        <v>4.2082191780821914</v>
      </c>
      <c r="M108" t="b">
        <v>1</v>
      </c>
      <c r="N108">
        <f t="shared" si="3"/>
        <v>10</v>
      </c>
      <c r="O108">
        <f t="shared" si="4"/>
        <v>2009</v>
      </c>
      <c r="P108">
        <f t="shared" si="5"/>
        <v>2005</v>
      </c>
    </row>
    <row r="109" spans="1:16" x14ac:dyDescent="0.25">
      <c r="A109" s="2" t="s">
        <v>273</v>
      </c>
      <c r="B109" s="2" t="s">
        <v>274</v>
      </c>
      <c r="C109" s="2" t="s">
        <v>23</v>
      </c>
      <c r="D109" s="25">
        <v>38565</v>
      </c>
      <c r="E109" s="2">
        <v>180</v>
      </c>
      <c r="F109" s="5">
        <v>40101</v>
      </c>
      <c r="G109" s="2"/>
      <c r="H109" s="2"/>
      <c r="I109" s="2"/>
      <c r="J109" s="2"/>
      <c r="K109" s="2"/>
      <c r="L109" s="96">
        <v>4.2082191780821914</v>
      </c>
      <c r="M109" t="b">
        <v>1</v>
      </c>
      <c r="N109">
        <f t="shared" si="3"/>
        <v>10</v>
      </c>
      <c r="O109">
        <f t="shared" si="4"/>
        <v>2009</v>
      </c>
      <c r="P109">
        <f t="shared" si="5"/>
        <v>2005</v>
      </c>
    </row>
    <row r="110" spans="1:16" x14ac:dyDescent="0.25">
      <c r="A110" s="2" t="s">
        <v>323</v>
      </c>
      <c r="B110" s="2" t="s">
        <v>324</v>
      </c>
      <c r="C110" s="2" t="s">
        <v>13</v>
      </c>
      <c r="D110" s="25">
        <v>37599</v>
      </c>
      <c r="E110" s="2">
        <v>180</v>
      </c>
      <c r="F110" s="5">
        <v>39979</v>
      </c>
      <c r="G110" s="2"/>
      <c r="H110" s="2"/>
      <c r="I110" s="2"/>
      <c r="J110" s="2"/>
      <c r="K110" s="2"/>
      <c r="L110" s="96">
        <v>6.5205479452054798</v>
      </c>
      <c r="M110" t="b">
        <v>1</v>
      </c>
      <c r="N110">
        <f t="shared" si="3"/>
        <v>6</v>
      </c>
      <c r="O110">
        <f t="shared" si="4"/>
        <v>2009</v>
      </c>
      <c r="P110">
        <f t="shared" si="5"/>
        <v>2002</v>
      </c>
    </row>
    <row r="111" spans="1:16" x14ac:dyDescent="0.25">
      <c r="A111" s="2" t="s">
        <v>35</v>
      </c>
      <c r="B111" s="2" t="s">
        <v>36</v>
      </c>
      <c r="C111" s="2" t="s">
        <v>13</v>
      </c>
      <c r="D111" s="25">
        <v>37265</v>
      </c>
      <c r="E111" s="2">
        <v>180</v>
      </c>
      <c r="F111" s="5">
        <v>39736</v>
      </c>
      <c r="G111" s="2"/>
      <c r="H111" s="2"/>
      <c r="I111" s="2"/>
      <c r="J111" s="2"/>
      <c r="K111" s="2"/>
      <c r="L111" s="96">
        <v>6.7698630136986298</v>
      </c>
      <c r="M111" t="b">
        <v>1</v>
      </c>
      <c r="N111">
        <f t="shared" si="3"/>
        <v>10</v>
      </c>
      <c r="O111">
        <f t="shared" si="4"/>
        <v>2008</v>
      </c>
      <c r="P111">
        <f t="shared" si="5"/>
        <v>2002</v>
      </c>
    </row>
    <row r="112" spans="1:16" x14ac:dyDescent="0.25">
      <c r="A112" s="2" t="s">
        <v>37</v>
      </c>
      <c r="B112" s="2" t="s">
        <v>38</v>
      </c>
      <c r="C112" s="2" t="s">
        <v>13</v>
      </c>
      <c r="D112" s="25">
        <v>38300</v>
      </c>
      <c r="E112" s="2">
        <v>180</v>
      </c>
      <c r="F112" s="5">
        <v>39736</v>
      </c>
      <c r="G112" s="2"/>
      <c r="H112" s="2"/>
      <c r="I112" s="2"/>
      <c r="J112" s="2"/>
      <c r="K112" s="2"/>
      <c r="L112" s="96">
        <v>3.9342465753424656</v>
      </c>
      <c r="M112" t="b">
        <v>1</v>
      </c>
      <c r="N112">
        <f t="shared" si="3"/>
        <v>10</v>
      </c>
      <c r="O112">
        <f t="shared" si="4"/>
        <v>2008</v>
      </c>
      <c r="P112">
        <f t="shared" si="5"/>
        <v>2004</v>
      </c>
    </row>
    <row r="113" spans="1:16" x14ac:dyDescent="0.25">
      <c r="A113" s="2" t="s">
        <v>39</v>
      </c>
      <c r="B113" s="2" t="s">
        <v>40</v>
      </c>
      <c r="C113" s="2" t="s">
        <v>13</v>
      </c>
      <c r="D113" s="25">
        <v>40083</v>
      </c>
      <c r="E113" s="2">
        <v>7</v>
      </c>
      <c r="F113" s="5">
        <v>40132</v>
      </c>
      <c r="G113" s="25">
        <v>40118</v>
      </c>
      <c r="H113" s="2" t="s">
        <v>28</v>
      </c>
      <c r="I113" s="2" t="s">
        <v>37</v>
      </c>
      <c r="J113" s="2" t="s">
        <v>41</v>
      </c>
      <c r="K113" s="2" t="s">
        <v>42</v>
      </c>
      <c r="L113" s="96">
        <v>0.13424657534246576</v>
      </c>
      <c r="M113" t="b">
        <v>1</v>
      </c>
      <c r="N113">
        <f t="shared" si="3"/>
        <v>11</v>
      </c>
      <c r="O113">
        <f t="shared" si="4"/>
        <v>2009</v>
      </c>
      <c r="P113">
        <f t="shared" si="5"/>
        <v>2009</v>
      </c>
    </row>
    <row r="114" spans="1:16" x14ac:dyDescent="0.25">
      <c r="A114" s="2" t="s">
        <v>43</v>
      </c>
      <c r="B114" s="2" t="s">
        <v>44</v>
      </c>
      <c r="C114" s="2" t="s">
        <v>13</v>
      </c>
      <c r="D114" s="25">
        <v>39167</v>
      </c>
      <c r="E114" s="2">
        <v>180</v>
      </c>
      <c r="F114" s="5">
        <v>39736</v>
      </c>
      <c r="G114" s="2"/>
      <c r="H114" s="2"/>
      <c r="I114" s="2"/>
      <c r="J114" s="2"/>
      <c r="K114" s="2"/>
      <c r="L114" s="96">
        <v>1.558904109589041</v>
      </c>
      <c r="M114" t="b">
        <v>1</v>
      </c>
      <c r="N114">
        <f t="shared" si="3"/>
        <v>10</v>
      </c>
      <c r="O114">
        <f t="shared" si="4"/>
        <v>2008</v>
      </c>
      <c r="P114">
        <f t="shared" si="5"/>
        <v>2007</v>
      </c>
    </row>
    <row r="115" spans="1:16" x14ac:dyDescent="0.25">
      <c r="A115" s="2" t="s">
        <v>396</v>
      </c>
      <c r="B115" s="2" t="s">
        <v>397</v>
      </c>
      <c r="C115" s="2" t="s">
        <v>13</v>
      </c>
      <c r="D115" s="25">
        <v>38661</v>
      </c>
      <c r="E115" s="2">
        <v>180</v>
      </c>
      <c r="F115" s="5">
        <v>39706</v>
      </c>
      <c r="G115" s="2"/>
      <c r="H115" s="2"/>
      <c r="I115" s="2"/>
      <c r="J115" s="2"/>
      <c r="K115" s="2"/>
      <c r="L115" s="96">
        <v>2.8630136986301369</v>
      </c>
      <c r="M115" t="b">
        <v>1</v>
      </c>
      <c r="N115">
        <f t="shared" si="3"/>
        <v>9</v>
      </c>
      <c r="O115">
        <f t="shared" si="4"/>
        <v>2008</v>
      </c>
      <c r="P115">
        <f t="shared" si="5"/>
        <v>2005</v>
      </c>
    </row>
    <row r="116" spans="1:16" x14ac:dyDescent="0.25">
      <c r="A116" s="2" t="s">
        <v>432</v>
      </c>
      <c r="B116" s="2" t="s">
        <v>433</v>
      </c>
      <c r="C116" s="2" t="s">
        <v>13</v>
      </c>
      <c r="D116" s="25">
        <v>38827</v>
      </c>
      <c r="E116" s="2">
        <v>180</v>
      </c>
      <c r="F116" s="5">
        <v>40040</v>
      </c>
      <c r="G116" s="2"/>
      <c r="H116" s="2"/>
      <c r="I116" s="2"/>
      <c r="J116" s="2"/>
      <c r="K116" s="2"/>
      <c r="L116" s="96">
        <v>3.3232876712328765</v>
      </c>
      <c r="M116" t="b">
        <v>1</v>
      </c>
      <c r="N116">
        <f t="shared" si="3"/>
        <v>8</v>
      </c>
      <c r="O116">
        <f t="shared" si="4"/>
        <v>2009</v>
      </c>
      <c r="P116">
        <f t="shared" si="5"/>
        <v>2006</v>
      </c>
    </row>
    <row r="117" spans="1:16" x14ac:dyDescent="0.25">
      <c r="A117" s="2" t="s">
        <v>434</v>
      </c>
      <c r="B117" s="2" t="s">
        <v>435</v>
      </c>
      <c r="C117" s="2" t="s">
        <v>13</v>
      </c>
      <c r="D117" s="25">
        <v>38827</v>
      </c>
      <c r="E117" s="2">
        <v>180</v>
      </c>
      <c r="F117" s="5">
        <v>40132</v>
      </c>
      <c r="G117" s="2"/>
      <c r="H117" s="2"/>
      <c r="I117" s="2"/>
      <c r="J117" s="2"/>
      <c r="K117" s="2"/>
      <c r="L117" s="96">
        <v>3.5753424657534247</v>
      </c>
      <c r="M117" t="b">
        <v>1</v>
      </c>
      <c r="N117">
        <f t="shared" si="3"/>
        <v>11</v>
      </c>
      <c r="O117">
        <f t="shared" si="4"/>
        <v>2009</v>
      </c>
      <c r="P117">
        <f t="shared" si="5"/>
        <v>2006</v>
      </c>
    </row>
    <row r="118" spans="1:16" x14ac:dyDescent="0.25">
      <c r="A118" s="2" t="s">
        <v>436</v>
      </c>
      <c r="B118" s="2" t="s">
        <v>437</v>
      </c>
      <c r="C118" s="2" t="s">
        <v>13</v>
      </c>
      <c r="D118" s="25">
        <v>37490</v>
      </c>
      <c r="E118" s="2">
        <v>180</v>
      </c>
      <c r="F118" s="5">
        <v>40040</v>
      </c>
      <c r="G118" s="2"/>
      <c r="H118" s="2"/>
      <c r="I118" s="2"/>
      <c r="J118" s="2"/>
      <c r="K118" s="2"/>
      <c r="L118" s="96">
        <v>6.9863013698630141</v>
      </c>
      <c r="M118" t="b">
        <v>1</v>
      </c>
      <c r="N118">
        <f t="shared" si="3"/>
        <v>8</v>
      </c>
      <c r="O118">
        <f t="shared" si="4"/>
        <v>2009</v>
      </c>
      <c r="P118">
        <f t="shared" si="5"/>
        <v>2002</v>
      </c>
    </row>
    <row r="119" spans="1:16" x14ac:dyDescent="0.25">
      <c r="A119" s="2" t="s">
        <v>438</v>
      </c>
      <c r="B119" s="2" t="s">
        <v>439</v>
      </c>
      <c r="C119" s="2" t="s">
        <v>13</v>
      </c>
      <c r="D119" s="25">
        <v>37543</v>
      </c>
      <c r="E119" s="2">
        <v>180</v>
      </c>
      <c r="F119" s="5">
        <v>40009</v>
      </c>
      <c r="G119" s="2"/>
      <c r="H119" s="2"/>
      <c r="I119" s="2"/>
      <c r="J119" s="2"/>
      <c r="K119" s="2"/>
      <c r="L119" s="96">
        <v>6.7561643835616438</v>
      </c>
      <c r="M119" t="b">
        <v>1</v>
      </c>
      <c r="N119">
        <f t="shared" si="3"/>
        <v>7</v>
      </c>
      <c r="O119">
        <f t="shared" si="4"/>
        <v>2009</v>
      </c>
      <c r="P119">
        <f t="shared" si="5"/>
        <v>2002</v>
      </c>
    </row>
    <row r="120" spans="1:16" x14ac:dyDescent="0.25">
      <c r="A120" s="2" t="s">
        <v>440</v>
      </c>
      <c r="B120" s="2" t="s">
        <v>441</v>
      </c>
      <c r="C120" s="2" t="s">
        <v>23</v>
      </c>
      <c r="D120" s="25">
        <v>40026</v>
      </c>
      <c r="E120" s="2">
        <v>15</v>
      </c>
      <c r="F120" s="5">
        <v>40101</v>
      </c>
      <c r="G120" s="25">
        <v>40210</v>
      </c>
      <c r="H120" s="2" t="s">
        <v>28</v>
      </c>
      <c r="I120" s="2"/>
      <c r="J120" s="2"/>
      <c r="K120" s="2" t="s">
        <v>442</v>
      </c>
      <c r="L120" s="96">
        <v>0.20547945205479451</v>
      </c>
      <c r="M120" t="b">
        <v>1</v>
      </c>
      <c r="N120">
        <f t="shared" si="3"/>
        <v>10</v>
      </c>
      <c r="O120">
        <f t="shared" si="4"/>
        <v>2009</v>
      </c>
      <c r="P120">
        <f t="shared" si="5"/>
        <v>2009</v>
      </c>
    </row>
    <row r="121" spans="1:16" x14ac:dyDescent="0.25">
      <c r="A121" s="2" t="s">
        <v>443</v>
      </c>
      <c r="B121" s="2" t="s">
        <v>444</v>
      </c>
      <c r="C121" s="2" t="s">
        <v>13</v>
      </c>
      <c r="D121" s="25">
        <v>40026</v>
      </c>
      <c r="E121" s="2">
        <v>15</v>
      </c>
      <c r="F121" s="5">
        <v>40101</v>
      </c>
      <c r="G121" s="25">
        <v>40210</v>
      </c>
      <c r="H121" s="2" t="s">
        <v>28</v>
      </c>
      <c r="I121" s="2"/>
      <c r="J121" s="2"/>
      <c r="K121" s="2" t="s">
        <v>442</v>
      </c>
      <c r="L121" s="96">
        <v>0.20547945205479451</v>
      </c>
      <c r="M121" t="b">
        <v>1</v>
      </c>
      <c r="N121">
        <f t="shared" si="3"/>
        <v>10</v>
      </c>
      <c r="O121">
        <f t="shared" si="4"/>
        <v>2009</v>
      </c>
      <c r="P121">
        <f t="shared" si="5"/>
        <v>2009</v>
      </c>
    </row>
    <row r="122" spans="1:16" x14ac:dyDescent="0.25">
      <c r="A122" s="2" t="s">
        <v>445</v>
      </c>
      <c r="B122" s="2" t="s">
        <v>446</v>
      </c>
      <c r="C122" s="2" t="s">
        <v>23</v>
      </c>
      <c r="D122" s="25">
        <v>38961</v>
      </c>
      <c r="E122" s="2">
        <v>120</v>
      </c>
      <c r="F122" s="5">
        <v>40071</v>
      </c>
      <c r="G122" s="2"/>
      <c r="H122" s="2"/>
      <c r="I122" s="2"/>
      <c r="J122" s="2"/>
      <c r="K122" s="2" t="s">
        <v>447</v>
      </c>
      <c r="L122" s="96">
        <v>3.0410958904109591</v>
      </c>
      <c r="M122" t="b">
        <v>1</v>
      </c>
      <c r="N122">
        <f t="shared" si="3"/>
        <v>9</v>
      </c>
      <c r="O122">
        <f t="shared" si="4"/>
        <v>2009</v>
      </c>
      <c r="P122">
        <f t="shared" si="5"/>
        <v>2006</v>
      </c>
    </row>
    <row r="123" spans="1:16" x14ac:dyDescent="0.25">
      <c r="A123" s="2" t="s">
        <v>448</v>
      </c>
      <c r="B123" s="2" t="s">
        <v>449</v>
      </c>
      <c r="C123" s="2" t="s">
        <v>13</v>
      </c>
      <c r="D123" s="25">
        <v>40026</v>
      </c>
      <c r="E123" s="2">
        <v>15</v>
      </c>
      <c r="F123" s="5">
        <v>40101</v>
      </c>
      <c r="G123" s="25">
        <v>40210</v>
      </c>
      <c r="H123" s="2" t="s">
        <v>28</v>
      </c>
      <c r="I123" s="2"/>
      <c r="J123" s="2"/>
      <c r="K123" s="2" t="s">
        <v>442</v>
      </c>
      <c r="L123" s="96">
        <v>0.20547945205479451</v>
      </c>
      <c r="M123" t="b">
        <v>1</v>
      </c>
      <c r="N123">
        <f t="shared" si="3"/>
        <v>10</v>
      </c>
      <c r="O123">
        <f t="shared" si="4"/>
        <v>2009</v>
      </c>
      <c r="P123">
        <f t="shared" si="5"/>
        <v>2009</v>
      </c>
    </row>
    <row r="124" spans="1:16" x14ac:dyDescent="0.25">
      <c r="A124" s="2" t="s">
        <v>450</v>
      </c>
      <c r="B124" s="2" t="s">
        <v>451</v>
      </c>
      <c r="C124" s="2" t="s">
        <v>13</v>
      </c>
      <c r="D124" s="25">
        <v>40026</v>
      </c>
      <c r="E124" s="2">
        <v>15</v>
      </c>
      <c r="F124" s="5">
        <v>40101</v>
      </c>
      <c r="G124" s="25">
        <v>40210</v>
      </c>
      <c r="H124" s="2" t="s">
        <v>28</v>
      </c>
      <c r="I124" s="2"/>
      <c r="J124" s="2"/>
      <c r="K124" s="2" t="s">
        <v>442</v>
      </c>
      <c r="L124" s="96">
        <v>0.20547945205479451</v>
      </c>
      <c r="M124" t="b">
        <v>1</v>
      </c>
      <c r="N124">
        <f t="shared" si="3"/>
        <v>10</v>
      </c>
      <c r="O124">
        <f t="shared" si="4"/>
        <v>2009</v>
      </c>
      <c r="P124">
        <f t="shared" si="5"/>
        <v>2009</v>
      </c>
    </row>
    <row r="125" spans="1:16" x14ac:dyDescent="0.25">
      <c r="A125" s="2" t="s">
        <v>220</v>
      </c>
      <c r="B125" s="2" t="s">
        <v>221</v>
      </c>
      <c r="C125" s="2" t="s">
        <v>13</v>
      </c>
      <c r="D125" s="25">
        <v>38948</v>
      </c>
      <c r="E125" s="2">
        <v>180</v>
      </c>
      <c r="F125" s="5">
        <v>40040</v>
      </c>
      <c r="G125" s="2"/>
      <c r="H125" s="2"/>
      <c r="I125" s="2"/>
      <c r="J125" s="2"/>
      <c r="K125" s="2" t="s">
        <v>222</v>
      </c>
      <c r="L125" s="96">
        <v>2.9917808219178084</v>
      </c>
      <c r="M125" t="b">
        <v>1</v>
      </c>
      <c r="N125">
        <f t="shared" si="3"/>
        <v>8</v>
      </c>
      <c r="O125">
        <f t="shared" si="4"/>
        <v>2009</v>
      </c>
      <c r="P125">
        <f t="shared" si="5"/>
        <v>2006</v>
      </c>
    </row>
    <row r="126" spans="1:16" x14ac:dyDescent="0.25">
      <c r="A126" s="2" t="s">
        <v>548</v>
      </c>
      <c r="B126" s="2" t="s">
        <v>549</v>
      </c>
      <c r="C126" s="2" t="s">
        <v>13</v>
      </c>
      <c r="D126" s="25">
        <v>39539</v>
      </c>
      <c r="E126" s="2">
        <v>90</v>
      </c>
      <c r="F126" s="5">
        <v>40132</v>
      </c>
      <c r="G126" s="2"/>
      <c r="H126" s="2"/>
      <c r="I126" s="2" t="s">
        <v>550</v>
      </c>
      <c r="J126" s="2"/>
      <c r="K126" s="2"/>
      <c r="L126" s="96">
        <v>1.6246575342465754</v>
      </c>
      <c r="M126" t="b">
        <v>1</v>
      </c>
      <c r="N126">
        <f t="shared" si="3"/>
        <v>11</v>
      </c>
      <c r="O126">
        <f t="shared" si="4"/>
        <v>2009</v>
      </c>
      <c r="P126">
        <f t="shared" si="5"/>
        <v>2008</v>
      </c>
    </row>
    <row r="127" spans="1:16" x14ac:dyDescent="0.25">
      <c r="A127" s="2" t="s">
        <v>223</v>
      </c>
      <c r="B127" s="2" t="s">
        <v>224</v>
      </c>
      <c r="C127" s="2" t="s">
        <v>13</v>
      </c>
      <c r="D127" s="25">
        <v>39011</v>
      </c>
      <c r="E127" s="2">
        <v>180</v>
      </c>
      <c r="F127" s="5">
        <v>40040</v>
      </c>
      <c r="G127" s="2"/>
      <c r="H127" s="2"/>
      <c r="I127" s="2"/>
      <c r="J127" s="2"/>
      <c r="K127" s="2"/>
      <c r="L127" s="96">
        <v>2.8191780821917809</v>
      </c>
      <c r="M127" t="b">
        <v>1</v>
      </c>
      <c r="N127">
        <f t="shared" si="3"/>
        <v>8</v>
      </c>
      <c r="O127">
        <f t="shared" si="4"/>
        <v>2009</v>
      </c>
      <c r="P127">
        <f t="shared" si="5"/>
        <v>2006</v>
      </c>
    </row>
    <row r="128" spans="1:16" x14ac:dyDescent="0.25">
      <c r="A128" s="2" t="s">
        <v>551</v>
      </c>
      <c r="B128" s="2" t="s">
        <v>552</v>
      </c>
      <c r="C128" s="2" t="s">
        <v>23</v>
      </c>
      <c r="D128" s="25">
        <v>39295</v>
      </c>
      <c r="E128" s="2">
        <v>180</v>
      </c>
      <c r="F128" s="5">
        <v>40436</v>
      </c>
      <c r="G128" s="2"/>
      <c r="H128" s="2"/>
      <c r="I128" s="2"/>
      <c r="J128" s="2"/>
      <c r="K128" s="2"/>
      <c r="L128" s="96">
        <v>3.1260273972602741</v>
      </c>
      <c r="M128" t="b">
        <v>1</v>
      </c>
      <c r="N128">
        <f t="shared" si="3"/>
        <v>9</v>
      </c>
      <c r="O128">
        <f t="shared" si="4"/>
        <v>2010</v>
      </c>
      <c r="P128">
        <f t="shared" si="5"/>
        <v>2007</v>
      </c>
    </row>
    <row r="129" spans="1:16" x14ac:dyDescent="0.25">
      <c r="A129" s="2" t="s">
        <v>595</v>
      </c>
      <c r="B129" s="2" t="s">
        <v>596</v>
      </c>
      <c r="C129" s="2" t="s">
        <v>13</v>
      </c>
      <c r="D129" s="25">
        <v>39022</v>
      </c>
      <c r="E129" s="2">
        <v>180</v>
      </c>
      <c r="F129" s="5">
        <v>39614</v>
      </c>
      <c r="G129" s="2"/>
      <c r="H129" s="2"/>
      <c r="I129" s="2"/>
      <c r="J129" s="2"/>
      <c r="K129" s="2"/>
      <c r="L129" s="96">
        <v>1.6219178082191781</v>
      </c>
      <c r="M129" t="b">
        <v>1</v>
      </c>
      <c r="N129">
        <f t="shared" si="3"/>
        <v>6</v>
      </c>
      <c r="O129">
        <f t="shared" si="4"/>
        <v>2008</v>
      </c>
      <c r="P129">
        <f t="shared" si="5"/>
        <v>2006</v>
      </c>
    </row>
    <row r="130" spans="1:16" x14ac:dyDescent="0.25">
      <c r="A130" s="2" t="s">
        <v>553</v>
      </c>
      <c r="B130" s="2" t="s">
        <v>554</v>
      </c>
      <c r="C130" s="2" t="s">
        <v>13</v>
      </c>
      <c r="D130" s="25">
        <v>39600</v>
      </c>
      <c r="E130" s="2">
        <v>90</v>
      </c>
      <c r="F130" s="5">
        <v>39675</v>
      </c>
      <c r="G130" s="2"/>
      <c r="H130" s="2"/>
      <c r="I130" s="2"/>
      <c r="J130" s="2"/>
      <c r="K130" s="2"/>
      <c r="L130" s="96">
        <v>0.20547945205479451</v>
      </c>
      <c r="M130" t="b">
        <v>1</v>
      </c>
      <c r="N130">
        <f t="shared" si="3"/>
        <v>8</v>
      </c>
      <c r="O130">
        <f t="shared" si="4"/>
        <v>2008</v>
      </c>
      <c r="P130">
        <f t="shared" si="5"/>
        <v>2008</v>
      </c>
    </row>
    <row r="131" spans="1:16" x14ac:dyDescent="0.25">
      <c r="A131" s="2" t="s">
        <v>597</v>
      </c>
      <c r="B131" s="2" t="s">
        <v>598</v>
      </c>
      <c r="C131" s="2" t="s">
        <v>13</v>
      </c>
      <c r="D131" s="25">
        <v>38597</v>
      </c>
      <c r="E131" s="2">
        <v>180</v>
      </c>
      <c r="F131" s="5">
        <v>39614</v>
      </c>
      <c r="G131" s="2"/>
      <c r="H131" s="2"/>
      <c r="I131" s="2"/>
      <c r="J131" s="2"/>
      <c r="K131" s="2"/>
      <c r="L131" s="96">
        <v>2.7863013698630139</v>
      </c>
      <c r="M131" t="b">
        <v>1</v>
      </c>
      <c r="N131">
        <f t="shared" ref="N131:N194" si="6">MONTH(F131)</f>
        <v>6</v>
      </c>
      <c r="O131">
        <f t="shared" ref="O131:O194" si="7">YEAR(F131)</f>
        <v>2008</v>
      </c>
      <c r="P131">
        <f t="shared" ref="P131:P194" si="8">YEAR(D131)</f>
        <v>2005</v>
      </c>
    </row>
    <row r="132" spans="1:16" x14ac:dyDescent="0.25">
      <c r="A132" s="2" t="s">
        <v>599</v>
      </c>
      <c r="B132" s="2" t="s">
        <v>600</v>
      </c>
      <c r="C132" s="2" t="s">
        <v>13</v>
      </c>
      <c r="D132" s="25">
        <v>37368</v>
      </c>
      <c r="E132" s="2">
        <v>180</v>
      </c>
      <c r="F132" s="5">
        <v>40071</v>
      </c>
      <c r="G132" s="25">
        <v>40476</v>
      </c>
      <c r="H132" s="2" t="s">
        <v>28</v>
      </c>
      <c r="I132" s="2"/>
      <c r="J132" s="2"/>
      <c r="K132" s="2" t="s">
        <v>601</v>
      </c>
      <c r="L132" s="96">
        <v>7.4054794520547942</v>
      </c>
      <c r="M132" t="b">
        <v>1</v>
      </c>
      <c r="N132">
        <f t="shared" si="6"/>
        <v>9</v>
      </c>
      <c r="O132">
        <f t="shared" si="7"/>
        <v>2009</v>
      </c>
      <c r="P132">
        <f t="shared" si="8"/>
        <v>2002</v>
      </c>
    </row>
    <row r="133" spans="1:16" x14ac:dyDescent="0.25">
      <c r="A133" s="2" t="s">
        <v>602</v>
      </c>
      <c r="B133" s="2" t="s">
        <v>603</v>
      </c>
      <c r="C133" s="2" t="s">
        <v>13</v>
      </c>
      <c r="D133" s="25">
        <v>39284</v>
      </c>
      <c r="E133" s="2">
        <v>180</v>
      </c>
      <c r="F133" s="5">
        <v>40071</v>
      </c>
      <c r="G133" s="2"/>
      <c r="H133" s="2"/>
      <c r="I133" s="2"/>
      <c r="J133" s="2"/>
      <c r="K133" s="2"/>
      <c r="L133" s="96">
        <v>2.1561643835616437</v>
      </c>
      <c r="M133" t="b">
        <v>1</v>
      </c>
      <c r="N133">
        <f t="shared" si="6"/>
        <v>9</v>
      </c>
      <c r="O133">
        <f t="shared" si="7"/>
        <v>2009</v>
      </c>
      <c r="P133">
        <f t="shared" si="8"/>
        <v>2007</v>
      </c>
    </row>
    <row r="134" spans="1:16" x14ac:dyDescent="0.25">
      <c r="A134" s="2" t="s">
        <v>604</v>
      </c>
      <c r="B134" s="2" t="s">
        <v>605</v>
      </c>
      <c r="C134" s="2" t="s">
        <v>13</v>
      </c>
      <c r="D134" s="25">
        <v>39216</v>
      </c>
      <c r="E134" s="2">
        <v>180</v>
      </c>
      <c r="F134" s="5">
        <v>40071</v>
      </c>
      <c r="G134" s="2"/>
      <c r="H134" s="2"/>
      <c r="I134" s="2" t="s">
        <v>606</v>
      </c>
      <c r="J134" s="2"/>
      <c r="K134" s="2"/>
      <c r="L134" s="96">
        <v>2.3424657534246576</v>
      </c>
      <c r="M134" t="b">
        <v>1</v>
      </c>
      <c r="N134">
        <f t="shared" si="6"/>
        <v>9</v>
      </c>
      <c r="O134">
        <f t="shared" si="7"/>
        <v>2009</v>
      </c>
      <c r="P134">
        <f t="shared" si="8"/>
        <v>2007</v>
      </c>
    </row>
    <row r="135" spans="1:16" x14ac:dyDescent="0.25">
      <c r="A135" s="2" t="s">
        <v>607</v>
      </c>
      <c r="B135" s="2" t="s">
        <v>608</v>
      </c>
      <c r="C135" s="2" t="s">
        <v>13</v>
      </c>
      <c r="D135" s="25">
        <v>39162</v>
      </c>
      <c r="E135" s="2">
        <v>180</v>
      </c>
      <c r="F135" s="5">
        <v>40071</v>
      </c>
      <c r="G135" s="2"/>
      <c r="H135" s="2"/>
      <c r="I135" s="2"/>
      <c r="J135" s="2"/>
      <c r="K135" s="2"/>
      <c r="L135" s="96">
        <v>2.4904109589041097</v>
      </c>
      <c r="M135" t="b">
        <v>1</v>
      </c>
      <c r="N135">
        <f t="shared" si="6"/>
        <v>9</v>
      </c>
      <c r="O135">
        <f t="shared" si="7"/>
        <v>2009</v>
      </c>
      <c r="P135">
        <f t="shared" si="8"/>
        <v>2007</v>
      </c>
    </row>
    <row r="136" spans="1:16" x14ac:dyDescent="0.25">
      <c r="A136" s="2" t="s">
        <v>529</v>
      </c>
      <c r="B136" s="2" t="s">
        <v>530</v>
      </c>
      <c r="C136" s="2" t="s">
        <v>23</v>
      </c>
      <c r="D136" s="25">
        <v>39569</v>
      </c>
      <c r="E136" s="2">
        <v>120</v>
      </c>
      <c r="F136" s="5">
        <v>40132</v>
      </c>
      <c r="G136" s="2"/>
      <c r="H136" s="2"/>
      <c r="I136" s="2"/>
      <c r="J136" s="2"/>
      <c r="K136" s="2"/>
      <c r="L136" s="96">
        <v>1.5424657534246575</v>
      </c>
      <c r="M136" t="b">
        <v>1</v>
      </c>
      <c r="N136">
        <f t="shared" si="6"/>
        <v>11</v>
      </c>
      <c r="O136">
        <f t="shared" si="7"/>
        <v>2009</v>
      </c>
      <c r="P136">
        <f t="shared" si="8"/>
        <v>2008</v>
      </c>
    </row>
    <row r="137" spans="1:16" x14ac:dyDescent="0.25">
      <c r="A137" s="2" t="s">
        <v>225</v>
      </c>
      <c r="B137" s="2" t="s">
        <v>226</v>
      </c>
      <c r="C137" s="2" t="s">
        <v>13</v>
      </c>
      <c r="D137" s="25" t="s">
        <v>47</v>
      </c>
      <c r="E137" s="2" t="s">
        <v>47</v>
      </c>
      <c r="F137" s="5">
        <v>40040</v>
      </c>
      <c r="G137" s="2"/>
      <c r="H137" s="2"/>
      <c r="I137" s="2"/>
      <c r="J137" s="2"/>
      <c r="K137" s="2"/>
      <c r="L137" s="96">
        <v>3</v>
      </c>
      <c r="M137" t="b">
        <v>1</v>
      </c>
      <c r="N137">
        <f t="shared" si="6"/>
        <v>8</v>
      </c>
      <c r="O137">
        <f t="shared" si="7"/>
        <v>2009</v>
      </c>
      <c r="P137" s="96" t="s">
        <v>47</v>
      </c>
    </row>
    <row r="138" spans="1:16" x14ac:dyDescent="0.25">
      <c r="A138" s="2" t="s">
        <v>325</v>
      </c>
      <c r="B138" s="2" t="s">
        <v>326</v>
      </c>
      <c r="C138" s="2" t="s">
        <v>13</v>
      </c>
      <c r="D138" s="25">
        <v>40258</v>
      </c>
      <c r="E138" s="2">
        <v>14</v>
      </c>
      <c r="F138" s="5">
        <v>40313</v>
      </c>
      <c r="G138" s="2"/>
      <c r="H138" s="2"/>
      <c r="I138" s="2" t="s">
        <v>217</v>
      </c>
      <c r="J138" s="2" t="s">
        <v>327</v>
      </c>
      <c r="K138" s="2"/>
      <c r="L138" s="96">
        <v>0.15068493150684931</v>
      </c>
      <c r="M138" t="b">
        <v>1</v>
      </c>
      <c r="N138">
        <f t="shared" si="6"/>
        <v>5</v>
      </c>
      <c r="O138">
        <f t="shared" si="7"/>
        <v>2010</v>
      </c>
      <c r="P138">
        <f t="shared" si="8"/>
        <v>2010</v>
      </c>
    </row>
    <row r="139" spans="1:16" x14ac:dyDescent="0.25">
      <c r="A139" s="2" t="s">
        <v>328</v>
      </c>
      <c r="B139" s="2" t="s">
        <v>329</v>
      </c>
      <c r="C139" s="2" t="s">
        <v>23</v>
      </c>
      <c r="D139" s="25">
        <v>40258</v>
      </c>
      <c r="E139" s="2">
        <v>14</v>
      </c>
      <c r="F139" s="5">
        <v>40313</v>
      </c>
      <c r="G139" s="2"/>
      <c r="H139" s="2"/>
      <c r="I139" s="2" t="s">
        <v>217</v>
      </c>
      <c r="J139" s="2" t="s">
        <v>327</v>
      </c>
      <c r="K139" s="2"/>
      <c r="L139" s="96">
        <v>0.15068493150684931</v>
      </c>
      <c r="M139" t="b">
        <v>1</v>
      </c>
      <c r="N139">
        <f t="shared" si="6"/>
        <v>5</v>
      </c>
      <c r="O139">
        <f t="shared" si="7"/>
        <v>2010</v>
      </c>
      <c r="P139">
        <f t="shared" si="8"/>
        <v>2010</v>
      </c>
    </row>
    <row r="140" spans="1:16" x14ac:dyDescent="0.25">
      <c r="A140" s="2" t="s">
        <v>330</v>
      </c>
      <c r="B140" s="2" t="s">
        <v>331</v>
      </c>
      <c r="C140" s="2" t="s">
        <v>47</v>
      </c>
      <c r="D140" s="25">
        <v>40258</v>
      </c>
      <c r="E140" s="2">
        <v>14</v>
      </c>
      <c r="F140" s="5">
        <v>40313</v>
      </c>
      <c r="G140" s="25">
        <v>40685</v>
      </c>
      <c r="H140" s="2" t="s">
        <v>28</v>
      </c>
      <c r="I140" s="2" t="s">
        <v>217</v>
      </c>
      <c r="J140" s="2" t="s">
        <v>327</v>
      </c>
      <c r="K140" s="2" t="s">
        <v>332</v>
      </c>
      <c r="L140" s="96">
        <v>0.15068493150684931</v>
      </c>
      <c r="M140" t="b">
        <v>1</v>
      </c>
      <c r="N140">
        <f t="shared" si="6"/>
        <v>5</v>
      </c>
      <c r="O140">
        <f t="shared" si="7"/>
        <v>2010</v>
      </c>
      <c r="P140">
        <f t="shared" si="8"/>
        <v>2010</v>
      </c>
    </row>
    <row r="141" spans="1:16" x14ac:dyDescent="0.25">
      <c r="A141" s="2" t="s">
        <v>333</v>
      </c>
      <c r="B141" s="2" t="s">
        <v>334</v>
      </c>
      <c r="C141" s="2" t="s">
        <v>47</v>
      </c>
      <c r="D141" s="25">
        <v>40258</v>
      </c>
      <c r="E141" s="2">
        <v>14</v>
      </c>
      <c r="F141" s="5">
        <v>40313</v>
      </c>
      <c r="G141" s="25">
        <v>40685</v>
      </c>
      <c r="H141" s="2"/>
      <c r="I141" s="2" t="s">
        <v>217</v>
      </c>
      <c r="J141" s="2" t="s">
        <v>327</v>
      </c>
      <c r="K141" s="2" t="s">
        <v>332</v>
      </c>
      <c r="L141" s="96">
        <v>0.15068493150684931</v>
      </c>
      <c r="M141" t="b">
        <v>1</v>
      </c>
      <c r="N141">
        <f t="shared" si="6"/>
        <v>5</v>
      </c>
      <c r="O141">
        <f t="shared" si="7"/>
        <v>2010</v>
      </c>
      <c r="P141">
        <f t="shared" si="8"/>
        <v>2010</v>
      </c>
    </row>
    <row r="142" spans="1:16" x14ac:dyDescent="0.25">
      <c r="A142" s="2" t="s">
        <v>452</v>
      </c>
      <c r="B142" s="2" t="s">
        <v>441</v>
      </c>
      <c r="C142" s="2" t="s">
        <v>23</v>
      </c>
      <c r="D142" s="25">
        <v>40301</v>
      </c>
      <c r="E142" s="2">
        <v>30</v>
      </c>
      <c r="F142" s="5">
        <v>40374</v>
      </c>
      <c r="G142" s="2"/>
      <c r="H142" s="2"/>
      <c r="I142" s="2" t="s">
        <v>438</v>
      </c>
      <c r="J142" s="2"/>
      <c r="K142" s="2"/>
      <c r="L142" s="96">
        <v>0.2</v>
      </c>
      <c r="M142" t="b">
        <v>1</v>
      </c>
      <c r="N142">
        <f t="shared" si="6"/>
        <v>7</v>
      </c>
      <c r="O142">
        <f t="shared" si="7"/>
        <v>2010</v>
      </c>
      <c r="P142">
        <f t="shared" si="8"/>
        <v>2010</v>
      </c>
    </row>
    <row r="143" spans="1:16" x14ac:dyDescent="0.25">
      <c r="A143" s="2" t="s">
        <v>453</v>
      </c>
      <c r="B143" s="2" t="s">
        <v>454</v>
      </c>
      <c r="C143" s="2" t="s">
        <v>47</v>
      </c>
      <c r="D143" s="25">
        <v>40301</v>
      </c>
      <c r="E143" s="2">
        <v>30</v>
      </c>
      <c r="F143" s="5">
        <v>40374</v>
      </c>
      <c r="G143" s="25">
        <v>40391</v>
      </c>
      <c r="H143" s="2" t="s">
        <v>28</v>
      </c>
      <c r="I143" s="2" t="s">
        <v>438</v>
      </c>
      <c r="J143" s="2"/>
      <c r="K143" s="2" t="s">
        <v>455</v>
      </c>
      <c r="L143" s="96">
        <v>0.2</v>
      </c>
      <c r="M143" t="b">
        <v>1</v>
      </c>
      <c r="N143">
        <f t="shared" si="6"/>
        <v>7</v>
      </c>
      <c r="O143">
        <f t="shared" si="7"/>
        <v>2010</v>
      </c>
      <c r="P143">
        <f t="shared" si="8"/>
        <v>2010</v>
      </c>
    </row>
    <row r="144" spans="1:16" x14ac:dyDescent="0.25">
      <c r="A144" s="2" t="s">
        <v>456</v>
      </c>
      <c r="B144" s="2" t="s">
        <v>457</v>
      </c>
      <c r="C144" s="2" t="s">
        <v>23</v>
      </c>
      <c r="D144" s="25">
        <v>40412</v>
      </c>
      <c r="E144" s="2">
        <v>14</v>
      </c>
      <c r="F144" s="5">
        <v>40466</v>
      </c>
      <c r="G144" s="2"/>
      <c r="H144" s="2"/>
      <c r="I144" s="2" t="s">
        <v>432</v>
      </c>
      <c r="J144" s="2"/>
      <c r="K144" s="2"/>
      <c r="L144" s="96">
        <v>0.14794520547945206</v>
      </c>
      <c r="M144" t="b">
        <v>1</v>
      </c>
      <c r="N144">
        <f t="shared" si="6"/>
        <v>10</v>
      </c>
      <c r="O144">
        <f t="shared" si="7"/>
        <v>2010</v>
      </c>
      <c r="P144">
        <f t="shared" si="8"/>
        <v>2010</v>
      </c>
    </row>
    <row r="145" spans="1:16" x14ac:dyDescent="0.25">
      <c r="A145" s="2" t="s">
        <v>458</v>
      </c>
      <c r="B145" s="2" t="s">
        <v>459</v>
      </c>
      <c r="C145" s="2" t="s">
        <v>23</v>
      </c>
      <c r="D145" s="25">
        <v>40412</v>
      </c>
      <c r="E145" s="2">
        <v>14</v>
      </c>
      <c r="F145" s="5">
        <v>40466</v>
      </c>
      <c r="G145" s="2"/>
      <c r="H145" s="2"/>
      <c r="I145" s="2" t="s">
        <v>432</v>
      </c>
      <c r="J145" s="2"/>
      <c r="K145" s="2"/>
      <c r="L145" s="96">
        <v>0.14794520547945206</v>
      </c>
      <c r="M145" t="b">
        <v>1</v>
      </c>
      <c r="N145">
        <f t="shared" si="6"/>
        <v>10</v>
      </c>
      <c r="O145">
        <f t="shared" si="7"/>
        <v>2010</v>
      </c>
      <c r="P145">
        <f t="shared" si="8"/>
        <v>2010</v>
      </c>
    </row>
    <row r="146" spans="1:16" x14ac:dyDescent="0.25">
      <c r="A146" s="2" t="s">
        <v>460</v>
      </c>
      <c r="B146" s="2" t="s">
        <v>461</v>
      </c>
      <c r="C146" s="2" t="s">
        <v>23</v>
      </c>
      <c r="D146" s="25">
        <v>40412</v>
      </c>
      <c r="E146" s="2">
        <v>14</v>
      </c>
      <c r="F146" s="5">
        <v>40466</v>
      </c>
      <c r="G146" s="2"/>
      <c r="H146" s="2"/>
      <c r="I146" s="2" t="s">
        <v>432</v>
      </c>
      <c r="J146" s="2"/>
      <c r="K146" s="2"/>
      <c r="L146" s="96">
        <v>0.14794520547945206</v>
      </c>
      <c r="M146" t="b">
        <v>1</v>
      </c>
      <c r="N146">
        <f t="shared" si="6"/>
        <v>10</v>
      </c>
      <c r="O146">
        <f t="shared" si="7"/>
        <v>2010</v>
      </c>
      <c r="P146">
        <f t="shared" si="8"/>
        <v>2010</v>
      </c>
    </row>
    <row r="147" spans="1:16" x14ac:dyDescent="0.25">
      <c r="A147" s="2" t="s">
        <v>462</v>
      </c>
      <c r="B147" s="2" t="s">
        <v>463</v>
      </c>
      <c r="C147" s="2" t="s">
        <v>13</v>
      </c>
      <c r="D147" s="25">
        <v>40412</v>
      </c>
      <c r="E147" s="2">
        <v>14</v>
      </c>
      <c r="F147" s="5">
        <v>40466</v>
      </c>
      <c r="G147" s="2"/>
      <c r="H147" s="2"/>
      <c r="I147" s="2" t="s">
        <v>432</v>
      </c>
      <c r="J147" s="2"/>
      <c r="K147" s="2"/>
      <c r="L147" s="96">
        <v>0.14794520547945206</v>
      </c>
      <c r="M147" t="b">
        <v>1</v>
      </c>
      <c r="N147">
        <f t="shared" si="6"/>
        <v>10</v>
      </c>
      <c r="O147">
        <f t="shared" si="7"/>
        <v>2010</v>
      </c>
      <c r="P147">
        <f t="shared" si="8"/>
        <v>2010</v>
      </c>
    </row>
    <row r="148" spans="1:16" x14ac:dyDescent="0.25">
      <c r="A148" s="2" t="s">
        <v>227</v>
      </c>
      <c r="B148" s="2" t="s">
        <v>228</v>
      </c>
      <c r="C148" s="2" t="s">
        <v>23</v>
      </c>
      <c r="D148" s="25">
        <v>40335</v>
      </c>
      <c r="E148" s="2">
        <v>14</v>
      </c>
      <c r="F148" s="5">
        <v>40344</v>
      </c>
      <c r="G148" s="2"/>
      <c r="H148" s="2"/>
      <c r="I148" s="2" t="s">
        <v>223</v>
      </c>
      <c r="J148" s="2"/>
      <c r="K148" s="2"/>
      <c r="L148" s="96">
        <v>2.4657534246575342E-2</v>
      </c>
      <c r="M148" t="b">
        <v>1</v>
      </c>
      <c r="N148">
        <f t="shared" si="6"/>
        <v>6</v>
      </c>
      <c r="O148">
        <f t="shared" si="7"/>
        <v>2010</v>
      </c>
      <c r="P148">
        <f t="shared" si="8"/>
        <v>2010</v>
      </c>
    </row>
    <row r="149" spans="1:16" x14ac:dyDescent="0.25">
      <c r="A149" s="2" t="s">
        <v>229</v>
      </c>
      <c r="B149" s="2" t="s">
        <v>230</v>
      </c>
      <c r="C149" s="2" t="s">
        <v>23</v>
      </c>
      <c r="D149" s="25">
        <v>40335</v>
      </c>
      <c r="E149" s="2">
        <v>14</v>
      </c>
      <c r="F149" s="5">
        <v>40344</v>
      </c>
      <c r="G149" s="25">
        <v>40575</v>
      </c>
      <c r="H149" s="2" t="s">
        <v>28</v>
      </c>
      <c r="I149" s="2" t="s">
        <v>223</v>
      </c>
      <c r="J149" s="2"/>
      <c r="K149" s="2" t="s">
        <v>231</v>
      </c>
      <c r="L149" s="96">
        <v>2.4657534246575342E-2</v>
      </c>
      <c r="M149" t="b">
        <v>1</v>
      </c>
      <c r="N149">
        <f t="shared" si="6"/>
        <v>6</v>
      </c>
      <c r="O149">
        <f t="shared" si="7"/>
        <v>2010</v>
      </c>
      <c r="P149">
        <f t="shared" si="8"/>
        <v>2010</v>
      </c>
    </row>
    <row r="150" spans="1:16" x14ac:dyDescent="0.25">
      <c r="A150" s="2" t="s">
        <v>45</v>
      </c>
      <c r="B150" s="2" t="s">
        <v>46</v>
      </c>
      <c r="C150" s="2" t="s">
        <v>47</v>
      </c>
      <c r="D150" s="25">
        <v>40425</v>
      </c>
      <c r="E150" s="2">
        <v>7</v>
      </c>
      <c r="F150" s="25">
        <v>40453</v>
      </c>
      <c r="G150" s="25">
        <v>40492</v>
      </c>
      <c r="H150" s="2" t="s">
        <v>48</v>
      </c>
      <c r="I150" s="2" t="s">
        <v>43</v>
      </c>
      <c r="J150" s="2" t="s">
        <v>41</v>
      </c>
      <c r="K150" s="2" t="s">
        <v>878</v>
      </c>
      <c r="L150" s="96">
        <v>7.6712328767123292E-2</v>
      </c>
      <c r="M150" t="b">
        <v>0</v>
      </c>
      <c r="N150">
        <f t="shared" si="6"/>
        <v>10</v>
      </c>
      <c r="O150">
        <f t="shared" si="7"/>
        <v>2010</v>
      </c>
      <c r="P150">
        <f t="shared" si="8"/>
        <v>2010</v>
      </c>
    </row>
    <row r="151" spans="1:16" x14ac:dyDescent="0.25">
      <c r="A151" s="2" t="s">
        <v>49</v>
      </c>
      <c r="B151" s="2" t="s">
        <v>50</v>
      </c>
      <c r="C151" s="2" t="s">
        <v>47</v>
      </c>
      <c r="D151" s="25">
        <v>40425</v>
      </c>
      <c r="E151" s="2">
        <v>7</v>
      </c>
      <c r="F151" s="25">
        <v>40453</v>
      </c>
      <c r="G151" s="25">
        <v>40492</v>
      </c>
      <c r="H151" s="2" t="s">
        <v>48</v>
      </c>
      <c r="I151" s="2" t="s">
        <v>43</v>
      </c>
      <c r="J151" s="2" t="s">
        <v>41</v>
      </c>
      <c r="K151" s="2" t="s">
        <v>877</v>
      </c>
      <c r="L151" s="96">
        <v>7.6712328767123292E-2</v>
      </c>
      <c r="M151" t="b">
        <v>0</v>
      </c>
      <c r="N151">
        <f t="shared" si="6"/>
        <v>10</v>
      </c>
      <c r="O151">
        <f t="shared" si="7"/>
        <v>2010</v>
      </c>
      <c r="P151">
        <f t="shared" si="8"/>
        <v>2010</v>
      </c>
    </row>
    <row r="152" spans="1:16" x14ac:dyDescent="0.25">
      <c r="A152" s="2" t="s">
        <v>51</v>
      </c>
      <c r="B152" s="2" t="s">
        <v>52</v>
      </c>
      <c r="C152" s="2" t="s">
        <v>47</v>
      </c>
      <c r="D152" s="25">
        <v>40425</v>
      </c>
      <c r="E152" s="2">
        <v>7</v>
      </c>
      <c r="F152" s="25">
        <v>40453</v>
      </c>
      <c r="G152" s="25">
        <v>40492</v>
      </c>
      <c r="H152" s="2" t="s">
        <v>48</v>
      </c>
      <c r="I152" s="2" t="s">
        <v>43</v>
      </c>
      <c r="J152" s="2" t="s">
        <v>41</v>
      </c>
      <c r="K152" s="2" t="s">
        <v>877</v>
      </c>
      <c r="L152" s="96">
        <v>7.6712328767123292E-2</v>
      </c>
      <c r="M152" t="b">
        <v>0</v>
      </c>
      <c r="N152">
        <f t="shared" si="6"/>
        <v>10</v>
      </c>
      <c r="O152">
        <f t="shared" si="7"/>
        <v>2010</v>
      </c>
      <c r="P152">
        <f t="shared" si="8"/>
        <v>2010</v>
      </c>
    </row>
    <row r="153" spans="1:16" x14ac:dyDescent="0.25">
      <c r="A153" s="2" t="s">
        <v>159</v>
      </c>
      <c r="B153" s="2" t="s">
        <v>160</v>
      </c>
      <c r="C153" s="2" t="s">
        <v>23</v>
      </c>
      <c r="D153" s="25">
        <v>40296</v>
      </c>
      <c r="E153" s="2">
        <v>7</v>
      </c>
      <c r="F153" s="5">
        <v>40344</v>
      </c>
      <c r="G153" s="25">
        <v>40770</v>
      </c>
      <c r="H153" s="2" t="s">
        <v>28</v>
      </c>
      <c r="I153" s="2"/>
      <c r="J153" s="2"/>
      <c r="K153" s="2"/>
      <c r="L153" s="96">
        <v>0.13150684931506848</v>
      </c>
      <c r="M153" t="b">
        <v>1</v>
      </c>
      <c r="N153">
        <f t="shared" si="6"/>
        <v>6</v>
      </c>
      <c r="O153">
        <f t="shared" si="7"/>
        <v>2010</v>
      </c>
      <c r="P153">
        <f t="shared" si="8"/>
        <v>2010</v>
      </c>
    </row>
    <row r="154" spans="1:16" x14ac:dyDescent="0.25">
      <c r="A154" s="2" t="s">
        <v>122</v>
      </c>
      <c r="B154" s="2" t="s">
        <v>123</v>
      </c>
      <c r="C154" s="2" t="s">
        <v>13</v>
      </c>
      <c r="D154" s="25">
        <v>36892</v>
      </c>
      <c r="E154" s="2">
        <v>900</v>
      </c>
      <c r="F154" s="5">
        <v>40374</v>
      </c>
      <c r="G154" s="2"/>
      <c r="H154" s="2"/>
      <c r="I154" s="2"/>
      <c r="J154" s="2"/>
      <c r="K154" s="2"/>
      <c r="L154" s="96">
        <v>9.5397260273972595</v>
      </c>
      <c r="M154" t="b">
        <v>1</v>
      </c>
      <c r="N154">
        <f t="shared" si="6"/>
        <v>7</v>
      </c>
      <c r="O154">
        <f t="shared" si="7"/>
        <v>2010</v>
      </c>
      <c r="P154">
        <f t="shared" si="8"/>
        <v>2001</v>
      </c>
    </row>
    <row r="155" spans="1:16" x14ac:dyDescent="0.25">
      <c r="A155" s="2" t="s">
        <v>53</v>
      </c>
      <c r="B155" s="2" t="s">
        <v>54</v>
      </c>
      <c r="C155" s="2" t="s">
        <v>13</v>
      </c>
      <c r="D155" s="25">
        <v>40559</v>
      </c>
      <c r="E155" s="2">
        <v>14</v>
      </c>
      <c r="F155" s="5">
        <v>40648</v>
      </c>
      <c r="G155" s="25">
        <v>40756</v>
      </c>
      <c r="H155" s="2" t="s">
        <v>28</v>
      </c>
      <c r="I155" s="2" t="s">
        <v>26</v>
      </c>
      <c r="J155" s="2" t="s">
        <v>55</v>
      </c>
      <c r="K155" s="2" t="s">
        <v>56</v>
      </c>
      <c r="L155" s="96">
        <v>0.24383561643835616</v>
      </c>
      <c r="M155" t="b">
        <v>1</v>
      </c>
      <c r="N155">
        <f t="shared" si="6"/>
        <v>4</v>
      </c>
      <c r="O155">
        <f t="shared" si="7"/>
        <v>2011</v>
      </c>
      <c r="P155">
        <f t="shared" si="8"/>
        <v>2011</v>
      </c>
    </row>
    <row r="156" spans="1:16" x14ac:dyDescent="0.25">
      <c r="A156" s="2" t="s">
        <v>209</v>
      </c>
      <c r="B156" s="2" t="s">
        <v>210</v>
      </c>
      <c r="C156" s="2" t="s">
        <v>47</v>
      </c>
      <c r="D156" s="25">
        <v>40252</v>
      </c>
      <c r="E156" s="2">
        <v>30</v>
      </c>
      <c r="F156" s="5">
        <v>40466</v>
      </c>
      <c r="G156" s="2"/>
      <c r="H156" s="2"/>
      <c r="I156" s="2"/>
      <c r="J156" s="2"/>
      <c r="K156" s="2"/>
      <c r="L156" s="96">
        <v>0.58630136986301373</v>
      </c>
      <c r="M156" t="b">
        <v>1</v>
      </c>
      <c r="N156">
        <f t="shared" si="6"/>
        <v>10</v>
      </c>
      <c r="O156">
        <f t="shared" si="7"/>
        <v>2010</v>
      </c>
      <c r="P156">
        <f t="shared" si="8"/>
        <v>2010</v>
      </c>
    </row>
    <row r="157" spans="1:16" x14ac:dyDescent="0.25">
      <c r="A157" s="2" t="s">
        <v>211</v>
      </c>
      <c r="B157" s="2" t="s">
        <v>212</v>
      </c>
      <c r="C157" s="2" t="s">
        <v>47</v>
      </c>
      <c r="D157" s="25">
        <v>40252</v>
      </c>
      <c r="E157" s="2">
        <v>30</v>
      </c>
      <c r="F157" s="5">
        <v>40466</v>
      </c>
      <c r="G157" s="2"/>
      <c r="H157" s="2"/>
      <c r="I157" s="2"/>
      <c r="J157" s="2"/>
      <c r="K157" s="2"/>
      <c r="L157" s="96">
        <v>0.58630136986301373</v>
      </c>
      <c r="M157" t="b">
        <v>1</v>
      </c>
      <c r="N157">
        <f t="shared" si="6"/>
        <v>10</v>
      </c>
      <c r="O157">
        <f t="shared" si="7"/>
        <v>2010</v>
      </c>
      <c r="P157">
        <f t="shared" si="8"/>
        <v>2010</v>
      </c>
    </row>
    <row r="158" spans="1:16" x14ac:dyDescent="0.25">
      <c r="A158" s="2" t="s">
        <v>297</v>
      </c>
      <c r="B158" s="2" t="s">
        <v>298</v>
      </c>
      <c r="C158" s="2" t="s">
        <v>23</v>
      </c>
      <c r="D158" s="25">
        <v>39103</v>
      </c>
      <c r="E158" s="2">
        <v>180</v>
      </c>
      <c r="F158" s="5">
        <v>40497</v>
      </c>
      <c r="G158" s="2"/>
      <c r="H158" s="2"/>
      <c r="I158" s="2"/>
      <c r="J158" s="2"/>
      <c r="K158" s="2"/>
      <c r="L158" s="96">
        <v>3.8191780821917809</v>
      </c>
      <c r="M158" t="b">
        <v>1</v>
      </c>
      <c r="N158">
        <f t="shared" si="6"/>
        <v>11</v>
      </c>
      <c r="O158">
        <f t="shared" si="7"/>
        <v>2010</v>
      </c>
      <c r="P158">
        <f t="shared" si="8"/>
        <v>2007</v>
      </c>
    </row>
    <row r="159" spans="1:16" x14ac:dyDescent="0.25">
      <c r="A159" s="2" t="s">
        <v>299</v>
      </c>
      <c r="B159" s="2" t="s">
        <v>300</v>
      </c>
      <c r="C159" s="2" t="s">
        <v>23</v>
      </c>
      <c r="D159" s="25">
        <v>39103</v>
      </c>
      <c r="E159" s="2">
        <v>180</v>
      </c>
      <c r="F159" s="5">
        <v>40497</v>
      </c>
      <c r="G159" s="2"/>
      <c r="H159" s="2"/>
      <c r="I159" s="2"/>
      <c r="J159" s="2"/>
      <c r="K159" s="2"/>
      <c r="L159" s="96">
        <v>3.8191780821917809</v>
      </c>
      <c r="M159" t="b">
        <v>1</v>
      </c>
      <c r="N159">
        <f t="shared" si="6"/>
        <v>11</v>
      </c>
      <c r="O159">
        <f t="shared" si="7"/>
        <v>2010</v>
      </c>
      <c r="P159">
        <f t="shared" si="8"/>
        <v>2007</v>
      </c>
    </row>
    <row r="160" spans="1:16" x14ac:dyDescent="0.25">
      <c r="A160" s="2" t="s">
        <v>124</v>
      </c>
      <c r="B160" s="2" t="s">
        <v>125</v>
      </c>
      <c r="C160" s="2" t="s">
        <v>23</v>
      </c>
      <c r="D160" s="25">
        <v>39677</v>
      </c>
      <c r="E160" s="2">
        <v>90</v>
      </c>
      <c r="F160" s="5">
        <v>40405</v>
      </c>
      <c r="G160" s="2"/>
      <c r="H160" s="2"/>
      <c r="I160" s="2"/>
      <c r="J160" s="2"/>
      <c r="K160" s="2"/>
      <c r="L160" s="96">
        <v>1.9945205479452055</v>
      </c>
      <c r="M160" t="b">
        <v>1</v>
      </c>
      <c r="N160">
        <f t="shared" si="6"/>
        <v>8</v>
      </c>
      <c r="O160">
        <f t="shared" si="7"/>
        <v>2010</v>
      </c>
      <c r="P160">
        <f t="shared" si="8"/>
        <v>2008</v>
      </c>
    </row>
    <row r="161" spans="1:16" x14ac:dyDescent="0.25">
      <c r="A161" s="2" t="s">
        <v>275</v>
      </c>
      <c r="B161" s="2" t="s">
        <v>276</v>
      </c>
      <c r="C161" s="2" t="s">
        <v>23</v>
      </c>
      <c r="D161" s="25">
        <v>39326</v>
      </c>
      <c r="E161" s="2">
        <v>180</v>
      </c>
      <c r="F161" s="5">
        <v>40436</v>
      </c>
      <c r="G161" s="25">
        <v>41098</v>
      </c>
      <c r="H161" s="2" t="s">
        <v>277</v>
      </c>
      <c r="I161" s="2"/>
      <c r="J161" s="2"/>
      <c r="K161" s="2"/>
      <c r="L161" s="96">
        <v>3.0410958904109591</v>
      </c>
      <c r="M161" t="b">
        <v>1</v>
      </c>
      <c r="N161">
        <f t="shared" si="6"/>
        <v>9</v>
      </c>
      <c r="O161">
        <f t="shared" si="7"/>
        <v>2010</v>
      </c>
      <c r="P161">
        <f t="shared" si="8"/>
        <v>2007</v>
      </c>
    </row>
    <row r="162" spans="1:16" x14ac:dyDescent="0.25">
      <c r="A162" s="2" t="s">
        <v>278</v>
      </c>
      <c r="B162" s="2" t="s">
        <v>279</v>
      </c>
      <c r="C162" s="2" t="s">
        <v>23</v>
      </c>
      <c r="D162" s="25">
        <v>39326</v>
      </c>
      <c r="E162" s="2">
        <v>180</v>
      </c>
      <c r="F162" s="5">
        <v>40436</v>
      </c>
      <c r="G162" s="2"/>
      <c r="H162" s="2"/>
      <c r="I162" s="2"/>
      <c r="J162" s="2"/>
      <c r="K162" s="2"/>
      <c r="L162" s="96">
        <v>3.0410958904109591</v>
      </c>
      <c r="M162" t="b">
        <v>1</v>
      </c>
      <c r="N162">
        <f t="shared" si="6"/>
        <v>9</v>
      </c>
      <c r="O162">
        <f t="shared" si="7"/>
        <v>2010</v>
      </c>
      <c r="P162">
        <f t="shared" si="8"/>
        <v>2007</v>
      </c>
    </row>
    <row r="163" spans="1:16" x14ac:dyDescent="0.25">
      <c r="A163" s="2" t="s">
        <v>170</v>
      </c>
      <c r="B163" s="2" t="s">
        <v>171</v>
      </c>
      <c r="C163" s="2" t="s">
        <v>13</v>
      </c>
      <c r="D163" s="25">
        <v>36892</v>
      </c>
      <c r="E163" s="2">
        <v>900</v>
      </c>
      <c r="F163" s="5">
        <v>40040</v>
      </c>
      <c r="G163" s="2"/>
      <c r="H163" s="2"/>
      <c r="I163" s="2"/>
      <c r="J163" s="2"/>
      <c r="K163" s="2" t="s">
        <v>173</v>
      </c>
      <c r="L163" s="96">
        <v>8.624657534246575</v>
      </c>
      <c r="M163" t="b">
        <v>1</v>
      </c>
      <c r="N163">
        <f t="shared" si="6"/>
        <v>8</v>
      </c>
      <c r="O163">
        <f t="shared" si="7"/>
        <v>2009</v>
      </c>
      <c r="P163">
        <f t="shared" si="8"/>
        <v>2001</v>
      </c>
    </row>
    <row r="164" spans="1:16" x14ac:dyDescent="0.25">
      <c r="A164" s="2" t="s">
        <v>57</v>
      </c>
      <c r="B164" s="2" t="s">
        <v>58</v>
      </c>
      <c r="C164" s="2" t="s">
        <v>47</v>
      </c>
      <c r="D164" s="25">
        <v>40559</v>
      </c>
      <c r="E164" s="2">
        <v>14</v>
      </c>
      <c r="F164" s="5">
        <v>40678</v>
      </c>
      <c r="G164" s="2"/>
      <c r="H164" s="2"/>
      <c r="I164" s="2" t="s">
        <v>26</v>
      </c>
      <c r="J164" s="2" t="s">
        <v>55</v>
      </c>
      <c r="K164" s="2" t="s">
        <v>56</v>
      </c>
      <c r="L164" s="96">
        <v>0.32602739726027397</v>
      </c>
      <c r="M164" t="b">
        <v>1</v>
      </c>
      <c r="N164">
        <f t="shared" si="6"/>
        <v>5</v>
      </c>
      <c r="O164">
        <f t="shared" si="7"/>
        <v>2011</v>
      </c>
      <c r="P164">
        <f t="shared" si="8"/>
        <v>2011</v>
      </c>
    </row>
    <row r="165" spans="1:16" x14ac:dyDescent="0.25">
      <c r="A165" s="2" t="s">
        <v>59</v>
      </c>
      <c r="B165" s="2" t="s">
        <v>60</v>
      </c>
      <c r="C165" s="2" t="s">
        <v>47</v>
      </c>
      <c r="D165" s="25">
        <v>40559</v>
      </c>
      <c r="E165" s="2">
        <v>14</v>
      </c>
      <c r="F165" s="5">
        <v>40678</v>
      </c>
      <c r="G165" s="25">
        <v>40756</v>
      </c>
      <c r="H165" s="2" t="s">
        <v>28</v>
      </c>
      <c r="I165" s="2" t="s">
        <v>26</v>
      </c>
      <c r="J165" s="2" t="s">
        <v>55</v>
      </c>
      <c r="K165" s="2" t="s">
        <v>56</v>
      </c>
      <c r="L165" s="96">
        <v>0.32602739726027397</v>
      </c>
      <c r="M165" t="b">
        <v>1</v>
      </c>
      <c r="N165">
        <f t="shared" si="6"/>
        <v>5</v>
      </c>
      <c r="O165">
        <f t="shared" si="7"/>
        <v>2011</v>
      </c>
      <c r="P165">
        <f t="shared" si="8"/>
        <v>2011</v>
      </c>
    </row>
    <row r="166" spans="1:16" x14ac:dyDescent="0.25">
      <c r="A166" s="2" t="s">
        <v>174</v>
      </c>
      <c r="B166" s="2" t="s">
        <v>175</v>
      </c>
      <c r="C166" s="2" t="s">
        <v>13</v>
      </c>
      <c r="D166" s="25">
        <v>39845</v>
      </c>
      <c r="E166" s="2">
        <v>90</v>
      </c>
      <c r="F166" s="5">
        <v>40709</v>
      </c>
      <c r="G166" s="2"/>
      <c r="H166" s="2"/>
      <c r="I166" s="2" t="s">
        <v>176</v>
      </c>
      <c r="J166" s="2"/>
      <c r="K166" s="2"/>
      <c r="L166" s="96">
        <v>2.3671232876712329</v>
      </c>
      <c r="M166" t="b">
        <v>1</v>
      </c>
      <c r="N166">
        <f t="shared" si="6"/>
        <v>6</v>
      </c>
      <c r="O166">
        <f t="shared" si="7"/>
        <v>2011</v>
      </c>
      <c r="P166">
        <f t="shared" si="8"/>
        <v>2009</v>
      </c>
    </row>
    <row r="167" spans="1:16" x14ac:dyDescent="0.25">
      <c r="A167" s="2" t="s">
        <v>177</v>
      </c>
      <c r="B167" s="2" t="s">
        <v>178</v>
      </c>
      <c r="C167" s="2" t="s">
        <v>13</v>
      </c>
      <c r="D167" s="25">
        <v>39593</v>
      </c>
      <c r="E167" s="2">
        <v>365</v>
      </c>
      <c r="F167" s="5">
        <v>40739</v>
      </c>
      <c r="G167" s="2"/>
      <c r="H167" s="2"/>
      <c r="I167" s="2"/>
      <c r="J167" s="2"/>
      <c r="K167" s="2"/>
      <c r="L167" s="96">
        <v>3.1397260273972605</v>
      </c>
      <c r="M167" t="b">
        <v>1</v>
      </c>
      <c r="N167">
        <f t="shared" si="6"/>
        <v>7</v>
      </c>
      <c r="O167">
        <f t="shared" si="7"/>
        <v>2011</v>
      </c>
      <c r="P167">
        <f t="shared" si="8"/>
        <v>2008</v>
      </c>
    </row>
    <row r="168" spans="1:16" x14ac:dyDescent="0.25">
      <c r="A168" s="2" t="s">
        <v>179</v>
      </c>
      <c r="B168" s="2" t="s">
        <v>180</v>
      </c>
      <c r="C168" s="2" t="s">
        <v>13</v>
      </c>
      <c r="D168" s="25">
        <v>39227</v>
      </c>
      <c r="E168" s="2">
        <v>365</v>
      </c>
      <c r="F168" s="5">
        <v>40801</v>
      </c>
      <c r="G168" s="2"/>
      <c r="H168" s="2"/>
      <c r="I168" s="2"/>
      <c r="J168" s="2"/>
      <c r="K168" s="2"/>
      <c r="L168" s="96">
        <v>4.3123287671232875</v>
      </c>
      <c r="M168" t="b">
        <v>1</v>
      </c>
      <c r="N168">
        <f t="shared" si="6"/>
        <v>9</v>
      </c>
      <c r="O168">
        <f t="shared" si="7"/>
        <v>2011</v>
      </c>
      <c r="P168">
        <f t="shared" si="8"/>
        <v>2007</v>
      </c>
    </row>
    <row r="169" spans="1:16" x14ac:dyDescent="0.25">
      <c r="A169" s="2" t="s">
        <v>181</v>
      </c>
      <c r="B169" s="2" t="s">
        <v>182</v>
      </c>
      <c r="C169" s="2" t="s">
        <v>23</v>
      </c>
      <c r="D169" s="25">
        <v>39685</v>
      </c>
      <c r="E169" s="2">
        <v>120</v>
      </c>
      <c r="F169" s="5">
        <v>40678</v>
      </c>
      <c r="G169" s="2"/>
      <c r="H169" s="2"/>
      <c r="I169" s="2"/>
      <c r="J169" s="2"/>
      <c r="K169" s="2"/>
      <c r="L169" s="96">
        <v>2.7205479452054795</v>
      </c>
      <c r="M169" t="b">
        <v>1</v>
      </c>
      <c r="N169">
        <f t="shared" si="6"/>
        <v>5</v>
      </c>
      <c r="O169">
        <f t="shared" si="7"/>
        <v>2011</v>
      </c>
      <c r="P169">
        <f t="shared" si="8"/>
        <v>2008</v>
      </c>
    </row>
    <row r="170" spans="1:16" x14ac:dyDescent="0.25">
      <c r="A170" s="2" t="s">
        <v>183</v>
      </c>
      <c r="B170" s="2" t="s">
        <v>184</v>
      </c>
      <c r="C170" s="2" t="s">
        <v>23</v>
      </c>
      <c r="D170" s="25">
        <v>39685</v>
      </c>
      <c r="E170" s="2">
        <v>120</v>
      </c>
      <c r="F170" s="5">
        <v>40678</v>
      </c>
      <c r="G170" s="2"/>
      <c r="H170" s="2"/>
      <c r="I170" s="2"/>
      <c r="J170" s="2"/>
      <c r="K170" s="2"/>
      <c r="L170" s="96">
        <v>2.7205479452054795</v>
      </c>
      <c r="M170" t="b">
        <v>1</v>
      </c>
      <c r="N170">
        <f t="shared" si="6"/>
        <v>5</v>
      </c>
      <c r="O170">
        <f t="shared" si="7"/>
        <v>2011</v>
      </c>
      <c r="P170">
        <f t="shared" si="8"/>
        <v>2008</v>
      </c>
    </row>
    <row r="171" spans="1:16" x14ac:dyDescent="0.25">
      <c r="A171" s="2" t="s">
        <v>525</v>
      </c>
      <c r="B171" s="2" t="s">
        <v>526</v>
      </c>
      <c r="C171" s="2" t="s">
        <v>23</v>
      </c>
      <c r="D171" s="25">
        <v>39539</v>
      </c>
      <c r="E171" s="2">
        <v>90</v>
      </c>
      <c r="F171" s="5">
        <v>40739</v>
      </c>
      <c r="G171" s="2"/>
      <c r="H171" s="2"/>
      <c r="I171" s="2"/>
      <c r="J171" s="2"/>
      <c r="K171" s="2"/>
      <c r="L171" s="96">
        <v>3.2876712328767121</v>
      </c>
      <c r="M171" t="b">
        <v>1</v>
      </c>
      <c r="N171">
        <f t="shared" si="6"/>
        <v>7</v>
      </c>
      <c r="O171">
        <f t="shared" si="7"/>
        <v>2011</v>
      </c>
      <c r="P171">
        <f t="shared" si="8"/>
        <v>2008</v>
      </c>
    </row>
    <row r="172" spans="1:16" x14ac:dyDescent="0.25">
      <c r="A172" s="2" t="s">
        <v>371</v>
      </c>
      <c r="B172" s="2" t="s">
        <v>372</v>
      </c>
      <c r="C172" s="2" t="s">
        <v>23</v>
      </c>
      <c r="D172" s="25">
        <v>39452</v>
      </c>
      <c r="E172" s="2">
        <v>120</v>
      </c>
      <c r="F172" s="5">
        <v>40739</v>
      </c>
      <c r="G172" s="2"/>
      <c r="H172" s="2"/>
      <c r="I172" s="2"/>
      <c r="J172" s="2"/>
      <c r="K172" s="2"/>
      <c r="L172" s="96">
        <v>3.526027397260274</v>
      </c>
      <c r="M172" t="b">
        <v>1</v>
      </c>
      <c r="N172">
        <f t="shared" si="6"/>
        <v>7</v>
      </c>
      <c r="O172">
        <f t="shared" si="7"/>
        <v>2011</v>
      </c>
      <c r="P172">
        <f t="shared" si="8"/>
        <v>2008</v>
      </c>
    </row>
    <row r="173" spans="1:16" x14ac:dyDescent="0.25">
      <c r="A173" s="2" t="s">
        <v>373</v>
      </c>
      <c r="B173" s="2" t="s">
        <v>374</v>
      </c>
      <c r="C173" s="2" t="s">
        <v>23</v>
      </c>
      <c r="D173" s="25">
        <v>39452</v>
      </c>
      <c r="E173" s="2">
        <v>120</v>
      </c>
      <c r="F173" s="5">
        <v>40770</v>
      </c>
      <c r="G173" s="2"/>
      <c r="H173" s="2"/>
      <c r="I173" s="2"/>
      <c r="J173" s="2"/>
      <c r="K173" s="2"/>
      <c r="L173" s="96">
        <v>3.6109589041095891</v>
      </c>
      <c r="M173" t="b">
        <v>1</v>
      </c>
      <c r="N173">
        <f t="shared" si="6"/>
        <v>8</v>
      </c>
      <c r="O173">
        <f t="shared" si="7"/>
        <v>2011</v>
      </c>
      <c r="P173">
        <f t="shared" si="8"/>
        <v>2008</v>
      </c>
    </row>
    <row r="174" spans="1:16" x14ac:dyDescent="0.25">
      <c r="A174" s="2" t="s">
        <v>375</v>
      </c>
      <c r="B174" s="2" t="s">
        <v>376</v>
      </c>
      <c r="C174" s="2" t="s">
        <v>23</v>
      </c>
      <c r="D174" s="25">
        <v>39452</v>
      </c>
      <c r="E174" s="2">
        <v>120</v>
      </c>
      <c r="F174" s="5">
        <v>40770</v>
      </c>
      <c r="G174" s="2"/>
      <c r="H174" s="2"/>
      <c r="I174" s="2"/>
      <c r="J174" s="2"/>
      <c r="K174" s="2"/>
      <c r="L174" s="96">
        <v>3.6109589041095891</v>
      </c>
      <c r="M174" t="b">
        <v>1</v>
      </c>
      <c r="N174">
        <f t="shared" si="6"/>
        <v>8</v>
      </c>
      <c r="O174">
        <f t="shared" si="7"/>
        <v>2011</v>
      </c>
      <c r="P174">
        <f t="shared" si="8"/>
        <v>2008</v>
      </c>
    </row>
    <row r="175" spans="1:16" x14ac:dyDescent="0.25">
      <c r="A175" s="2" t="s">
        <v>398</v>
      </c>
      <c r="B175" s="2" t="s">
        <v>399</v>
      </c>
      <c r="C175" s="2" t="s">
        <v>13</v>
      </c>
      <c r="D175" s="25">
        <v>39268</v>
      </c>
      <c r="E175" s="2">
        <v>365</v>
      </c>
      <c r="F175" s="5" t="s">
        <v>47</v>
      </c>
      <c r="G175" s="2"/>
      <c r="H175" s="2"/>
      <c r="I175" s="2"/>
      <c r="J175" s="2"/>
      <c r="K175" s="2"/>
      <c r="L175" s="96" t="s">
        <v>47</v>
      </c>
      <c r="M175" t="b">
        <v>0</v>
      </c>
      <c r="N175" t="s">
        <v>47</v>
      </c>
      <c r="O175" t="s">
        <v>47</v>
      </c>
      <c r="P175">
        <f t="shared" si="8"/>
        <v>2007</v>
      </c>
    </row>
    <row r="176" spans="1:16" x14ac:dyDescent="0.25">
      <c r="A176" s="2" t="s">
        <v>213</v>
      </c>
      <c r="B176" s="2" t="s">
        <v>214</v>
      </c>
      <c r="C176" s="2" t="s">
        <v>13</v>
      </c>
      <c r="D176" s="25">
        <v>39814</v>
      </c>
      <c r="E176" s="2">
        <v>180</v>
      </c>
      <c r="F176" s="5">
        <v>41197</v>
      </c>
      <c r="G176" s="2"/>
      <c r="H176" s="2"/>
      <c r="I176" s="2"/>
      <c r="J176" s="2"/>
      <c r="K176" s="2"/>
      <c r="L176" s="96">
        <v>3.7890410958904108</v>
      </c>
      <c r="M176" t="b">
        <v>1</v>
      </c>
      <c r="N176">
        <f t="shared" si="6"/>
        <v>10</v>
      </c>
      <c r="O176">
        <f t="shared" si="7"/>
        <v>2012</v>
      </c>
      <c r="P176">
        <f t="shared" si="8"/>
        <v>2009</v>
      </c>
    </row>
    <row r="177" spans="1:16" x14ac:dyDescent="0.25">
      <c r="A177" s="2" t="s">
        <v>215</v>
      </c>
      <c r="B177" s="2" t="s">
        <v>216</v>
      </c>
      <c r="C177" s="2" t="s">
        <v>13</v>
      </c>
      <c r="D177" s="25">
        <v>39841</v>
      </c>
      <c r="E177" s="2">
        <v>270</v>
      </c>
      <c r="F177" s="5">
        <v>40709</v>
      </c>
      <c r="G177" s="2"/>
      <c r="H177" s="2"/>
      <c r="I177" s="2" t="s">
        <v>217</v>
      </c>
      <c r="J177" s="2"/>
      <c r="K177" s="2"/>
      <c r="L177" s="96">
        <v>2.3780821917808219</v>
      </c>
      <c r="M177" t="b">
        <v>1</v>
      </c>
      <c r="N177">
        <f t="shared" si="6"/>
        <v>6</v>
      </c>
      <c r="O177">
        <f t="shared" si="7"/>
        <v>2011</v>
      </c>
      <c r="P177">
        <f t="shared" si="8"/>
        <v>2009</v>
      </c>
    </row>
    <row r="178" spans="1:16" x14ac:dyDescent="0.25">
      <c r="A178" s="2" t="s">
        <v>417</v>
      </c>
      <c r="B178" s="2" t="s">
        <v>418</v>
      </c>
      <c r="C178" s="2" t="s">
        <v>13</v>
      </c>
      <c r="D178" s="25">
        <v>39608</v>
      </c>
      <c r="E178" s="2">
        <v>270</v>
      </c>
      <c r="F178" s="5" t="s">
        <v>47</v>
      </c>
      <c r="G178" s="2"/>
      <c r="H178" s="2"/>
      <c r="I178" s="2"/>
      <c r="J178" s="2"/>
      <c r="K178" s="2"/>
      <c r="L178" s="96" t="s">
        <v>47</v>
      </c>
      <c r="M178" t="b">
        <v>0</v>
      </c>
      <c r="N178" t="s">
        <v>47</v>
      </c>
      <c r="O178" t="s">
        <v>47</v>
      </c>
      <c r="P178">
        <f t="shared" si="8"/>
        <v>2008</v>
      </c>
    </row>
    <row r="179" spans="1:16" x14ac:dyDescent="0.25">
      <c r="A179" s="2" t="s">
        <v>419</v>
      </c>
      <c r="B179" s="2" t="s">
        <v>420</v>
      </c>
      <c r="C179" s="2" t="s">
        <v>13</v>
      </c>
      <c r="D179" s="25" t="s">
        <v>47</v>
      </c>
      <c r="E179" s="2">
        <v>180</v>
      </c>
      <c r="F179" s="5">
        <v>41898</v>
      </c>
      <c r="G179" s="2"/>
      <c r="H179" s="2"/>
      <c r="I179" s="2"/>
      <c r="J179" s="2"/>
      <c r="K179" s="2" t="s">
        <v>883</v>
      </c>
      <c r="L179" s="96" t="s">
        <v>47</v>
      </c>
      <c r="M179" t="b">
        <v>0</v>
      </c>
      <c r="N179">
        <f t="shared" si="6"/>
        <v>9</v>
      </c>
      <c r="O179">
        <f t="shared" si="7"/>
        <v>2014</v>
      </c>
      <c r="P179" s="96" t="s">
        <v>47</v>
      </c>
    </row>
    <row r="180" spans="1:16" x14ac:dyDescent="0.25">
      <c r="A180" s="2" t="s">
        <v>421</v>
      </c>
      <c r="B180" s="2" t="s">
        <v>422</v>
      </c>
      <c r="C180" s="2" t="s">
        <v>13</v>
      </c>
      <c r="D180" s="25">
        <v>39242</v>
      </c>
      <c r="E180" s="2">
        <v>270</v>
      </c>
      <c r="F180" s="5" t="s">
        <v>47</v>
      </c>
      <c r="G180" s="2"/>
      <c r="H180" s="2"/>
      <c r="I180" s="2"/>
      <c r="J180" s="2"/>
      <c r="K180" s="2"/>
      <c r="L180" s="96" t="s">
        <v>47</v>
      </c>
      <c r="M180" t="b">
        <v>0</v>
      </c>
      <c r="N180" t="s">
        <v>47</v>
      </c>
      <c r="O180" t="s">
        <v>47</v>
      </c>
      <c r="P180">
        <f t="shared" si="8"/>
        <v>2007</v>
      </c>
    </row>
    <row r="181" spans="1:16" x14ac:dyDescent="0.25">
      <c r="A181" s="2" t="s">
        <v>423</v>
      </c>
      <c r="B181" s="2" t="s">
        <v>424</v>
      </c>
      <c r="C181" s="2" t="s">
        <v>13</v>
      </c>
      <c r="D181" s="25" t="s">
        <v>47</v>
      </c>
      <c r="E181" s="2">
        <v>180</v>
      </c>
      <c r="F181" s="5" t="s">
        <v>47</v>
      </c>
      <c r="G181" s="2"/>
      <c r="H181" s="2"/>
      <c r="I181" s="2"/>
      <c r="J181" s="2"/>
      <c r="K181" s="2"/>
      <c r="L181" s="96" t="s">
        <v>47</v>
      </c>
      <c r="M181" t="b">
        <v>0</v>
      </c>
      <c r="N181" t="s">
        <v>47</v>
      </c>
      <c r="O181" t="s">
        <v>47</v>
      </c>
      <c r="P181" t="s">
        <v>47</v>
      </c>
    </row>
    <row r="182" spans="1:16" x14ac:dyDescent="0.25">
      <c r="A182" s="2" t="s">
        <v>425</v>
      </c>
      <c r="B182" s="2" t="s">
        <v>426</v>
      </c>
      <c r="C182" s="2" t="s">
        <v>23</v>
      </c>
      <c r="D182" s="25">
        <v>40187</v>
      </c>
      <c r="E182" s="2">
        <v>120</v>
      </c>
      <c r="F182" s="5" t="s">
        <v>47</v>
      </c>
      <c r="G182" s="2"/>
      <c r="H182" s="2"/>
      <c r="I182" s="2"/>
      <c r="J182" s="2"/>
      <c r="K182" s="2"/>
      <c r="L182" s="96" t="s">
        <v>47</v>
      </c>
      <c r="M182" t="b">
        <v>0</v>
      </c>
      <c r="N182" t="s">
        <v>47</v>
      </c>
      <c r="O182" t="s">
        <v>47</v>
      </c>
      <c r="P182">
        <f t="shared" si="8"/>
        <v>2010</v>
      </c>
    </row>
    <row r="183" spans="1:16" x14ac:dyDescent="0.25">
      <c r="A183" s="2" t="s">
        <v>185</v>
      </c>
      <c r="B183" s="2" t="s">
        <v>186</v>
      </c>
      <c r="C183" s="2" t="s">
        <v>13</v>
      </c>
      <c r="D183" s="25">
        <v>39234</v>
      </c>
      <c r="E183" s="2">
        <v>180</v>
      </c>
      <c r="F183" s="5">
        <v>40801</v>
      </c>
      <c r="G183" s="2"/>
      <c r="H183" s="2"/>
      <c r="I183" s="2"/>
      <c r="J183" s="2"/>
      <c r="K183" s="2"/>
      <c r="L183" s="96">
        <v>4.2931506849315069</v>
      </c>
      <c r="M183" t="b">
        <v>1</v>
      </c>
      <c r="N183">
        <f t="shared" si="6"/>
        <v>9</v>
      </c>
      <c r="O183">
        <f t="shared" si="7"/>
        <v>2011</v>
      </c>
      <c r="P183">
        <f t="shared" si="8"/>
        <v>2007</v>
      </c>
    </row>
    <row r="184" spans="1:16" x14ac:dyDescent="0.25">
      <c r="A184" s="2" t="s">
        <v>126</v>
      </c>
      <c r="B184" s="2" t="s">
        <v>127</v>
      </c>
      <c r="C184" s="2" t="s">
        <v>13</v>
      </c>
      <c r="D184" s="25">
        <v>40695</v>
      </c>
      <c r="E184" s="2">
        <v>30</v>
      </c>
      <c r="F184" s="5">
        <v>40801</v>
      </c>
      <c r="G184" s="2"/>
      <c r="H184" s="2"/>
      <c r="I184" s="2"/>
      <c r="J184" s="2"/>
      <c r="K184" s="2"/>
      <c r="L184" s="96">
        <v>0.29041095890410956</v>
      </c>
      <c r="M184" t="b">
        <v>1</v>
      </c>
      <c r="N184">
        <f t="shared" si="6"/>
        <v>9</v>
      </c>
      <c r="O184">
        <f t="shared" si="7"/>
        <v>2011</v>
      </c>
      <c r="P184">
        <f t="shared" si="8"/>
        <v>2011</v>
      </c>
    </row>
    <row r="185" spans="1:16" x14ac:dyDescent="0.25">
      <c r="A185" s="2" t="s">
        <v>128</v>
      </c>
      <c r="B185" s="2" t="s">
        <v>129</v>
      </c>
      <c r="C185" s="2" t="s">
        <v>23</v>
      </c>
      <c r="D185" s="25">
        <v>40695</v>
      </c>
      <c r="E185" s="2">
        <v>30</v>
      </c>
      <c r="F185" s="5">
        <v>40801</v>
      </c>
      <c r="G185" s="2"/>
      <c r="H185" s="2"/>
      <c r="I185" s="2"/>
      <c r="J185" s="2"/>
      <c r="K185" s="2"/>
      <c r="L185" s="96">
        <v>0.29041095890410956</v>
      </c>
      <c r="M185" t="b">
        <v>1</v>
      </c>
      <c r="N185">
        <f t="shared" si="6"/>
        <v>9</v>
      </c>
      <c r="O185">
        <f t="shared" si="7"/>
        <v>2011</v>
      </c>
      <c r="P185">
        <f t="shared" si="8"/>
        <v>2011</v>
      </c>
    </row>
    <row r="186" spans="1:16" x14ac:dyDescent="0.25">
      <c r="A186" s="2" t="s">
        <v>130</v>
      </c>
      <c r="B186" s="2" t="s">
        <v>131</v>
      </c>
      <c r="C186" s="2" t="s">
        <v>13</v>
      </c>
      <c r="D186" s="25">
        <v>40695</v>
      </c>
      <c r="E186" s="2">
        <v>30</v>
      </c>
      <c r="F186" s="5">
        <v>40801</v>
      </c>
      <c r="G186" s="2"/>
      <c r="H186" s="2"/>
      <c r="I186" s="2"/>
      <c r="J186" s="2"/>
      <c r="K186" s="2"/>
      <c r="L186" s="96">
        <v>0.29041095890410956</v>
      </c>
      <c r="M186" t="b">
        <v>1</v>
      </c>
      <c r="N186">
        <f t="shared" si="6"/>
        <v>9</v>
      </c>
      <c r="O186">
        <f t="shared" si="7"/>
        <v>2011</v>
      </c>
      <c r="P186">
        <f t="shared" si="8"/>
        <v>2011</v>
      </c>
    </row>
    <row r="187" spans="1:16" x14ac:dyDescent="0.25">
      <c r="A187" s="2" t="s">
        <v>132</v>
      </c>
      <c r="B187" s="2" t="s">
        <v>133</v>
      </c>
      <c r="C187" s="2" t="s">
        <v>13</v>
      </c>
      <c r="D187" s="25">
        <v>40739</v>
      </c>
      <c r="E187" s="2">
        <v>14</v>
      </c>
      <c r="F187" s="5">
        <v>40801</v>
      </c>
      <c r="G187" s="2"/>
      <c r="H187" s="2"/>
      <c r="I187" s="2"/>
      <c r="J187" s="2"/>
      <c r="K187" s="2"/>
      <c r="L187" s="96">
        <v>0.16986301369863013</v>
      </c>
      <c r="M187" t="b">
        <v>1</v>
      </c>
      <c r="N187">
        <f t="shared" si="6"/>
        <v>9</v>
      </c>
      <c r="O187">
        <f t="shared" si="7"/>
        <v>2011</v>
      </c>
      <c r="P187">
        <f t="shared" si="8"/>
        <v>2011</v>
      </c>
    </row>
    <row r="188" spans="1:16" x14ac:dyDescent="0.25">
      <c r="A188" s="2" t="s">
        <v>134</v>
      </c>
      <c r="B188" s="2" t="s">
        <v>135</v>
      </c>
      <c r="C188" s="2" t="s">
        <v>23</v>
      </c>
      <c r="D188" s="25">
        <v>40739</v>
      </c>
      <c r="E188" s="2">
        <v>14</v>
      </c>
      <c r="F188" s="5">
        <v>40801</v>
      </c>
      <c r="G188" s="2"/>
      <c r="H188" s="2"/>
      <c r="I188" s="2" t="s">
        <v>136</v>
      </c>
      <c r="J188" s="2"/>
      <c r="K188" s="2"/>
      <c r="L188" s="96">
        <v>0.16986301369863013</v>
      </c>
      <c r="M188" t="b">
        <v>1</v>
      </c>
      <c r="N188">
        <f t="shared" si="6"/>
        <v>9</v>
      </c>
      <c r="O188">
        <f t="shared" si="7"/>
        <v>2011</v>
      </c>
      <c r="P188">
        <f t="shared" si="8"/>
        <v>2011</v>
      </c>
    </row>
    <row r="189" spans="1:16" x14ac:dyDescent="0.25">
      <c r="A189" s="2" t="s">
        <v>137</v>
      </c>
      <c r="B189" s="2" t="s">
        <v>138</v>
      </c>
      <c r="C189" s="2" t="s">
        <v>47</v>
      </c>
      <c r="D189" s="25">
        <v>40739</v>
      </c>
      <c r="E189" s="2">
        <v>14</v>
      </c>
      <c r="F189" s="5">
        <v>40801</v>
      </c>
      <c r="G189" s="2"/>
      <c r="H189" s="2"/>
      <c r="I189" s="2" t="s">
        <v>136</v>
      </c>
      <c r="J189" s="2"/>
      <c r="K189" s="2"/>
      <c r="L189" s="96">
        <v>0.16986301369863013</v>
      </c>
      <c r="M189" t="b">
        <v>1</v>
      </c>
      <c r="N189">
        <f t="shared" si="6"/>
        <v>9</v>
      </c>
      <c r="O189">
        <f t="shared" si="7"/>
        <v>2011</v>
      </c>
      <c r="P189">
        <f t="shared" si="8"/>
        <v>2011</v>
      </c>
    </row>
    <row r="190" spans="1:16" x14ac:dyDescent="0.25">
      <c r="A190" s="2" t="s">
        <v>139</v>
      </c>
      <c r="B190" s="2" t="s">
        <v>140</v>
      </c>
      <c r="C190" s="2" t="s">
        <v>47</v>
      </c>
      <c r="D190" s="25">
        <v>40695</v>
      </c>
      <c r="E190" s="2">
        <v>30</v>
      </c>
      <c r="F190" s="5">
        <v>40801</v>
      </c>
      <c r="G190" s="2"/>
      <c r="H190" s="2"/>
      <c r="I190" s="2"/>
      <c r="J190" s="2"/>
      <c r="K190" s="2"/>
      <c r="L190" s="96">
        <v>0.29041095890410956</v>
      </c>
      <c r="M190" t="b">
        <v>1</v>
      </c>
      <c r="N190">
        <f t="shared" si="6"/>
        <v>9</v>
      </c>
      <c r="O190">
        <f t="shared" si="7"/>
        <v>2011</v>
      </c>
      <c r="P190">
        <f t="shared" si="8"/>
        <v>2011</v>
      </c>
    </row>
    <row r="191" spans="1:16" x14ac:dyDescent="0.25">
      <c r="A191" s="2" t="s">
        <v>141</v>
      </c>
      <c r="B191" s="2" t="s">
        <v>142</v>
      </c>
      <c r="C191" s="2" t="s">
        <v>13</v>
      </c>
      <c r="D191" s="25">
        <v>39234</v>
      </c>
      <c r="E191" s="2">
        <v>180</v>
      </c>
      <c r="F191" s="5">
        <v>40405</v>
      </c>
      <c r="G191" s="2"/>
      <c r="H191" s="2"/>
      <c r="I191" s="2"/>
      <c r="J191" s="2"/>
      <c r="K191" s="2" t="s">
        <v>143</v>
      </c>
      <c r="L191" s="96">
        <v>3.2082191780821918</v>
      </c>
      <c r="M191" t="b">
        <v>1</v>
      </c>
      <c r="N191">
        <f t="shared" si="6"/>
        <v>8</v>
      </c>
      <c r="O191">
        <f t="shared" si="7"/>
        <v>2010</v>
      </c>
      <c r="P191">
        <f t="shared" si="8"/>
        <v>2007</v>
      </c>
    </row>
    <row r="192" spans="1:16" x14ac:dyDescent="0.25">
      <c r="A192" s="2" t="s">
        <v>163</v>
      </c>
      <c r="B192" s="2" t="s">
        <v>531</v>
      </c>
      <c r="C192" s="2" t="s">
        <v>23</v>
      </c>
      <c r="D192" s="25">
        <v>39569</v>
      </c>
      <c r="E192" s="2">
        <v>180</v>
      </c>
      <c r="F192" s="5">
        <v>40801</v>
      </c>
      <c r="G192" s="25">
        <v>41176</v>
      </c>
      <c r="H192" s="2" t="s">
        <v>532</v>
      </c>
      <c r="I192" s="2"/>
      <c r="J192" s="2"/>
      <c r="K192" s="2"/>
      <c r="L192" s="96">
        <v>3.3753424657534246</v>
      </c>
      <c r="M192" t="b">
        <v>1</v>
      </c>
      <c r="N192">
        <f t="shared" si="6"/>
        <v>9</v>
      </c>
      <c r="O192">
        <f t="shared" si="7"/>
        <v>2011</v>
      </c>
      <c r="P192">
        <f t="shared" si="8"/>
        <v>2008</v>
      </c>
    </row>
    <row r="193" spans="1:16" x14ac:dyDescent="0.25">
      <c r="A193" s="2" t="s">
        <v>583</v>
      </c>
      <c r="B193" s="2" t="s">
        <v>584</v>
      </c>
      <c r="C193" s="2" t="s">
        <v>23</v>
      </c>
      <c r="D193" s="25">
        <v>40057</v>
      </c>
      <c r="E193" s="2">
        <v>60</v>
      </c>
      <c r="F193" s="5" t="s">
        <v>47</v>
      </c>
      <c r="G193" s="25">
        <v>40819</v>
      </c>
      <c r="H193" s="2" t="s">
        <v>585</v>
      </c>
      <c r="I193" s="2"/>
      <c r="J193" s="2"/>
      <c r="K193" s="2" t="s">
        <v>586</v>
      </c>
      <c r="L193" s="96" t="s">
        <v>47</v>
      </c>
      <c r="M193" t="b">
        <v>0</v>
      </c>
      <c r="N193" t="s">
        <v>47</v>
      </c>
      <c r="O193" t="s">
        <v>47</v>
      </c>
      <c r="P193">
        <f t="shared" si="8"/>
        <v>2009</v>
      </c>
    </row>
    <row r="194" spans="1:16" x14ac:dyDescent="0.25">
      <c r="A194" s="2" t="s">
        <v>493</v>
      </c>
      <c r="B194" s="2" t="s">
        <v>494</v>
      </c>
      <c r="C194" s="2" t="s">
        <v>13</v>
      </c>
      <c r="D194" s="25">
        <v>40664</v>
      </c>
      <c r="E194" s="2">
        <v>30</v>
      </c>
      <c r="F194" s="5">
        <v>40831</v>
      </c>
      <c r="G194" s="2"/>
      <c r="H194" s="2"/>
      <c r="I194" s="2"/>
      <c r="J194" s="2"/>
      <c r="K194" s="2"/>
      <c r="L194" s="96">
        <v>0.45753424657534247</v>
      </c>
      <c r="M194" t="b">
        <v>1</v>
      </c>
      <c r="N194">
        <f t="shared" si="6"/>
        <v>10</v>
      </c>
      <c r="O194">
        <f t="shared" si="7"/>
        <v>2011</v>
      </c>
      <c r="P194">
        <f t="shared" si="8"/>
        <v>2011</v>
      </c>
    </row>
    <row r="195" spans="1:16" x14ac:dyDescent="0.25">
      <c r="A195" s="2" t="s">
        <v>495</v>
      </c>
      <c r="B195" s="2" t="s">
        <v>496</v>
      </c>
      <c r="C195" s="2" t="s">
        <v>13</v>
      </c>
      <c r="D195" s="25">
        <v>40664</v>
      </c>
      <c r="E195" s="2">
        <v>14</v>
      </c>
      <c r="F195" s="5">
        <v>40862</v>
      </c>
      <c r="G195" s="2"/>
      <c r="H195" s="2"/>
      <c r="I195" s="2"/>
      <c r="J195" s="2"/>
      <c r="K195" s="2"/>
      <c r="L195" s="96">
        <v>0.54246575342465753</v>
      </c>
      <c r="M195" t="b">
        <v>1</v>
      </c>
      <c r="N195">
        <f t="shared" ref="N195:N258" si="9">MONTH(F195)</f>
        <v>11</v>
      </c>
      <c r="O195">
        <f t="shared" ref="O195:O258" si="10">YEAR(F195)</f>
        <v>2011</v>
      </c>
      <c r="P195">
        <f t="shared" ref="P195:P258" si="11">YEAR(D195)</f>
        <v>2011</v>
      </c>
    </row>
    <row r="196" spans="1:16" x14ac:dyDescent="0.25">
      <c r="A196" s="2" t="s">
        <v>497</v>
      </c>
      <c r="B196" s="2" t="s">
        <v>498</v>
      </c>
      <c r="C196" s="2" t="s">
        <v>23</v>
      </c>
      <c r="D196" s="25">
        <v>40664</v>
      </c>
      <c r="E196" s="2">
        <v>14</v>
      </c>
      <c r="F196" s="5">
        <v>40862</v>
      </c>
      <c r="G196" s="2"/>
      <c r="H196" s="2"/>
      <c r="I196" s="2"/>
      <c r="J196" s="2"/>
      <c r="K196" s="2"/>
      <c r="L196" s="96">
        <v>0.54246575342465753</v>
      </c>
      <c r="M196" t="b">
        <v>1</v>
      </c>
      <c r="N196">
        <f t="shared" si="9"/>
        <v>11</v>
      </c>
      <c r="O196">
        <f t="shared" si="10"/>
        <v>2011</v>
      </c>
      <c r="P196">
        <f t="shared" si="11"/>
        <v>2011</v>
      </c>
    </row>
    <row r="197" spans="1:16" x14ac:dyDescent="0.25">
      <c r="A197" s="2" t="s">
        <v>499</v>
      </c>
      <c r="B197" s="2" t="s">
        <v>500</v>
      </c>
      <c r="C197" s="2" t="s">
        <v>23</v>
      </c>
      <c r="D197" s="25">
        <v>40664</v>
      </c>
      <c r="E197" s="2">
        <v>14</v>
      </c>
      <c r="F197" s="5">
        <v>40862</v>
      </c>
      <c r="G197" s="2"/>
      <c r="H197" s="2"/>
      <c r="I197" s="2"/>
      <c r="J197" s="2"/>
      <c r="K197" s="2"/>
      <c r="L197" s="96">
        <v>0.54246575342465753</v>
      </c>
      <c r="M197" t="b">
        <v>1</v>
      </c>
      <c r="N197">
        <f t="shared" si="9"/>
        <v>11</v>
      </c>
      <c r="O197">
        <f t="shared" si="10"/>
        <v>2011</v>
      </c>
      <c r="P197">
        <f t="shared" si="11"/>
        <v>2011</v>
      </c>
    </row>
    <row r="198" spans="1:16" x14ac:dyDescent="0.25">
      <c r="A198" s="2" t="s">
        <v>501</v>
      </c>
      <c r="B198" s="2" t="s">
        <v>502</v>
      </c>
      <c r="C198" s="2" t="s">
        <v>13</v>
      </c>
      <c r="D198" s="25">
        <v>40664</v>
      </c>
      <c r="E198" s="2">
        <v>14</v>
      </c>
      <c r="F198" s="5">
        <v>40770</v>
      </c>
      <c r="G198" s="2"/>
      <c r="H198" s="2"/>
      <c r="I198" s="2"/>
      <c r="J198" s="2"/>
      <c r="K198" s="2"/>
      <c r="L198" s="96">
        <v>0.29041095890410956</v>
      </c>
      <c r="M198" t="b">
        <v>1</v>
      </c>
      <c r="N198">
        <f t="shared" si="9"/>
        <v>8</v>
      </c>
      <c r="O198">
        <f t="shared" si="10"/>
        <v>2011</v>
      </c>
      <c r="P198">
        <f t="shared" si="11"/>
        <v>2011</v>
      </c>
    </row>
    <row r="199" spans="1:16" x14ac:dyDescent="0.25">
      <c r="A199" s="2" t="s">
        <v>503</v>
      </c>
      <c r="B199" s="2" t="s">
        <v>504</v>
      </c>
      <c r="C199" s="2" t="s">
        <v>13</v>
      </c>
      <c r="D199" s="25">
        <v>40664</v>
      </c>
      <c r="E199" s="2">
        <v>14</v>
      </c>
      <c r="F199" s="5">
        <v>40770</v>
      </c>
      <c r="G199" s="2"/>
      <c r="H199" s="2"/>
      <c r="I199" s="2"/>
      <c r="J199" s="2"/>
      <c r="K199" s="2"/>
      <c r="L199" s="96">
        <v>0.29041095890410956</v>
      </c>
      <c r="M199" t="b">
        <v>1</v>
      </c>
      <c r="N199">
        <f t="shared" si="9"/>
        <v>8</v>
      </c>
      <c r="O199">
        <f t="shared" si="10"/>
        <v>2011</v>
      </c>
      <c r="P199">
        <f t="shared" si="11"/>
        <v>2011</v>
      </c>
    </row>
    <row r="200" spans="1:16" x14ac:dyDescent="0.25">
      <c r="A200" s="2" t="s">
        <v>505</v>
      </c>
      <c r="B200" s="2" t="s">
        <v>506</v>
      </c>
      <c r="C200" s="2" t="s">
        <v>23</v>
      </c>
      <c r="D200" s="25">
        <v>40664</v>
      </c>
      <c r="E200" s="2">
        <v>14</v>
      </c>
      <c r="F200" s="5">
        <v>40862</v>
      </c>
      <c r="G200" s="2"/>
      <c r="H200" s="2"/>
      <c r="I200" s="2"/>
      <c r="J200" s="2"/>
      <c r="K200" s="2"/>
      <c r="L200" s="96">
        <v>0.54246575342465753</v>
      </c>
      <c r="M200" t="b">
        <v>1</v>
      </c>
      <c r="N200">
        <f t="shared" si="9"/>
        <v>11</v>
      </c>
      <c r="O200">
        <f t="shared" si="10"/>
        <v>2011</v>
      </c>
      <c r="P200">
        <f t="shared" si="11"/>
        <v>2011</v>
      </c>
    </row>
    <row r="201" spans="1:16" x14ac:dyDescent="0.25">
      <c r="A201" s="2" t="s">
        <v>507</v>
      </c>
      <c r="B201" s="2" t="s">
        <v>508</v>
      </c>
      <c r="C201" s="2" t="s">
        <v>23</v>
      </c>
      <c r="D201" s="25">
        <v>40452</v>
      </c>
      <c r="E201" s="2">
        <v>30</v>
      </c>
      <c r="F201" s="5">
        <v>40862</v>
      </c>
      <c r="G201" s="2"/>
      <c r="H201" s="2"/>
      <c r="I201" s="2"/>
      <c r="J201" s="2"/>
      <c r="K201" s="2"/>
      <c r="L201" s="96">
        <v>1.1232876712328768</v>
      </c>
      <c r="M201" t="b">
        <v>1</v>
      </c>
      <c r="N201">
        <f t="shared" si="9"/>
        <v>11</v>
      </c>
      <c r="O201">
        <f t="shared" si="10"/>
        <v>2011</v>
      </c>
      <c r="P201">
        <f t="shared" si="11"/>
        <v>2010</v>
      </c>
    </row>
    <row r="202" spans="1:16" x14ac:dyDescent="0.25">
      <c r="A202" s="2" t="s">
        <v>464</v>
      </c>
      <c r="B202" s="2" t="s">
        <v>465</v>
      </c>
      <c r="C202" s="2" t="s">
        <v>13</v>
      </c>
      <c r="D202" s="25">
        <v>38139</v>
      </c>
      <c r="E202" s="2">
        <v>60</v>
      </c>
      <c r="F202" s="5">
        <v>40831</v>
      </c>
      <c r="G202" s="2"/>
      <c r="H202" s="2"/>
      <c r="I202" s="2"/>
      <c r="J202" s="2"/>
      <c r="K202" s="2"/>
      <c r="L202" s="96">
        <v>7.375342465753425</v>
      </c>
      <c r="M202" t="b">
        <v>1</v>
      </c>
      <c r="N202">
        <f t="shared" si="9"/>
        <v>10</v>
      </c>
      <c r="O202">
        <f t="shared" si="10"/>
        <v>2011</v>
      </c>
      <c r="P202">
        <f t="shared" si="11"/>
        <v>2004</v>
      </c>
    </row>
    <row r="203" spans="1:16" x14ac:dyDescent="0.25">
      <c r="A203" s="2" t="s">
        <v>466</v>
      </c>
      <c r="B203" s="2" t="s">
        <v>467</v>
      </c>
      <c r="C203" s="2" t="s">
        <v>13</v>
      </c>
      <c r="D203" s="25">
        <v>40817</v>
      </c>
      <c r="E203" s="2">
        <v>7</v>
      </c>
      <c r="F203" s="5">
        <v>41167</v>
      </c>
      <c r="G203" s="2"/>
      <c r="H203" s="2"/>
      <c r="I203" s="2" t="s">
        <v>464</v>
      </c>
      <c r="J203" s="2"/>
      <c r="K203" s="2"/>
      <c r="L203" s="96">
        <v>0.95890410958904104</v>
      </c>
      <c r="M203" t="b">
        <v>1</v>
      </c>
      <c r="N203">
        <f t="shared" si="9"/>
        <v>9</v>
      </c>
      <c r="O203">
        <f t="shared" si="10"/>
        <v>2012</v>
      </c>
      <c r="P203">
        <f t="shared" si="11"/>
        <v>2011</v>
      </c>
    </row>
    <row r="204" spans="1:16" x14ac:dyDescent="0.25">
      <c r="A204" s="2" t="s">
        <v>468</v>
      </c>
      <c r="B204" s="2" t="s">
        <v>469</v>
      </c>
      <c r="C204" s="2" t="s">
        <v>23</v>
      </c>
      <c r="D204" s="25">
        <v>40817</v>
      </c>
      <c r="E204" s="2">
        <v>7</v>
      </c>
      <c r="F204" s="5">
        <v>41167</v>
      </c>
      <c r="G204" s="2"/>
      <c r="H204" s="2"/>
      <c r="I204" s="2" t="s">
        <v>464</v>
      </c>
      <c r="J204" s="2"/>
      <c r="K204" s="2"/>
      <c r="L204" s="96">
        <v>0.95890410958904104</v>
      </c>
      <c r="M204" t="b">
        <v>1</v>
      </c>
      <c r="N204">
        <f t="shared" si="9"/>
        <v>9</v>
      </c>
      <c r="O204">
        <f t="shared" si="10"/>
        <v>2012</v>
      </c>
      <c r="P204">
        <f t="shared" si="11"/>
        <v>2011</v>
      </c>
    </row>
    <row r="205" spans="1:16" x14ac:dyDescent="0.25">
      <c r="A205" s="2" t="s">
        <v>555</v>
      </c>
      <c r="B205" s="2" t="s">
        <v>556</v>
      </c>
      <c r="C205" s="2" t="s">
        <v>13</v>
      </c>
      <c r="D205" s="25">
        <v>37773</v>
      </c>
      <c r="E205" s="2">
        <v>90</v>
      </c>
      <c r="F205" s="5">
        <v>40831</v>
      </c>
      <c r="G205" s="2"/>
      <c r="H205" s="2"/>
      <c r="I205" s="2"/>
      <c r="J205" s="2"/>
      <c r="K205" s="2" t="s">
        <v>557</v>
      </c>
      <c r="L205" s="96">
        <v>8.3780821917808215</v>
      </c>
      <c r="M205" t="b">
        <v>1</v>
      </c>
      <c r="N205">
        <f t="shared" si="9"/>
        <v>10</v>
      </c>
      <c r="O205">
        <f t="shared" si="10"/>
        <v>2011</v>
      </c>
      <c r="P205">
        <f t="shared" si="11"/>
        <v>2003</v>
      </c>
    </row>
    <row r="206" spans="1:16" x14ac:dyDescent="0.25">
      <c r="A206" s="2" t="s">
        <v>232</v>
      </c>
      <c r="B206" s="2" t="s">
        <v>226</v>
      </c>
      <c r="C206" s="2" t="s">
        <v>13</v>
      </c>
      <c r="D206" s="25">
        <v>40575</v>
      </c>
      <c r="E206" s="2">
        <v>14</v>
      </c>
      <c r="F206" s="5">
        <v>40757</v>
      </c>
      <c r="G206" s="2"/>
      <c r="H206" s="2"/>
      <c r="I206" s="2" t="s">
        <v>233</v>
      </c>
      <c r="J206" s="2"/>
      <c r="K206" s="2"/>
      <c r="L206" s="96">
        <v>0.49863013698630138</v>
      </c>
      <c r="M206" t="b">
        <v>1</v>
      </c>
      <c r="N206">
        <f t="shared" si="9"/>
        <v>8</v>
      </c>
      <c r="O206">
        <f t="shared" si="10"/>
        <v>2011</v>
      </c>
      <c r="P206">
        <f t="shared" si="11"/>
        <v>2011</v>
      </c>
    </row>
    <row r="207" spans="1:16" x14ac:dyDescent="0.25">
      <c r="A207" s="2" t="s">
        <v>558</v>
      </c>
      <c r="B207" s="2" t="s">
        <v>559</v>
      </c>
      <c r="C207" s="2" t="s">
        <v>13</v>
      </c>
      <c r="D207" s="25">
        <v>40634</v>
      </c>
      <c r="E207" s="2">
        <v>14</v>
      </c>
      <c r="F207" s="5">
        <v>40831</v>
      </c>
      <c r="G207" s="2"/>
      <c r="H207" s="2"/>
      <c r="I207" s="2"/>
      <c r="J207" s="2"/>
      <c r="K207" s="2"/>
      <c r="L207" s="96">
        <v>0.53972602739726028</v>
      </c>
      <c r="M207" t="b">
        <v>1</v>
      </c>
      <c r="N207">
        <f t="shared" si="9"/>
        <v>10</v>
      </c>
      <c r="O207">
        <f t="shared" si="10"/>
        <v>2011</v>
      </c>
      <c r="P207">
        <f t="shared" si="11"/>
        <v>2011</v>
      </c>
    </row>
    <row r="208" spans="1:16" x14ac:dyDescent="0.25">
      <c r="A208" s="2" t="s">
        <v>560</v>
      </c>
      <c r="B208" s="2" t="s">
        <v>561</v>
      </c>
      <c r="C208" s="2" t="s">
        <v>13</v>
      </c>
      <c r="D208" s="25">
        <v>40634</v>
      </c>
      <c r="E208" s="2">
        <v>14</v>
      </c>
      <c r="F208" s="5">
        <v>40831</v>
      </c>
      <c r="G208" s="2"/>
      <c r="H208" s="2"/>
      <c r="I208" s="2"/>
      <c r="J208" s="2"/>
      <c r="K208" s="2"/>
      <c r="L208" s="96">
        <v>0.53972602739726028</v>
      </c>
      <c r="M208" t="b">
        <v>1</v>
      </c>
      <c r="N208">
        <f t="shared" si="9"/>
        <v>10</v>
      </c>
      <c r="O208">
        <f t="shared" si="10"/>
        <v>2011</v>
      </c>
      <c r="P208">
        <f t="shared" si="11"/>
        <v>2011</v>
      </c>
    </row>
    <row r="209" spans="1:16" x14ac:dyDescent="0.25">
      <c r="A209" s="2" t="s">
        <v>400</v>
      </c>
      <c r="B209" s="2" t="s">
        <v>401</v>
      </c>
      <c r="C209" s="2" t="s">
        <v>13</v>
      </c>
      <c r="D209" s="25">
        <v>39448</v>
      </c>
      <c r="E209" s="2">
        <v>30</v>
      </c>
      <c r="F209" s="5">
        <v>41787</v>
      </c>
      <c r="G209" s="2"/>
      <c r="H209" s="2"/>
      <c r="I209" s="2"/>
      <c r="J209" s="2"/>
      <c r="K209" s="2"/>
      <c r="L209" s="96">
        <v>6.4082191780821915</v>
      </c>
      <c r="M209" t="b">
        <v>1</v>
      </c>
      <c r="N209">
        <f t="shared" si="9"/>
        <v>5</v>
      </c>
      <c r="O209">
        <f t="shared" si="10"/>
        <v>2014</v>
      </c>
      <c r="P209">
        <f t="shared" si="11"/>
        <v>2008</v>
      </c>
    </row>
    <row r="210" spans="1:16" x14ac:dyDescent="0.25">
      <c r="A210" s="2" t="s">
        <v>245</v>
      </c>
      <c r="B210" s="2" t="s">
        <v>246</v>
      </c>
      <c r="C210" s="2" t="s">
        <v>13</v>
      </c>
      <c r="D210" s="25">
        <v>39083</v>
      </c>
      <c r="E210" s="2">
        <v>180</v>
      </c>
      <c r="F210" s="5">
        <v>40770</v>
      </c>
      <c r="G210" s="2"/>
      <c r="H210" s="2"/>
      <c r="I210" s="2"/>
      <c r="J210" s="2"/>
      <c r="K210" s="2"/>
      <c r="L210" s="96">
        <v>4.6219178082191785</v>
      </c>
      <c r="M210" t="b">
        <v>1</v>
      </c>
      <c r="N210">
        <f t="shared" si="9"/>
        <v>8</v>
      </c>
      <c r="O210">
        <f t="shared" si="10"/>
        <v>2011</v>
      </c>
      <c r="P210">
        <f t="shared" si="11"/>
        <v>2007</v>
      </c>
    </row>
    <row r="211" spans="1:16" x14ac:dyDescent="0.25">
      <c r="A211" s="2" t="s">
        <v>247</v>
      </c>
      <c r="B211" s="2" t="s">
        <v>248</v>
      </c>
      <c r="C211" s="2" t="s">
        <v>13</v>
      </c>
      <c r="D211" s="25" t="s">
        <v>47</v>
      </c>
      <c r="E211" s="2">
        <v>180</v>
      </c>
      <c r="F211" s="5">
        <v>40771</v>
      </c>
      <c r="G211" s="2"/>
      <c r="H211" s="2"/>
      <c r="I211" s="2"/>
      <c r="J211" s="2"/>
      <c r="K211" s="2"/>
      <c r="L211" s="96" t="s">
        <v>47</v>
      </c>
      <c r="M211" t="b">
        <v>0</v>
      </c>
      <c r="N211">
        <f t="shared" si="9"/>
        <v>8</v>
      </c>
      <c r="O211">
        <f t="shared" si="10"/>
        <v>2011</v>
      </c>
      <c r="P211" t="s">
        <v>47</v>
      </c>
    </row>
    <row r="212" spans="1:16" x14ac:dyDescent="0.25">
      <c r="A212" s="2" t="s">
        <v>249</v>
      </c>
      <c r="B212" s="2" t="s">
        <v>250</v>
      </c>
      <c r="C212" s="2" t="s">
        <v>13</v>
      </c>
      <c r="D212" s="25">
        <v>39083</v>
      </c>
      <c r="E212" s="2">
        <v>180</v>
      </c>
      <c r="F212" s="5">
        <v>40772</v>
      </c>
      <c r="G212" s="2"/>
      <c r="H212" s="2"/>
      <c r="I212" s="2"/>
      <c r="J212" s="2"/>
      <c r="K212" s="2"/>
      <c r="L212" s="96">
        <v>4.6273972602739724</v>
      </c>
      <c r="M212" t="b">
        <v>1</v>
      </c>
      <c r="N212">
        <f t="shared" si="9"/>
        <v>8</v>
      </c>
      <c r="O212">
        <f t="shared" si="10"/>
        <v>2011</v>
      </c>
      <c r="P212">
        <f t="shared" si="11"/>
        <v>2007</v>
      </c>
    </row>
    <row r="213" spans="1:16" x14ac:dyDescent="0.25">
      <c r="A213" s="2" t="s">
        <v>251</v>
      </c>
      <c r="B213" s="2" t="s">
        <v>252</v>
      </c>
      <c r="C213" s="2" t="s">
        <v>13</v>
      </c>
      <c r="D213" s="25">
        <v>39083</v>
      </c>
      <c r="E213" s="2">
        <v>180</v>
      </c>
      <c r="F213" s="5">
        <v>40773</v>
      </c>
      <c r="G213" s="2"/>
      <c r="H213" s="2"/>
      <c r="I213" s="2"/>
      <c r="J213" s="2"/>
      <c r="K213" s="2"/>
      <c r="L213" s="96">
        <v>4.6301369863013697</v>
      </c>
      <c r="M213" t="b">
        <v>1</v>
      </c>
      <c r="N213">
        <f t="shared" si="9"/>
        <v>8</v>
      </c>
      <c r="O213">
        <f t="shared" si="10"/>
        <v>2011</v>
      </c>
      <c r="P213">
        <f t="shared" si="11"/>
        <v>2007</v>
      </c>
    </row>
    <row r="214" spans="1:16" x14ac:dyDescent="0.25">
      <c r="A214" s="2" t="s">
        <v>234</v>
      </c>
      <c r="B214" s="2" t="s">
        <v>235</v>
      </c>
      <c r="C214" s="2" t="s">
        <v>23</v>
      </c>
      <c r="D214" s="25">
        <v>39479</v>
      </c>
      <c r="E214" s="2">
        <v>120</v>
      </c>
      <c r="F214" s="5">
        <v>40801</v>
      </c>
      <c r="G214" s="2"/>
      <c r="H214" s="2"/>
      <c r="I214" s="2"/>
      <c r="J214" s="2"/>
      <c r="K214" s="2" t="s">
        <v>236</v>
      </c>
      <c r="L214" s="96">
        <v>3.6219178082191781</v>
      </c>
      <c r="M214" t="b">
        <v>1</v>
      </c>
      <c r="N214">
        <f t="shared" si="9"/>
        <v>9</v>
      </c>
      <c r="O214">
        <f t="shared" si="10"/>
        <v>2011</v>
      </c>
      <c r="P214">
        <f t="shared" si="11"/>
        <v>2008</v>
      </c>
    </row>
    <row r="215" spans="1:16" x14ac:dyDescent="0.25">
      <c r="A215" s="2" t="s">
        <v>587</v>
      </c>
      <c r="B215" s="2" t="s">
        <v>588</v>
      </c>
      <c r="C215" s="2" t="s">
        <v>13</v>
      </c>
      <c r="D215" s="25">
        <v>39569</v>
      </c>
      <c r="E215" s="2">
        <v>90</v>
      </c>
      <c r="F215" s="5">
        <v>40770</v>
      </c>
      <c r="G215" s="2"/>
      <c r="H215" s="2"/>
      <c r="I215" s="2"/>
      <c r="J215" s="2"/>
      <c r="K215" s="2"/>
      <c r="L215" s="96">
        <v>3.2904109589041095</v>
      </c>
      <c r="M215" t="b">
        <v>1</v>
      </c>
      <c r="N215">
        <f t="shared" si="9"/>
        <v>8</v>
      </c>
      <c r="O215">
        <f t="shared" si="10"/>
        <v>2011</v>
      </c>
      <c r="P215">
        <f t="shared" si="11"/>
        <v>2008</v>
      </c>
    </row>
    <row r="216" spans="1:16" x14ac:dyDescent="0.25">
      <c r="A216" s="2" t="s">
        <v>589</v>
      </c>
      <c r="B216" s="2" t="s">
        <v>590</v>
      </c>
      <c r="C216" s="2" t="s">
        <v>23</v>
      </c>
      <c r="D216" s="25">
        <v>39934</v>
      </c>
      <c r="E216" s="2">
        <v>60</v>
      </c>
      <c r="F216" s="5">
        <v>40801</v>
      </c>
      <c r="G216" s="2"/>
      <c r="H216" s="2"/>
      <c r="I216" s="2"/>
      <c r="J216" s="2"/>
      <c r="K216" s="2"/>
      <c r="L216" s="96">
        <v>2.3753424657534246</v>
      </c>
      <c r="M216" t="b">
        <v>1</v>
      </c>
      <c r="N216">
        <f t="shared" si="9"/>
        <v>9</v>
      </c>
      <c r="O216">
        <f t="shared" si="10"/>
        <v>2011</v>
      </c>
      <c r="P216">
        <f t="shared" si="11"/>
        <v>2009</v>
      </c>
    </row>
    <row r="217" spans="1:16" x14ac:dyDescent="0.25">
      <c r="A217" s="2" t="s">
        <v>591</v>
      </c>
      <c r="B217" s="2" t="s">
        <v>592</v>
      </c>
      <c r="C217" s="2" t="s">
        <v>23</v>
      </c>
      <c r="D217" s="25">
        <v>39934</v>
      </c>
      <c r="E217" s="2">
        <v>60</v>
      </c>
      <c r="F217" s="5">
        <v>40801</v>
      </c>
      <c r="G217" s="2"/>
      <c r="H217" s="2"/>
      <c r="I217" s="2"/>
      <c r="J217" s="2"/>
      <c r="K217" s="2"/>
      <c r="L217" s="96">
        <v>2.3753424657534246</v>
      </c>
      <c r="M217" t="b">
        <v>1</v>
      </c>
      <c r="N217">
        <f t="shared" si="9"/>
        <v>9</v>
      </c>
      <c r="O217">
        <f t="shared" si="10"/>
        <v>2011</v>
      </c>
      <c r="P217">
        <f t="shared" si="11"/>
        <v>2009</v>
      </c>
    </row>
    <row r="218" spans="1:16" x14ac:dyDescent="0.25">
      <c r="A218" s="2" t="s">
        <v>593</v>
      </c>
      <c r="B218" s="2" t="s">
        <v>594</v>
      </c>
      <c r="C218" s="2" t="s">
        <v>23</v>
      </c>
      <c r="D218" s="25">
        <v>39934</v>
      </c>
      <c r="E218" s="2">
        <v>60</v>
      </c>
      <c r="F218" s="5">
        <v>40770</v>
      </c>
      <c r="G218" s="2"/>
      <c r="H218" s="2"/>
      <c r="I218" s="2"/>
      <c r="J218" s="2"/>
      <c r="K218" s="2"/>
      <c r="L218" s="96">
        <v>2.2904109589041095</v>
      </c>
      <c r="M218" t="b">
        <v>1</v>
      </c>
      <c r="N218">
        <f t="shared" si="9"/>
        <v>8</v>
      </c>
      <c r="O218">
        <f t="shared" si="10"/>
        <v>2011</v>
      </c>
      <c r="P218">
        <f t="shared" si="11"/>
        <v>2009</v>
      </c>
    </row>
    <row r="219" spans="1:16" x14ac:dyDescent="0.25">
      <c r="A219" s="2" t="s">
        <v>253</v>
      </c>
      <c r="B219" s="2" t="s">
        <v>254</v>
      </c>
      <c r="C219" s="2" t="s">
        <v>13</v>
      </c>
      <c r="D219" s="25">
        <v>39814</v>
      </c>
      <c r="E219" s="2">
        <v>180</v>
      </c>
      <c r="F219" s="5">
        <v>41228</v>
      </c>
      <c r="G219" s="2"/>
      <c r="H219" s="2"/>
      <c r="I219" s="2"/>
      <c r="J219" s="2"/>
      <c r="K219" s="2"/>
      <c r="L219" s="96">
        <v>3.8739726027397259</v>
      </c>
      <c r="M219" t="b">
        <v>1</v>
      </c>
      <c r="N219">
        <f t="shared" si="9"/>
        <v>11</v>
      </c>
      <c r="O219">
        <f t="shared" si="10"/>
        <v>2012</v>
      </c>
      <c r="P219">
        <f t="shared" si="11"/>
        <v>2009</v>
      </c>
    </row>
    <row r="220" spans="1:16" x14ac:dyDescent="0.25">
      <c r="A220" s="2" t="s">
        <v>255</v>
      </c>
      <c r="B220" s="2" t="s">
        <v>256</v>
      </c>
      <c r="C220" s="2" t="s">
        <v>13</v>
      </c>
      <c r="D220" s="25">
        <v>39814</v>
      </c>
      <c r="E220" s="2">
        <v>180</v>
      </c>
      <c r="F220" s="5">
        <v>41228</v>
      </c>
      <c r="G220" s="2"/>
      <c r="H220" s="2"/>
      <c r="I220" s="2"/>
      <c r="J220" s="2"/>
      <c r="K220" s="2"/>
      <c r="L220" s="96">
        <v>3.8739726027397259</v>
      </c>
      <c r="M220" t="b">
        <v>1</v>
      </c>
      <c r="N220">
        <f t="shared" si="9"/>
        <v>11</v>
      </c>
      <c r="O220">
        <f t="shared" si="10"/>
        <v>2012</v>
      </c>
      <c r="P220">
        <f t="shared" si="11"/>
        <v>2009</v>
      </c>
    </row>
    <row r="221" spans="1:16" x14ac:dyDescent="0.25">
      <c r="A221" s="2" t="s">
        <v>257</v>
      </c>
      <c r="B221" s="2" t="s">
        <v>258</v>
      </c>
      <c r="C221" s="2" t="s">
        <v>13</v>
      </c>
      <c r="D221" s="25">
        <v>39814</v>
      </c>
      <c r="E221" s="2">
        <v>180</v>
      </c>
      <c r="F221" s="5">
        <v>41228</v>
      </c>
      <c r="G221" s="2"/>
      <c r="H221" s="2"/>
      <c r="I221" s="2"/>
      <c r="J221" s="2"/>
      <c r="K221" s="2"/>
      <c r="L221" s="96">
        <v>3.8739726027397259</v>
      </c>
      <c r="M221" t="b">
        <v>1</v>
      </c>
      <c r="N221">
        <f t="shared" si="9"/>
        <v>11</v>
      </c>
      <c r="O221">
        <f t="shared" si="10"/>
        <v>2012</v>
      </c>
      <c r="P221">
        <f t="shared" si="11"/>
        <v>2009</v>
      </c>
    </row>
    <row r="222" spans="1:16" x14ac:dyDescent="0.25">
      <c r="A222" s="2" t="s">
        <v>187</v>
      </c>
      <c r="B222" s="2" t="s">
        <v>188</v>
      </c>
      <c r="C222" s="2" t="s">
        <v>13</v>
      </c>
      <c r="D222" s="25">
        <v>39264</v>
      </c>
      <c r="E222" s="2">
        <v>180</v>
      </c>
      <c r="F222" s="5">
        <v>41075</v>
      </c>
      <c r="G222" s="2"/>
      <c r="H222" s="2"/>
      <c r="I222" s="2"/>
      <c r="J222" s="2"/>
      <c r="K222" s="2"/>
      <c r="L222" s="96">
        <v>4.9616438356164387</v>
      </c>
      <c r="M222" t="b">
        <v>1</v>
      </c>
      <c r="N222">
        <f t="shared" si="9"/>
        <v>6</v>
      </c>
      <c r="O222">
        <f t="shared" si="10"/>
        <v>2012</v>
      </c>
      <c r="P222">
        <f t="shared" si="11"/>
        <v>2007</v>
      </c>
    </row>
    <row r="223" spans="1:16" x14ac:dyDescent="0.25">
      <c r="A223" s="2" t="s">
        <v>189</v>
      </c>
      <c r="B223" s="2" t="s">
        <v>190</v>
      </c>
      <c r="C223" s="2" t="s">
        <v>13</v>
      </c>
      <c r="D223" s="25">
        <v>40422</v>
      </c>
      <c r="E223" s="2">
        <v>120</v>
      </c>
      <c r="F223" s="5">
        <v>41075</v>
      </c>
      <c r="G223" s="2"/>
      <c r="H223" s="2"/>
      <c r="I223" s="2"/>
      <c r="J223" s="2"/>
      <c r="K223" s="2"/>
      <c r="L223" s="96">
        <v>1.789041095890411</v>
      </c>
      <c r="M223" t="b">
        <v>1</v>
      </c>
      <c r="N223">
        <f t="shared" si="9"/>
        <v>6</v>
      </c>
      <c r="O223">
        <f t="shared" si="10"/>
        <v>2012</v>
      </c>
      <c r="P223">
        <f t="shared" si="11"/>
        <v>2010</v>
      </c>
    </row>
    <row r="224" spans="1:16" x14ac:dyDescent="0.25">
      <c r="A224" s="2" t="s">
        <v>61</v>
      </c>
      <c r="B224" s="2" t="s">
        <v>62</v>
      </c>
      <c r="C224" s="2" t="s">
        <v>47</v>
      </c>
      <c r="D224" s="25">
        <v>40878</v>
      </c>
      <c r="E224" s="2">
        <v>14</v>
      </c>
      <c r="F224" s="5" t="s">
        <v>47</v>
      </c>
      <c r="G224" s="2"/>
      <c r="H224" s="2"/>
      <c r="I224" s="2"/>
      <c r="J224" s="2"/>
      <c r="K224" s="2"/>
      <c r="L224" s="96" t="s">
        <v>47</v>
      </c>
      <c r="M224" t="b">
        <v>0</v>
      </c>
      <c r="N224" t="s">
        <v>47</v>
      </c>
      <c r="O224" t="s">
        <v>47</v>
      </c>
      <c r="P224">
        <f t="shared" si="11"/>
        <v>2011</v>
      </c>
    </row>
    <row r="225" spans="1:16" x14ac:dyDescent="0.25">
      <c r="A225" s="2" t="s">
        <v>63</v>
      </c>
      <c r="B225" s="2" t="s">
        <v>64</v>
      </c>
      <c r="C225" s="2" t="s">
        <v>13</v>
      </c>
      <c r="D225" s="25">
        <v>40878</v>
      </c>
      <c r="E225" s="2">
        <v>14</v>
      </c>
      <c r="F225" s="5">
        <v>41774</v>
      </c>
      <c r="G225" s="2"/>
      <c r="H225" s="2"/>
      <c r="I225" s="2"/>
      <c r="J225" s="2"/>
      <c r="K225" s="2"/>
      <c r="L225" s="96">
        <v>2.4547945205479453</v>
      </c>
      <c r="M225" t="b">
        <v>1</v>
      </c>
      <c r="N225">
        <f t="shared" si="9"/>
        <v>5</v>
      </c>
      <c r="O225">
        <f t="shared" si="10"/>
        <v>2014</v>
      </c>
      <c r="P225">
        <f t="shared" si="11"/>
        <v>2011</v>
      </c>
    </row>
    <row r="226" spans="1:16" x14ac:dyDescent="0.25">
      <c r="A226" s="2" t="s">
        <v>65</v>
      </c>
      <c r="B226" s="2" t="s">
        <v>66</v>
      </c>
      <c r="C226" s="2" t="s">
        <v>47</v>
      </c>
      <c r="D226" s="25">
        <v>40878</v>
      </c>
      <c r="E226" s="2">
        <v>14</v>
      </c>
      <c r="F226" s="5" t="s">
        <v>47</v>
      </c>
      <c r="G226" s="2"/>
      <c r="H226" s="2"/>
      <c r="I226" s="2"/>
      <c r="J226" s="2"/>
      <c r="K226" s="2"/>
      <c r="L226" s="96" t="s">
        <v>47</v>
      </c>
      <c r="M226" t="b">
        <v>0</v>
      </c>
      <c r="N226" s="96" t="s">
        <v>47</v>
      </c>
      <c r="O226" s="96" t="s">
        <v>47</v>
      </c>
      <c r="P226">
        <f t="shared" si="11"/>
        <v>2011</v>
      </c>
    </row>
    <row r="227" spans="1:16" x14ac:dyDescent="0.25">
      <c r="A227" s="2" t="s">
        <v>67</v>
      </c>
      <c r="B227" s="2" t="s">
        <v>68</v>
      </c>
      <c r="C227" s="2" t="s">
        <v>47</v>
      </c>
      <c r="D227" s="25">
        <v>40878</v>
      </c>
      <c r="E227" s="2">
        <v>14</v>
      </c>
      <c r="F227" s="5" t="s">
        <v>47</v>
      </c>
      <c r="G227" s="2"/>
      <c r="H227" s="2"/>
      <c r="I227" s="2"/>
      <c r="J227" s="2"/>
      <c r="K227" s="2"/>
      <c r="L227" s="96" t="s">
        <v>47</v>
      </c>
      <c r="M227" t="b">
        <v>0</v>
      </c>
      <c r="N227" s="96" t="s">
        <v>47</v>
      </c>
      <c r="O227" s="96" t="s">
        <v>47</v>
      </c>
      <c r="P227">
        <f t="shared" si="11"/>
        <v>2011</v>
      </c>
    </row>
    <row r="228" spans="1:16" x14ac:dyDescent="0.25">
      <c r="A228" s="2" t="s">
        <v>69</v>
      </c>
      <c r="B228" s="2" t="s">
        <v>70</v>
      </c>
      <c r="C228" s="2" t="s">
        <v>47</v>
      </c>
      <c r="D228" s="25">
        <v>40878</v>
      </c>
      <c r="E228" s="2">
        <v>14</v>
      </c>
      <c r="F228" s="5" t="s">
        <v>47</v>
      </c>
      <c r="G228" s="2"/>
      <c r="H228" s="2"/>
      <c r="I228" s="2"/>
      <c r="J228" s="2"/>
      <c r="K228" s="2"/>
      <c r="L228" s="96" t="s">
        <v>47</v>
      </c>
      <c r="M228" t="b">
        <v>0</v>
      </c>
      <c r="N228" s="96" t="s">
        <v>47</v>
      </c>
      <c r="O228" s="96" t="s">
        <v>47</v>
      </c>
      <c r="P228">
        <f t="shared" si="11"/>
        <v>2011</v>
      </c>
    </row>
    <row r="229" spans="1:16" x14ac:dyDescent="0.25">
      <c r="A229" s="2" t="s">
        <v>71</v>
      </c>
      <c r="B229" s="2" t="s">
        <v>72</v>
      </c>
      <c r="C229" s="2" t="s">
        <v>47</v>
      </c>
      <c r="D229" s="25">
        <v>40878</v>
      </c>
      <c r="E229" s="2">
        <v>14</v>
      </c>
      <c r="F229" s="5" t="s">
        <v>47</v>
      </c>
      <c r="G229" s="2"/>
      <c r="H229" s="2"/>
      <c r="I229" s="2"/>
      <c r="J229" s="2"/>
      <c r="K229" s="2"/>
      <c r="L229" s="96" t="s">
        <v>47</v>
      </c>
      <c r="M229" t="b">
        <v>0</v>
      </c>
      <c r="N229" s="96" t="s">
        <v>47</v>
      </c>
      <c r="O229" s="96" t="s">
        <v>47</v>
      </c>
      <c r="P229">
        <f t="shared" si="11"/>
        <v>2011</v>
      </c>
    </row>
    <row r="230" spans="1:16" x14ac:dyDescent="0.25">
      <c r="A230" s="2" t="s">
        <v>73</v>
      </c>
      <c r="B230" s="2" t="s">
        <v>74</v>
      </c>
      <c r="C230" s="2" t="s">
        <v>47</v>
      </c>
      <c r="D230" s="25">
        <v>40878</v>
      </c>
      <c r="E230" s="2">
        <v>14</v>
      </c>
      <c r="F230" s="5" t="s">
        <v>47</v>
      </c>
      <c r="G230" s="2"/>
      <c r="H230" s="2"/>
      <c r="I230" s="2"/>
      <c r="J230" s="2"/>
      <c r="K230" s="2"/>
      <c r="L230" s="96" t="s">
        <v>47</v>
      </c>
      <c r="M230" t="b">
        <v>0</v>
      </c>
      <c r="N230" s="96" t="s">
        <v>47</v>
      </c>
      <c r="O230" s="96" t="s">
        <v>47</v>
      </c>
      <c r="P230">
        <f t="shared" si="11"/>
        <v>2011</v>
      </c>
    </row>
    <row r="231" spans="1:16" x14ac:dyDescent="0.25">
      <c r="A231" s="2" t="s">
        <v>75</v>
      </c>
      <c r="B231" s="2" t="s">
        <v>76</v>
      </c>
      <c r="C231" s="2" t="s">
        <v>47</v>
      </c>
      <c r="D231" s="25">
        <v>40878</v>
      </c>
      <c r="E231" s="2">
        <v>14</v>
      </c>
      <c r="F231" s="5" t="s">
        <v>47</v>
      </c>
      <c r="G231" s="2"/>
      <c r="H231" s="2"/>
      <c r="I231" s="2"/>
      <c r="J231" s="2"/>
      <c r="K231" s="2"/>
      <c r="L231" s="96" t="s">
        <v>47</v>
      </c>
      <c r="M231" t="b">
        <v>0</v>
      </c>
      <c r="N231" s="96" t="s">
        <v>47</v>
      </c>
      <c r="O231" s="96" t="s">
        <v>47</v>
      </c>
      <c r="P231">
        <f t="shared" si="11"/>
        <v>2011</v>
      </c>
    </row>
    <row r="232" spans="1:16" x14ac:dyDescent="0.25">
      <c r="A232" s="2" t="s">
        <v>77</v>
      </c>
      <c r="B232" s="2" t="s">
        <v>78</v>
      </c>
      <c r="C232" s="2" t="s">
        <v>47</v>
      </c>
      <c r="D232" s="25">
        <v>40878</v>
      </c>
      <c r="E232" s="2">
        <v>14</v>
      </c>
      <c r="F232" s="5" t="s">
        <v>47</v>
      </c>
      <c r="G232" s="2"/>
      <c r="H232" s="2"/>
      <c r="I232" s="2"/>
      <c r="J232" s="2"/>
      <c r="K232" s="2"/>
      <c r="L232" s="96" t="s">
        <v>47</v>
      </c>
      <c r="M232" t="b">
        <v>0</v>
      </c>
      <c r="N232" s="96" t="s">
        <v>47</v>
      </c>
      <c r="O232" s="96" t="s">
        <v>47</v>
      </c>
      <c r="P232">
        <f t="shared" si="11"/>
        <v>2011</v>
      </c>
    </row>
    <row r="233" spans="1:16" x14ac:dyDescent="0.25">
      <c r="A233" s="2" t="s">
        <v>79</v>
      </c>
      <c r="B233" s="2" t="s">
        <v>80</v>
      </c>
      <c r="C233" s="2" t="s">
        <v>47</v>
      </c>
      <c r="D233" s="25">
        <v>40878</v>
      </c>
      <c r="E233" s="2">
        <v>14</v>
      </c>
      <c r="F233" s="5" t="s">
        <v>47</v>
      </c>
      <c r="G233" s="2"/>
      <c r="H233" s="2"/>
      <c r="I233" s="2"/>
      <c r="J233" s="2"/>
      <c r="K233" s="2"/>
      <c r="L233" s="96" t="s">
        <v>47</v>
      </c>
      <c r="M233" t="b">
        <v>0</v>
      </c>
      <c r="N233" s="96" t="s">
        <v>47</v>
      </c>
      <c r="O233" s="96" t="s">
        <v>47</v>
      </c>
      <c r="P233">
        <f t="shared" si="11"/>
        <v>2011</v>
      </c>
    </row>
    <row r="234" spans="1:16" x14ac:dyDescent="0.25">
      <c r="A234" s="2" t="s">
        <v>470</v>
      </c>
      <c r="B234" s="2" t="s">
        <v>471</v>
      </c>
      <c r="C234" s="2" t="s">
        <v>13</v>
      </c>
      <c r="D234" s="25">
        <v>41157</v>
      </c>
      <c r="E234" s="2">
        <v>14</v>
      </c>
      <c r="F234" s="5">
        <v>41197</v>
      </c>
      <c r="G234" s="2"/>
      <c r="H234" s="2"/>
      <c r="I234" s="2" t="s">
        <v>472</v>
      </c>
      <c r="J234" s="2" t="s">
        <v>473</v>
      </c>
      <c r="K234" s="2"/>
      <c r="L234" s="96">
        <v>0.1095890410958904</v>
      </c>
      <c r="M234" t="b">
        <v>1</v>
      </c>
      <c r="N234">
        <f t="shared" si="9"/>
        <v>10</v>
      </c>
      <c r="O234">
        <f t="shared" si="10"/>
        <v>2012</v>
      </c>
      <c r="P234">
        <f t="shared" si="11"/>
        <v>2012</v>
      </c>
    </row>
    <row r="235" spans="1:16" x14ac:dyDescent="0.25">
      <c r="A235" s="2" t="s">
        <v>615</v>
      </c>
      <c r="B235" s="2" t="s">
        <v>616</v>
      </c>
      <c r="C235" s="2" t="s">
        <v>47</v>
      </c>
      <c r="D235" s="25">
        <v>41157</v>
      </c>
      <c r="E235" s="2">
        <v>14</v>
      </c>
      <c r="F235" s="5" t="s">
        <v>47</v>
      </c>
      <c r="G235" s="2"/>
      <c r="H235" s="2" t="s">
        <v>28</v>
      </c>
      <c r="I235" s="2" t="s">
        <v>472</v>
      </c>
      <c r="J235" s="2" t="s">
        <v>473</v>
      </c>
      <c r="K235" s="2"/>
      <c r="L235" s="96" t="s">
        <v>47</v>
      </c>
      <c r="M235" t="b">
        <v>0</v>
      </c>
      <c r="N235" s="96" t="s">
        <v>47</v>
      </c>
      <c r="O235" s="96" t="s">
        <v>47</v>
      </c>
      <c r="P235">
        <f t="shared" si="11"/>
        <v>2012</v>
      </c>
    </row>
    <row r="236" spans="1:16" x14ac:dyDescent="0.25">
      <c r="A236" s="2" t="s">
        <v>617</v>
      </c>
      <c r="B236" s="2" t="s">
        <v>618</v>
      </c>
      <c r="C236" s="2" t="s">
        <v>47</v>
      </c>
      <c r="D236" s="25">
        <v>41157</v>
      </c>
      <c r="E236" s="2">
        <v>14</v>
      </c>
      <c r="F236" s="5" t="s">
        <v>47</v>
      </c>
      <c r="G236" s="2"/>
      <c r="H236" s="2" t="s">
        <v>28</v>
      </c>
      <c r="I236" s="2" t="s">
        <v>472</v>
      </c>
      <c r="J236" s="2" t="s">
        <v>473</v>
      </c>
      <c r="K236" s="2"/>
      <c r="L236" s="96" t="s">
        <v>47</v>
      </c>
      <c r="M236" t="b">
        <v>0</v>
      </c>
      <c r="N236" s="96" t="s">
        <v>47</v>
      </c>
      <c r="O236" s="96" t="s">
        <v>47</v>
      </c>
      <c r="P236">
        <f t="shared" si="11"/>
        <v>2012</v>
      </c>
    </row>
    <row r="237" spans="1:16" x14ac:dyDescent="0.25">
      <c r="A237" s="2" t="s">
        <v>191</v>
      </c>
      <c r="B237" s="2" t="s">
        <v>192</v>
      </c>
      <c r="C237" s="2" t="s">
        <v>47</v>
      </c>
      <c r="D237" s="25">
        <v>41166</v>
      </c>
      <c r="E237" s="2">
        <v>7</v>
      </c>
      <c r="F237" s="5">
        <v>41197</v>
      </c>
      <c r="G237" s="2"/>
      <c r="H237" s="2"/>
      <c r="I237" s="2" t="s">
        <v>177</v>
      </c>
      <c r="J237" s="2"/>
      <c r="K237" s="2"/>
      <c r="L237" s="96">
        <v>8.4931506849315067E-2</v>
      </c>
      <c r="M237" t="b">
        <v>1</v>
      </c>
      <c r="N237">
        <f t="shared" si="9"/>
        <v>10</v>
      </c>
      <c r="O237">
        <f t="shared" si="10"/>
        <v>2012</v>
      </c>
      <c r="P237">
        <f t="shared" si="11"/>
        <v>2012</v>
      </c>
    </row>
    <row r="238" spans="1:16" x14ac:dyDescent="0.25">
      <c r="A238" s="2" t="s">
        <v>193</v>
      </c>
      <c r="B238" s="2" t="s">
        <v>194</v>
      </c>
      <c r="C238" s="2" t="s">
        <v>47</v>
      </c>
      <c r="D238" s="25">
        <v>41166</v>
      </c>
      <c r="E238" s="2">
        <v>7</v>
      </c>
      <c r="F238" s="5">
        <v>41197</v>
      </c>
      <c r="G238" s="2"/>
      <c r="H238" s="2"/>
      <c r="I238" s="2" t="s">
        <v>177</v>
      </c>
      <c r="J238" s="2"/>
      <c r="K238" s="2"/>
      <c r="L238" s="96">
        <v>8.4931506849315067E-2</v>
      </c>
      <c r="M238" t="b">
        <v>1</v>
      </c>
      <c r="N238">
        <f t="shared" si="9"/>
        <v>10</v>
      </c>
      <c r="O238">
        <f t="shared" si="10"/>
        <v>2012</v>
      </c>
      <c r="P238">
        <f t="shared" si="11"/>
        <v>2012</v>
      </c>
    </row>
    <row r="239" spans="1:16" x14ac:dyDescent="0.25">
      <c r="A239" s="2" t="s">
        <v>195</v>
      </c>
      <c r="B239" s="2" t="s">
        <v>196</v>
      </c>
      <c r="C239" s="2" t="s">
        <v>47</v>
      </c>
      <c r="D239" s="25">
        <v>41166</v>
      </c>
      <c r="E239" s="2">
        <v>7</v>
      </c>
      <c r="F239" s="5">
        <v>41197</v>
      </c>
      <c r="G239" s="2"/>
      <c r="H239" s="2"/>
      <c r="I239" s="2" t="s">
        <v>177</v>
      </c>
      <c r="J239" s="2"/>
      <c r="K239" s="2"/>
      <c r="L239" s="96">
        <v>8.4931506849315067E-2</v>
      </c>
      <c r="M239" t="b">
        <v>1</v>
      </c>
      <c r="N239">
        <f t="shared" si="9"/>
        <v>10</v>
      </c>
      <c r="O239">
        <f t="shared" si="10"/>
        <v>2012</v>
      </c>
      <c r="P239">
        <f t="shared" si="11"/>
        <v>2012</v>
      </c>
    </row>
    <row r="240" spans="1:16" x14ac:dyDescent="0.25">
      <c r="A240" s="2" t="s">
        <v>259</v>
      </c>
      <c r="B240" s="2" t="s">
        <v>260</v>
      </c>
      <c r="C240" s="2" t="s">
        <v>13</v>
      </c>
      <c r="D240" s="25">
        <v>40819</v>
      </c>
      <c r="E240" s="2">
        <v>60</v>
      </c>
      <c r="F240" s="5">
        <v>41197</v>
      </c>
      <c r="G240" s="2"/>
      <c r="H240" s="2"/>
      <c r="I240" s="2"/>
      <c r="J240" s="2"/>
      <c r="K240" s="2"/>
      <c r="L240" s="96">
        <v>1.0356164383561643</v>
      </c>
      <c r="M240" t="b">
        <v>1</v>
      </c>
      <c r="N240">
        <f t="shared" si="9"/>
        <v>10</v>
      </c>
      <c r="O240">
        <f t="shared" si="10"/>
        <v>2012</v>
      </c>
      <c r="P240">
        <f t="shared" si="11"/>
        <v>2011</v>
      </c>
    </row>
    <row r="241" spans="1:16" x14ac:dyDescent="0.25">
      <c r="A241" s="2" t="s">
        <v>261</v>
      </c>
      <c r="B241" s="2" t="s">
        <v>262</v>
      </c>
      <c r="C241" s="2" t="s">
        <v>23</v>
      </c>
      <c r="D241" s="25">
        <v>40819</v>
      </c>
      <c r="E241" s="2">
        <v>60</v>
      </c>
      <c r="F241" s="5">
        <v>41197</v>
      </c>
      <c r="G241" s="2"/>
      <c r="H241" s="2"/>
      <c r="I241" s="2"/>
      <c r="J241" s="2"/>
      <c r="K241" s="2"/>
      <c r="L241" s="96">
        <v>1.0356164383561643</v>
      </c>
      <c r="M241" t="b">
        <v>1</v>
      </c>
      <c r="N241">
        <f t="shared" si="9"/>
        <v>10</v>
      </c>
      <c r="O241">
        <f t="shared" si="10"/>
        <v>2012</v>
      </c>
      <c r="P241">
        <f t="shared" si="11"/>
        <v>2011</v>
      </c>
    </row>
    <row r="242" spans="1:16" x14ac:dyDescent="0.25">
      <c r="A242" s="2" t="s">
        <v>263</v>
      </c>
      <c r="B242" s="2" t="s">
        <v>264</v>
      </c>
      <c r="C242" s="2" t="s">
        <v>23</v>
      </c>
      <c r="D242" s="25">
        <v>40819</v>
      </c>
      <c r="E242" s="2">
        <v>60</v>
      </c>
      <c r="F242" s="5">
        <v>41197</v>
      </c>
      <c r="G242" s="2"/>
      <c r="H242" s="2"/>
      <c r="I242" s="2"/>
      <c r="J242" s="2"/>
      <c r="K242" s="2"/>
      <c r="L242" s="96">
        <v>1.0356164383561643</v>
      </c>
      <c r="M242" t="b">
        <v>1</v>
      </c>
      <c r="N242">
        <f t="shared" si="9"/>
        <v>10</v>
      </c>
      <c r="O242">
        <f t="shared" si="10"/>
        <v>2012</v>
      </c>
      <c r="P242">
        <f t="shared" si="11"/>
        <v>2011</v>
      </c>
    </row>
    <row r="243" spans="1:16" x14ac:dyDescent="0.25">
      <c r="A243" s="2" t="s">
        <v>265</v>
      </c>
      <c r="B243" s="2" t="s">
        <v>266</v>
      </c>
      <c r="C243" s="2" t="s">
        <v>23</v>
      </c>
      <c r="D243" s="25">
        <v>41000</v>
      </c>
      <c r="E243" s="2">
        <v>30</v>
      </c>
      <c r="F243" s="5">
        <v>41197</v>
      </c>
      <c r="G243" s="2"/>
      <c r="H243" s="2"/>
      <c r="I243" s="2"/>
      <c r="J243" s="2"/>
      <c r="K243" s="2"/>
      <c r="L243" s="96">
        <v>0.53972602739726028</v>
      </c>
      <c r="M243" t="b">
        <v>1</v>
      </c>
      <c r="N243">
        <f t="shared" si="9"/>
        <v>10</v>
      </c>
      <c r="O243">
        <f t="shared" si="10"/>
        <v>2012</v>
      </c>
      <c r="P243">
        <f t="shared" si="11"/>
        <v>2012</v>
      </c>
    </row>
    <row r="244" spans="1:16" x14ac:dyDescent="0.25">
      <c r="A244" s="2" t="s">
        <v>267</v>
      </c>
      <c r="B244" s="2" t="s">
        <v>268</v>
      </c>
      <c r="C244" s="2" t="s">
        <v>23</v>
      </c>
      <c r="D244" s="25">
        <v>41000</v>
      </c>
      <c r="E244" s="2">
        <v>30</v>
      </c>
      <c r="F244" s="5">
        <v>41197</v>
      </c>
      <c r="G244" s="2"/>
      <c r="H244" s="2"/>
      <c r="I244" s="2"/>
      <c r="J244" s="2"/>
      <c r="K244" s="2"/>
      <c r="L244" s="96">
        <v>0.53972602739726028</v>
      </c>
      <c r="M244" t="b">
        <v>1</v>
      </c>
      <c r="N244">
        <f t="shared" si="9"/>
        <v>10</v>
      </c>
      <c r="O244">
        <f t="shared" si="10"/>
        <v>2012</v>
      </c>
      <c r="P244">
        <f t="shared" si="11"/>
        <v>2012</v>
      </c>
    </row>
    <row r="245" spans="1:16" x14ac:dyDescent="0.25">
      <c r="A245" s="2" t="s">
        <v>619</v>
      </c>
      <c r="B245" s="2" t="s">
        <v>620</v>
      </c>
      <c r="C245" s="2" t="s">
        <v>47</v>
      </c>
      <c r="D245" s="25">
        <v>41157</v>
      </c>
      <c r="E245" s="2">
        <v>14</v>
      </c>
      <c r="F245" s="5" t="s">
        <v>47</v>
      </c>
      <c r="G245" s="2"/>
      <c r="H245" s="2" t="s">
        <v>28</v>
      </c>
      <c r="I245" s="2"/>
      <c r="J245" s="2"/>
      <c r="K245" s="2"/>
      <c r="L245" s="96" t="s">
        <v>47</v>
      </c>
      <c r="M245" t="b">
        <v>0</v>
      </c>
      <c r="N245" s="96" t="s">
        <v>47</v>
      </c>
      <c r="O245" s="96" t="s">
        <v>47</v>
      </c>
      <c r="P245">
        <f t="shared" si="11"/>
        <v>2012</v>
      </c>
    </row>
    <row r="246" spans="1:16" x14ac:dyDescent="0.25">
      <c r="A246" s="2" t="s">
        <v>621</v>
      </c>
      <c r="B246" s="2" t="s">
        <v>622</v>
      </c>
      <c r="C246" s="2" t="s">
        <v>47</v>
      </c>
      <c r="D246" s="25">
        <v>41157</v>
      </c>
      <c r="E246" s="2">
        <v>14</v>
      </c>
      <c r="F246" s="5" t="s">
        <v>47</v>
      </c>
      <c r="G246" s="2"/>
      <c r="H246" s="2" t="s">
        <v>28</v>
      </c>
      <c r="I246" s="2"/>
      <c r="J246" s="2"/>
      <c r="K246" s="2"/>
      <c r="L246" s="96" t="s">
        <v>47</v>
      </c>
      <c r="M246" t="b">
        <v>0</v>
      </c>
      <c r="N246" s="96" t="s">
        <v>47</v>
      </c>
      <c r="O246" s="96" t="s">
        <v>47</v>
      </c>
      <c r="P246">
        <f t="shared" si="11"/>
        <v>2012</v>
      </c>
    </row>
    <row r="247" spans="1:16" x14ac:dyDescent="0.25">
      <c r="A247" s="2" t="s">
        <v>623</v>
      </c>
      <c r="B247" s="2" t="s">
        <v>624</v>
      </c>
      <c r="C247" s="2" t="s">
        <v>47</v>
      </c>
      <c r="D247" s="25">
        <v>41157</v>
      </c>
      <c r="E247" s="2">
        <v>14</v>
      </c>
      <c r="F247" s="5" t="s">
        <v>47</v>
      </c>
      <c r="G247" s="2"/>
      <c r="H247" s="2" t="s">
        <v>28</v>
      </c>
      <c r="I247" s="2"/>
      <c r="J247" s="2"/>
      <c r="K247" s="2"/>
      <c r="L247" s="96" t="s">
        <v>47</v>
      </c>
      <c r="M247" t="b">
        <v>0</v>
      </c>
      <c r="N247" s="96" t="s">
        <v>47</v>
      </c>
      <c r="O247" s="96" t="s">
        <v>47</v>
      </c>
      <c r="P247">
        <f t="shared" si="11"/>
        <v>2012</v>
      </c>
    </row>
    <row r="248" spans="1:16" x14ac:dyDescent="0.25">
      <c r="A248" s="2" t="s">
        <v>474</v>
      </c>
      <c r="B248" s="2" t="s">
        <v>475</v>
      </c>
      <c r="C248" s="2" t="s">
        <v>23</v>
      </c>
      <c r="D248" s="25">
        <v>41075</v>
      </c>
      <c r="E248" s="2">
        <v>30</v>
      </c>
      <c r="F248" s="5">
        <v>41228</v>
      </c>
      <c r="G248" s="2"/>
      <c r="H248" s="2"/>
      <c r="I248" s="2" t="s">
        <v>434</v>
      </c>
      <c r="J248" s="2"/>
      <c r="K248" s="2"/>
      <c r="L248" s="96">
        <v>0.41917808219178082</v>
      </c>
      <c r="M248" t="b">
        <v>1</v>
      </c>
      <c r="N248">
        <f t="shared" si="9"/>
        <v>11</v>
      </c>
      <c r="O248">
        <f t="shared" si="10"/>
        <v>2012</v>
      </c>
      <c r="P248">
        <f t="shared" si="11"/>
        <v>2012</v>
      </c>
    </row>
    <row r="249" spans="1:16" x14ac:dyDescent="0.25">
      <c r="A249" s="2" t="s">
        <v>161</v>
      </c>
      <c r="B249" s="2" t="s">
        <v>162</v>
      </c>
      <c r="C249" s="2" t="s">
        <v>13</v>
      </c>
      <c r="D249" s="25">
        <v>41205</v>
      </c>
      <c r="E249" s="2">
        <v>7</v>
      </c>
      <c r="F249" s="5">
        <v>41228</v>
      </c>
      <c r="G249" s="2"/>
      <c r="H249" s="2"/>
      <c r="I249" s="2" t="s">
        <v>148</v>
      </c>
      <c r="J249" s="2" t="s">
        <v>163</v>
      </c>
      <c r="K249" s="2"/>
      <c r="L249" s="96">
        <v>6.3013698630136991E-2</v>
      </c>
      <c r="M249" t="b">
        <v>1</v>
      </c>
      <c r="N249">
        <f t="shared" si="9"/>
        <v>11</v>
      </c>
      <c r="O249">
        <f t="shared" si="10"/>
        <v>2012</v>
      </c>
      <c r="P249">
        <f t="shared" si="11"/>
        <v>2012</v>
      </c>
    </row>
    <row r="250" spans="1:16" x14ac:dyDescent="0.25">
      <c r="A250" s="2" t="s">
        <v>164</v>
      </c>
      <c r="B250" s="2" t="s">
        <v>165</v>
      </c>
      <c r="C250" s="2" t="s">
        <v>13</v>
      </c>
      <c r="D250" s="25">
        <v>41205</v>
      </c>
      <c r="E250" s="2">
        <v>7</v>
      </c>
      <c r="F250" s="5">
        <v>41228</v>
      </c>
      <c r="G250" s="2"/>
      <c r="H250" s="2"/>
      <c r="I250" s="2" t="s">
        <v>148</v>
      </c>
      <c r="J250" s="2" t="s">
        <v>163</v>
      </c>
      <c r="K250" s="2"/>
      <c r="L250" s="96">
        <v>6.3013698630136991E-2</v>
      </c>
      <c r="M250" t="b">
        <v>1</v>
      </c>
      <c r="N250">
        <f t="shared" si="9"/>
        <v>11</v>
      </c>
      <c r="O250">
        <f t="shared" si="10"/>
        <v>2012</v>
      </c>
      <c r="P250">
        <f t="shared" si="11"/>
        <v>2012</v>
      </c>
    </row>
    <row r="251" spans="1:16" x14ac:dyDescent="0.25">
      <c r="A251" s="2" t="s">
        <v>166</v>
      </c>
      <c r="B251" s="2" t="s">
        <v>167</v>
      </c>
      <c r="C251" s="2" t="s">
        <v>23</v>
      </c>
      <c r="D251" s="25">
        <v>41205</v>
      </c>
      <c r="E251" s="2">
        <v>7</v>
      </c>
      <c r="F251" s="5">
        <v>41228</v>
      </c>
      <c r="G251" s="2"/>
      <c r="H251" s="2"/>
      <c r="I251" s="2" t="s">
        <v>148</v>
      </c>
      <c r="J251" s="2" t="s">
        <v>163</v>
      </c>
      <c r="K251" s="2"/>
      <c r="L251" s="96">
        <v>6.3013698630136991E-2</v>
      </c>
      <c r="M251" t="b">
        <v>1</v>
      </c>
      <c r="N251">
        <f t="shared" si="9"/>
        <v>11</v>
      </c>
      <c r="O251">
        <f t="shared" si="10"/>
        <v>2012</v>
      </c>
      <c r="P251">
        <f t="shared" si="11"/>
        <v>2012</v>
      </c>
    </row>
    <row r="252" spans="1:16" x14ac:dyDescent="0.25">
      <c r="A252" s="2" t="s">
        <v>295</v>
      </c>
      <c r="B252" s="2" t="s">
        <v>296</v>
      </c>
      <c r="C252" s="2" t="s">
        <v>13</v>
      </c>
      <c r="D252" s="25">
        <v>38869</v>
      </c>
      <c r="E252" s="2">
        <v>180</v>
      </c>
      <c r="F252" s="5">
        <v>41105</v>
      </c>
      <c r="G252" s="2"/>
      <c r="H252" s="2"/>
      <c r="I252" s="2"/>
      <c r="J252" s="2"/>
      <c r="K252" s="2"/>
      <c r="L252" s="96">
        <v>6.1260273972602741</v>
      </c>
      <c r="M252" t="b">
        <v>1</v>
      </c>
      <c r="N252">
        <f t="shared" si="9"/>
        <v>7</v>
      </c>
      <c r="O252">
        <f t="shared" si="10"/>
        <v>2012</v>
      </c>
      <c r="P252">
        <f t="shared" si="11"/>
        <v>2006</v>
      </c>
    </row>
    <row r="253" spans="1:16" x14ac:dyDescent="0.25">
      <c r="A253" s="2" t="s">
        <v>350</v>
      </c>
      <c r="B253" s="2" t="s">
        <v>351</v>
      </c>
      <c r="C253" s="2" t="s">
        <v>23</v>
      </c>
      <c r="D253" s="25">
        <v>39539</v>
      </c>
      <c r="E253" s="2">
        <v>180</v>
      </c>
      <c r="F253" s="5">
        <v>41197</v>
      </c>
      <c r="G253" s="2"/>
      <c r="H253" s="2"/>
      <c r="I253" s="2"/>
      <c r="J253" s="2"/>
      <c r="K253" s="2"/>
      <c r="L253" s="96">
        <v>4.5424657534246577</v>
      </c>
      <c r="M253" t="b">
        <v>1</v>
      </c>
      <c r="N253">
        <f t="shared" si="9"/>
        <v>10</v>
      </c>
      <c r="O253">
        <f t="shared" si="10"/>
        <v>2012</v>
      </c>
      <c r="P253">
        <f t="shared" si="11"/>
        <v>2008</v>
      </c>
    </row>
    <row r="254" spans="1:16" x14ac:dyDescent="0.25">
      <c r="A254" s="2" t="s">
        <v>609</v>
      </c>
      <c r="B254" s="2" t="s">
        <v>610</v>
      </c>
      <c r="C254" s="2" t="s">
        <v>23</v>
      </c>
      <c r="D254" s="25">
        <v>39995</v>
      </c>
      <c r="E254" s="2">
        <v>90</v>
      </c>
      <c r="F254" s="5">
        <v>41197</v>
      </c>
      <c r="G254" s="2"/>
      <c r="H254" s="2"/>
      <c r="I254" s="2"/>
      <c r="J254" s="2"/>
      <c r="K254" s="2"/>
      <c r="L254" s="96">
        <v>3.2931506849315069</v>
      </c>
      <c r="M254" t="b">
        <v>1</v>
      </c>
      <c r="N254">
        <f t="shared" si="9"/>
        <v>10</v>
      </c>
      <c r="O254">
        <f t="shared" si="10"/>
        <v>2012</v>
      </c>
      <c r="P254">
        <f t="shared" si="11"/>
        <v>2009</v>
      </c>
    </row>
    <row r="255" spans="1:16" x14ac:dyDescent="0.25">
      <c r="A255" s="2" t="s">
        <v>611</v>
      </c>
      <c r="B255" s="2" t="s">
        <v>612</v>
      </c>
      <c r="C255" s="2" t="s">
        <v>23</v>
      </c>
      <c r="D255" s="25">
        <v>39995</v>
      </c>
      <c r="E255" s="2">
        <v>90</v>
      </c>
      <c r="F255" s="5">
        <v>41197</v>
      </c>
      <c r="G255" s="2"/>
      <c r="H255" s="2"/>
      <c r="I255" s="2"/>
      <c r="J255" s="2"/>
      <c r="K255" s="2"/>
      <c r="L255" s="96">
        <v>3.2931506849315069</v>
      </c>
      <c r="M255" t="b">
        <v>1</v>
      </c>
      <c r="N255">
        <f t="shared" si="9"/>
        <v>10</v>
      </c>
      <c r="O255">
        <f t="shared" si="10"/>
        <v>2012</v>
      </c>
      <c r="P255">
        <f t="shared" si="11"/>
        <v>2009</v>
      </c>
    </row>
    <row r="256" spans="1:16" x14ac:dyDescent="0.25">
      <c r="A256" s="2" t="s">
        <v>562</v>
      </c>
      <c r="B256" s="2"/>
      <c r="C256" s="2" t="s">
        <v>13</v>
      </c>
      <c r="D256" s="25">
        <v>40422</v>
      </c>
      <c r="E256" s="2"/>
      <c r="F256" s="5">
        <v>41136</v>
      </c>
      <c r="G256" s="2"/>
      <c r="H256" s="2"/>
      <c r="I256" s="2"/>
      <c r="J256" s="2"/>
      <c r="K256" s="2"/>
      <c r="L256" s="96">
        <v>1.9561643835616438</v>
      </c>
      <c r="M256" t="b">
        <v>1</v>
      </c>
      <c r="N256">
        <f t="shared" si="9"/>
        <v>8</v>
      </c>
      <c r="O256">
        <f t="shared" si="10"/>
        <v>2012</v>
      </c>
      <c r="P256">
        <f t="shared" si="11"/>
        <v>2010</v>
      </c>
    </row>
    <row r="257" spans="1:16" x14ac:dyDescent="0.25">
      <c r="A257" s="2" t="s">
        <v>563</v>
      </c>
      <c r="B257" s="2"/>
      <c r="C257" s="2" t="s">
        <v>47</v>
      </c>
      <c r="D257" s="25">
        <v>40422</v>
      </c>
      <c r="E257" s="2"/>
      <c r="F257" s="5">
        <v>41136</v>
      </c>
      <c r="G257" s="2"/>
      <c r="H257" s="2"/>
      <c r="I257" s="2"/>
      <c r="J257" s="2"/>
      <c r="K257" s="2"/>
      <c r="L257" s="96">
        <v>1.9561643835616438</v>
      </c>
      <c r="M257" t="b">
        <v>1</v>
      </c>
      <c r="N257">
        <f t="shared" si="9"/>
        <v>8</v>
      </c>
      <c r="O257">
        <f t="shared" si="10"/>
        <v>2012</v>
      </c>
      <c r="P257">
        <f t="shared" si="11"/>
        <v>2010</v>
      </c>
    </row>
    <row r="258" spans="1:16" x14ac:dyDescent="0.25">
      <c r="A258" s="2" t="s">
        <v>81</v>
      </c>
      <c r="B258" s="2" t="s">
        <v>82</v>
      </c>
      <c r="C258" s="2" t="s">
        <v>13</v>
      </c>
      <c r="D258" s="25">
        <v>39173</v>
      </c>
      <c r="E258" s="2">
        <v>90</v>
      </c>
      <c r="F258" s="5">
        <v>39736</v>
      </c>
      <c r="G258" s="2"/>
      <c r="H258" s="2"/>
      <c r="I258" s="2"/>
      <c r="J258" s="2"/>
      <c r="K258" s="2"/>
      <c r="L258" s="96">
        <v>1.5424657534246575</v>
      </c>
      <c r="M258" t="b">
        <v>1</v>
      </c>
      <c r="N258">
        <f t="shared" si="9"/>
        <v>10</v>
      </c>
      <c r="O258">
        <f t="shared" si="10"/>
        <v>2008</v>
      </c>
      <c r="P258">
        <f t="shared" si="11"/>
        <v>2007</v>
      </c>
    </row>
    <row r="259" spans="1:16" x14ac:dyDescent="0.25">
      <c r="A259" s="2" t="s">
        <v>83</v>
      </c>
      <c r="B259" s="2" t="s">
        <v>84</v>
      </c>
      <c r="C259" s="2" t="s">
        <v>47</v>
      </c>
      <c r="D259" s="25">
        <v>41310</v>
      </c>
      <c r="E259" s="2">
        <v>14</v>
      </c>
      <c r="F259" s="5">
        <v>41470</v>
      </c>
      <c r="G259" s="2"/>
      <c r="H259" s="2"/>
      <c r="I259" s="2"/>
      <c r="J259" s="2"/>
      <c r="K259" s="2" t="s">
        <v>85</v>
      </c>
      <c r="L259" s="96">
        <v>0.43835616438356162</v>
      </c>
      <c r="M259" t="b">
        <v>1</v>
      </c>
      <c r="N259">
        <f t="shared" ref="N259:N322" si="12">MONTH(F259)</f>
        <v>7</v>
      </c>
      <c r="O259">
        <f t="shared" ref="O259:O322" si="13">YEAR(F259)</f>
        <v>2013</v>
      </c>
      <c r="P259">
        <f t="shared" ref="P259:P322" si="14">YEAR(D259)</f>
        <v>2013</v>
      </c>
    </row>
    <row r="260" spans="1:16" x14ac:dyDescent="0.25">
      <c r="A260" s="2" t="s">
        <v>86</v>
      </c>
      <c r="B260" s="2" t="s">
        <v>87</v>
      </c>
      <c r="C260" s="2" t="s">
        <v>13</v>
      </c>
      <c r="D260" s="25">
        <v>41310</v>
      </c>
      <c r="E260" s="2">
        <v>14</v>
      </c>
      <c r="F260" s="5">
        <v>41470</v>
      </c>
      <c r="G260" s="2"/>
      <c r="H260" s="2"/>
      <c r="I260" s="2"/>
      <c r="J260" s="2"/>
      <c r="K260" s="2" t="s">
        <v>85</v>
      </c>
      <c r="L260" s="96">
        <v>0.43835616438356162</v>
      </c>
      <c r="M260" t="b">
        <v>1</v>
      </c>
      <c r="N260">
        <f t="shared" si="12"/>
        <v>7</v>
      </c>
      <c r="O260">
        <f t="shared" si="13"/>
        <v>2013</v>
      </c>
      <c r="P260">
        <f t="shared" si="14"/>
        <v>2013</v>
      </c>
    </row>
    <row r="261" spans="1:16" x14ac:dyDescent="0.25">
      <c r="A261" s="2" t="s">
        <v>88</v>
      </c>
      <c r="B261" s="2" t="s">
        <v>89</v>
      </c>
      <c r="C261" s="2" t="s">
        <v>23</v>
      </c>
      <c r="D261" s="25">
        <v>41310</v>
      </c>
      <c r="E261" s="2">
        <v>14</v>
      </c>
      <c r="F261" s="5">
        <v>41470</v>
      </c>
      <c r="G261" s="2"/>
      <c r="H261" s="2"/>
      <c r="I261" s="2"/>
      <c r="J261" s="2"/>
      <c r="K261" s="2" t="s">
        <v>85</v>
      </c>
      <c r="L261" s="96">
        <v>0.43835616438356162</v>
      </c>
      <c r="M261" t="b">
        <v>1</v>
      </c>
      <c r="N261">
        <f t="shared" si="12"/>
        <v>7</v>
      </c>
      <c r="O261">
        <f t="shared" si="13"/>
        <v>2013</v>
      </c>
      <c r="P261">
        <f t="shared" si="14"/>
        <v>2013</v>
      </c>
    </row>
    <row r="262" spans="1:16" x14ac:dyDescent="0.25">
      <c r="A262" s="2" t="s">
        <v>90</v>
      </c>
      <c r="B262" s="2" t="s">
        <v>91</v>
      </c>
      <c r="C262" s="2" t="s">
        <v>13</v>
      </c>
      <c r="D262" s="25">
        <v>41310</v>
      </c>
      <c r="E262" s="2">
        <v>14</v>
      </c>
      <c r="F262" s="5">
        <v>41470</v>
      </c>
      <c r="G262" s="2"/>
      <c r="H262" s="2"/>
      <c r="I262" s="2"/>
      <c r="J262" s="2"/>
      <c r="K262" s="2" t="s">
        <v>85</v>
      </c>
      <c r="L262" s="96">
        <v>0.43835616438356162</v>
      </c>
      <c r="M262" t="b">
        <v>1</v>
      </c>
      <c r="N262">
        <f t="shared" si="12"/>
        <v>7</v>
      </c>
      <c r="O262">
        <f t="shared" si="13"/>
        <v>2013</v>
      </c>
      <c r="P262">
        <f t="shared" si="14"/>
        <v>2013</v>
      </c>
    </row>
    <row r="263" spans="1:16" x14ac:dyDescent="0.25">
      <c r="A263" s="2" t="s">
        <v>92</v>
      </c>
      <c r="B263" s="2" t="s">
        <v>93</v>
      </c>
      <c r="C263" s="2" t="s">
        <v>13</v>
      </c>
      <c r="D263" s="25">
        <v>41310</v>
      </c>
      <c r="E263" s="2">
        <v>14</v>
      </c>
      <c r="F263" s="5">
        <v>41470</v>
      </c>
      <c r="G263" s="2"/>
      <c r="H263" s="2"/>
      <c r="I263" s="2"/>
      <c r="J263" s="2"/>
      <c r="K263" s="2" t="s">
        <v>85</v>
      </c>
      <c r="L263" s="96">
        <v>0.43835616438356162</v>
      </c>
      <c r="M263" t="b">
        <v>1</v>
      </c>
      <c r="N263">
        <f t="shared" si="12"/>
        <v>7</v>
      </c>
      <c r="O263">
        <f t="shared" si="13"/>
        <v>2013</v>
      </c>
      <c r="P263">
        <f t="shared" si="14"/>
        <v>2013</v>
      </c>
    </row>
    <row r="264" spans="1:16" x14ac:dyDescent="0.25">
      <c r="A264" s="2" t="s">
        <v>476</v>
      </c>
      <c r="B264" s="2" t="s">
        <v>477</v>
      </c>
      <c r="C264" s="2" t="s">
        <v>23</v>
      </c>
      <c r="D264" s="25">
        <v>41342</v>
      </c>
      <c r="E264" s="2">
        <v>14</v>
      </c>
      <c r="F264" s="5">
        <v>41409</v>
      </c>
      <c r="G264" s="2"/>
      <c r="H264" s="2"/>
      <c r="I264" s="2" t="s">
        <v>432</v>
      </c>
      <c r="J264" s="2"/>
      <c r="K264" s="2" t="s">
        <v>85</v>
      </c>
      <c r="L264" s="96">
        <v>0.18356164383561643</v>
      </c>
      <c r="M264" t="b">
        <v>1</v>
      </c>
      <c r="N264">
        <f t="shared" si="12"/>
        <v>5</v>
      </c>
      <c r="O264">
        <f t="shared" si="13"/>
        <v>2013</v>
      </c>
      <c r="P264">
        <f t="shared" si="14"/>
        <v>2013</v>
      </c>
    </row>
    <row r="265" spans="1:16" x14ac:dyDescent="0.25">
      <c r="A265" s="2" t="s">
        <v>478</v>
      </c>
      <c r="B265" s="2" t="s">
        <v>479</v>
      </c>
      <c r="C265" s="2" t="s">
        <v>13</v>
      </c>
      <c r="D265" s="25">
        <v>41342</v>
      </c>
      <c r="E265" s="2">
        <v>14</v>
      </c>
      <c r="F265" s="5">
        <v>41409</v>
      </c>
      <c r="G265" s="2"/>
      <c r="H265" s="2"/>
      <c r="I265" s="2" t="s">
        <v>432</v>
      </c>
      <c r="J265" s="2"/>
      <c r="K265" s="2" t="s">
        <v>85</v>
      </c>
      <c r="L265" s="96">
        <v>0.18356164383561643</v>
      </c>
      <c r="M265" t="b">
        <v>1</v>
      </c>
      <c r="N265">
        <f t="shared" si="12"/>
        <v>5</v>
      </c>
      <c r="O265">
        <f t="shared" si="13"/>
        <v>2013</v>
      </c>
      <c r="P265">
        <f t="shared" si="14"/>
        <v>2013</v>
      </c>
    </row>
    <row r="266" spans="1:16" x14ac:dyDescent="0.25">
      <c r="A266" s="2" t="s">
        <v>94</v>
      </c>
      <c r="B266" s="2" t="s">
        <v>95</v>
      </c>
      <c r="C266" s="2" t="s">
        <v>13</v>
      </c>
      <c r="D266" s="25">
        <v>41379</v>
      </c>
      <c r="E266" s="2">
        <v>7</v>
      </c>
      <c r="F266" s="5">
        <v>41379</v>
      </c>
      <c r="G266" s="2"/>
      <c r="H266" s="2"/>
      <c r="I266" s="2" t="s">
        <v>37</v>
      </c>
      <c r="J266" s="2"/>
      <c r="K266" s="2" t="s">
        <v>85</v>
      </c>
      <c r="L266" s="96">
        <v>0</v>
      </c>
      <c r="M266" t="b">
        <v>1</v>
      </c>
      <c r="N266">
        <f t="shared" si="12"/>
        <v>4</v>
      </c>
      <c r="O266">
        <f t="shared" si="13"/>
        <v>2013</v>
      </c>
      <c r="P266">
        <f t="shared" si="14"/>
        <v>2013</v>
      </c>
    </row>
    <row r="267" spans="1:16" x14ac:dyDescent="0.25">
      <c r="A267" s="2" t="s">
        <v>96</v>
      </c>
      <c r="B267" s="2" t="s">
        <v>97</v>
      </c>
      <c r="C267" s="2" t="s">
        <v>47</v>
      </c>
      <c r="D267" s="25">
        <v>41379</v>
      </c>
      <c r="E267" s="2">
        <v>7</v>
      </c>
      <c r="F267" s="5">
        <v>41379</v>
      </c>
      <c r="G267" s="2"/>
      <c r="H267" s="2"/>
      <c r="I267" s="2" t="s">
        <v>37</v>
      </c>
      <c r="J267" s="2"/>
      <c r="K267" s="2" t="s">
        <v>85</v>
      </c>
      <c r="L267" s="96">
        <v>0</v>
      </c>
      <c r="M267" t="b">
        <v>1</v>
      </c>
      <c r="N267">
        <f t="shared" si="12"/>
        <v>4</v>
      </c>
      <c r="O267">
        <f t="shared" si="13"/>
        <v>2013</v>
      </c>
      <c r="P267">
        <f t="shared" si="14"/>
        <v>2013</v>
      </c>
    </row>
    <row r="268" spans="1:16" x14ac:dyDescent="0.25">
      <c r="A268" s="2" t="s">
        <v>98</v>
      </c>
      <c r="B268" s="2" t="s">
        <v>99</v>
      </c>
      <c r="C268" s="2" t="s">
        <v>13</v>
      </c>
      <c r="D268" s="25">
        <v>41379</v>
      </c>
      <c r="E268" s="2">
        <v>7</v>
      </c>
      <c r="F268" s="5">
        <v>41379</v>
      </c>
      <c r="G268" s="2"/>
      <c r="H268" s="2"/>
      <c r="I268" s="2" t="s">
        <v>37</v>
      </c>
      <c r="J268" s="2"/>
      <c r="K268" s="2" t="s">
        <v>85</v>
      </c>
      <c r="L268" s="96">
        <v>0</v>
      </c>
      <c r="M268" t="b">
        <v>1</v>
      </c>
      <c r="N268">
        <f t="shared" si="12"/>
        <v>4</v>
      </c>
      <c r="O268">
        <f t="shared" si="13"/>
        <v>2013</v>
      </c>
      <c r="P268">
        <f t="shared" si="14"/>
        <v>2013</v>
      </c>
    </row>
    <row r="269" spans="1:16" x14ac:dyDescent="0.25">
      <c r="A269" s="2" t="s">
        <v>100</v>
      </c>
      <c r="B269" s="2" t="s">
        <v>101</v>
      </c>
      <c r="C269" s="2" t="s">
        <v>23</v>
      </c>
      <c r="D269" s="25">
        <v>41258</v>
      </c>
      <c r="E269" s="2">
        <v>14</v>
      </c>
      <c r="F269" s="5">
        <v>41470</v>
      </c>
      <c r="G269" s="2"/>
      <c r="H269" s="2"/>
      <c r="I269" s="2"/>
      <c r="J269" s="2"/>
      <c r="K269" s="2" t="s">
        <v>85</v>
      </c>
      <c r="L269" s="96">
        <v>0.58082191780821912</v>
      </c>
      <c r="M269" t="b">
        <v>1</v>
      </c>
      <c r="N269">
        <f t="shared" si="12"/>
        <v>7</v>
      </c>
      <c r="O269">
        <f t="shared" si="13"/>
        <v>2013</v>
      </c>
      <c r="P269">
        <f t="shared" si="14"/>
        <v>2012</v>
      </c>
    </row>
    <row r="270" spans="1:16" x14ac:dyDescent="0.25">
      <c r="A270" s="2" t="s">
        <v>102</v>
      </c>
      <c r="B270" s="2" t="s">
        <v>103</v>
      </c>
      <c r="C270" s="2" t="s">
        <v>13</v>
      </c>
      <c r="D270" s="25">
        <v>41258</v>
      </c>
      <c r="E270" s="2">
        <v>14</v>
      </c>
      <c r="F270" s="5">
        <v>41470</v>
      </c>
      <c r="G270" s="2"/>
      <c r="H270" s="2"/>
      <c r="I270" s="2"/>
      <c r="J270" s="2"/>
      <c r="K270" s="2" t="s">
        <v>85</v>
      </c>
      <c r="L270" s="96">
        <v>0.58082191780821912</v>
      </c>
      <c r="M270" t="b">
        <v>1</v>
      </c>
      <c r="N270">
        <f t="shared" si="12"/>
        <v>7</v>
      </c>
      <c r="O270">
        <f t="shared" si="13"/>
        <v>2013</v>
      </c>
      <c r="P270">
        <f t="shared" si="14"/>
        <v>2012</v>
      </c>
    </row>
    <row r="271" spans="1:16" x14ac:dyDescent="0.25">
      <c r="A271" s="2" t="s">
        <v>104</v>
      </c>
      <c r="B271" s="2" t="s">
        <v>105</v>
      </c>
      <c r="C271" s="2" t="s">
        <v>23</v>
      </c>
      <c r="D271" s="25">
        <v>41258</v>
      </c>
      <c r="E271" s="2">
        <v>14</v>
      </c>
      <c r="F271" s="5">
        <v>41470</v>
      </c>
      <c r="G271" s="2"/>
      <c r="H271" s="2"/>
      <c r="I271" s="2"/>
      <c r="J271" s="2"/>
      <c r="K271" s="2" t="s">
        <v>85</v>
      </c>
      <c r="L271" s="96">
        <v>0.58082191780821912</v>
      </c>
      <c r="M271" t="b">
        <v>1</v>
      </c>
      <c r="N271">
        <f t="shared" si="12"/>
        <v>7</v>
      </c>
      <c r="O271">
        <f t="shared" si="13"/>
        <v>2013</v>
      </c>
      <c r="P271">
        <f t="shared" si="14"/>
        <v>2012</v>
      </c>
    </row>
    <row r="272" spans="1:16" x14ac:dyDescent="0.25">
      <c r="A272" s="2" t="s">
        <v>106</v>
      </c>
      <c r="B272" s="2" t="s">
        <v>107</v>
      </c>
      <c r="C272" s="2" t="s">
        <v>47</v>
      </c>
      <c r="D272" s="25">
        <v>41258</v>
      </c>
      <c r="E272" s="2">
        <v>14</v>
      </c>
      <c r="F272" s="5">
        <v>41470</v>
      </c>
      <c r="G272" s="2"/>
      <c r="H272" s="2"/>
      <c r="I272" s="2"/>
      <c r="J272" s="2"/>
      <c r="K272" s="2"/>
      <c r="L272" s="96">
        <v>0.58082191780821912</v>
      </c>
      <c r="M272" t="b">
        <v>1</v>
      </c>
      <c r="N272">
        <f t="shared" si="12"/>
        <v>7</v>
      </c>
      <c r="O272">
        <f t="shared" si="13"/>
        <v>2013</v>
      </c>
      <c r="P272">
        <f t="shared" si="14"/>
        <v>2012</v>
      </c>
    </row>
    <row r="273" spans="1:16" x14ac:dyDescent="0.25">
      <c r="A273" s="2" t="s">
        <v>625</v>
      </c>
      <c r="B273" s="2" t="s">
        <v>172</v>
      </c>
      <c r="C273" s="2" t="s">
        <v>13</v>
      </c>
      <c r="D273" s="25">
        <v>41244</v>
      </c>
      <c r="E273" s="2">
        <v>30</v>
      </c>
      <c r="F273" s="5">
        <v>41380</v>
      </c>
      <c r="G273" s="5">
        <v>41550</v>
      </c>
      <c r="H273" s="2" t="s">
        <v>626</v>
      </c>
      <c r="I273" s="2" t="s">
        <v>187</v>
      </c>
      <c r="J273" s="2"/>
      <c r="K273" s="2"/>
      <c r="L273" s="96">
        <v>0.37260273972602742</v>
      </c>
      <c r="M273" t="b">
        <v>1</v>
      </c>
      <c r="N273">
        <f t="shared" si="12"/>
        <v>4</v>
      </c>
      <c r="O273">
        <f t="shared" si="13"/>
        <v>2013</v>
      </c>
      <c r="P273">
        <f t="shared" si="14"/>
        <v>2012</v>
      </c>
    </row>
    <row r="274" spans="1:16" x14ac:dyDescent="0.25">
      <c r="A274" t="s">
        <v>627</v>
      </c>
      <c r="B274" s="2" t="s">
        <v>172</v>
      </c>
      <c r="C274" s="4" t="s">
        <v>13</v>
      </c>
      <c r="D274" s="5">
        <v>41244</v>
      </c>
      <c r="E274" s="2">
        <v>30</v>
      </c>
      <c r="F274" s="5">
        <v>41380</v>
      </c>
      <c r="G274" s="2"/>
      <c r="H274" s="2"/>
      <c r="I274" s="2" t="s">
        <v>187</v>
      </c>
      <c r="J274" s="2"/>
      <c r="K274" s="2"/>
      <c r="L274" s="96">
        <v>0.37260273972602742</v>
      </c>
      <c r="M274" t="b">
        <v>1</v>
      </c>
      <c r="N274">
        <f t="shared" si="12"/>
        <v>4</v>
      </c>
      <c r="O274">
        <f t="shared" si="13"/>
        <v>2013</v>
      </c>
      <c r="P274">
        <f t="shared" si="14"/>
        <v>2012</v>
      </c>
    </row>
    <row r="275" spans="1:16" x14ac:dyDescent="0.25">
      <c r="A275" t="s">
        <v>628</v>
      </c>
      <c r="B275" s="2" t="s">
        <v>172</v>
      </c>
      <c r="C275" s="4" t="s">
        <v>13</v>
      </c>
      <c r="D275" s="5">
        <v>41244</v>
      </c>
      <c r="E275" s="2">
        <v>30</v>
      </c>
      <c r="F275" s="5">
        <v>41380</v>
      </c>
      <c r="G275" s="2"/>
      <c r="H275" s="2"/>
      <c r="I275" s="2" t="s">
        <v>187</v>
      </c>
      <c r="J275" s="2"/>
      <c r="K275" s="2"/>
      <c r="L275" s="96">
        <v>0.37260273972602742</v>
      </c>
      <c r="M275" t="b">
        <v>1</v>
      </c>
      <c r="N275">
        <f t="shared" si="12"/>
        <v>4</v>
      </c>
      <c r="O275">
        <f t="shared" si="13"/>
        <v>2013</v>
      </c>
      <c r="P275">
        <f t="shared" si="14"/>
        <v>2012</v>
      </c>
    </row>
    <row r="276" spans="1:16" x14ac:dyDescent="0.25">
      <c r="A276" t="s">
        <v>629</v>
      </c>
      <c r="B276" s="2" t="s">
        <v>429</v>
      </c>
      <c r="C276" s="4" t="s">
        <v>47</v>
      </c>
      <c r="D276" s="5">
        <v>41470</v>
      </c>
      <c r="E276" s="2"/>
      <c r="F276" s="5">
        <v>41563</v>
      </c>
      <c r="G276" s="2"/>
      <c r="H276" s="2"/>
      <c r="I276" s="2" t="s">
        <v>464</v>
      </c>
      <c r="J276" s="2"/>
      <c r="K276" s="2"/>
      <c r="L276" s="96">
        <v>0.25479452054794521</v>
      </c>
      <c r="M276" t="b">
        <v>1</v>
      </c>
      <c r="N276">
        <f t="shared" si="12"/>
        <v>10</v>
      </c>
      <c r="O276">
        <f t="shared" si="13"/>
        <v>2013</v>
      </c>
      <c r="P276">
        <f t="shared" si="14"/>
        <v>2013</v>
      </c>
    </row>
    <row r="277" spans="1:16" x14ac:dyDescent="0.25">
      <c r="A277" t="s">
        <v>630</v>
      </c>
      <c r="B277" s="2" t="s">
        <v>429</v>
      </c>
      <c r="C277" s="4" t="s">
        <v>47</v>
      </c>
      <c r="D277" s="5">
        <v>41470</v>
      </c>
      <c r="E277" s="2"/>
      <c r="F277" s="5">
        <v>41563</v>
      </c>
      <c r="G277" s="2"/>
      <c r="H277" s="2"/>
      <c r="I277" s="2" t="s">
        <v>464</v>
      </c>
      <c r="J277" s="2"/>
      <c r="K277" s="2"/>
      <c r="L277" s="96">
        <v>0.25479452054794521</v>
      </c>
      <c r="M277" t="b">
        <v>1</v>
      </c>
      <c r="N277">
        <f t="shared" si="12"/>
        <v>10</v>
      </c>
      <c r="O277">
        <f t="shared" si="13"/>
        <v>2013</v>
      </c>
      <c r="P277">
        <f t="shared" si="14"/>
        <v>2013</v>
      </c>
    </row>
    <row r="278" spans="1:16" x14ac:dyDescent="0.25">
      <c r="A278" s="6" t="s">
        <v>631</v>
      </c>
      <c r="B278" s="2" t="s">
        <v>150</v>
      </c>
      <c r="C278" s="4" t="s">
        <v>23</v>
      </c>
      <c r="D278" s="5">
        <v>41654</v>
      </c>
      <c r="E278" s="2"/>
      <c r="F278" s="5">
        <v>41757</v>
      </c>
      <c r="G278" s="2"/>
      <c r="H278" s="2"/>
      <c r="I278" s="2" t="s">
        <v>148</v>
      </c>
      <c r="J278" s="2"/>
      <c r="K278" s="2"/>
      <c r="L278" s="96">
        <v>0.28219178082191781</v>
      </c>
      <c r="M278" t="b">
        <v>1</v>
      </c>
      <c r="N278">
        <f t="shared" si="12"/>
        <v>4</v>
      </c>
      <c r="O278">
        <f t="shared" si="13"/>
        <v>2014</v>
      </c>
      <c r="P278">
        <f t="shared" si="14"/>
        <v>2014</v>
      </c>
    </row>
    <row r="279" spans="1:16" x14ac:dyDescent="0.25">
      <c r="A279" s="6" t="s">
        <v>632</v>
      </c>
      <c r="B279" s="2" t="s">
        <v>150</v>
      </c>
      <c r="C279" s="4" t="s">
        <v>13</v>
      </c>
      <c r="D279" s="5">
        <v>41654</v>
      </c>
      <c r="E279" s="2"/>
      <c r="F279" s="5">
        <v>41757</v>
      </c>
      <c r="G279" s="2"/>
      <c r="H279" s="2"/>
      <c r="I279" s="2" t="s">
        <v>148</v>
      </c>
      <c r="J279" s="2"/>
      <c r="K279" s="2"/>
      <c r="L279" s="96">
        <v>0.28219178082191781</v>
      </c>
      <c r="M279" t="b">
        <v>1</v>
      </c>
      <c r="N279">
        <f t="shared" si="12"/>
        <v>4</v>
      </c>
      <c r="O279">
        <f t="shared" si="13"/>
        <v>2014</v>
      </c>
      <c r="P279">
        <f t="shared" si="14"/>
        <v>2014</v>
      </c>
    </row>
    <row r="280" spans="1:16" x14ac:dyDescent="0.25">
      <c r="A280" s="6" t="s">
        <v>633</v>
      </c>
      <c r="B280" s="2" t="s">
        <v>150</v>
      </c>
      <c r="C280" s="4" t="s">
        <v>13</v>
      </c>
      <c r="D280" s="5">
        <v>41654</v>
      </c>
      <c r="E280" s="2"/>
      <c r="F280" s="5">
        <v>41757</v>
      </c>
      <c r="G280" s="2"/>
      <c r="H280" s="2"/>
      <c r="I280" s="2" t="s">
        <v>148</v>
      </c>
      <c r="J280" s="2"/>
      <c r="K280" s="2"/>
      <c r="L280" s="96">
        <v>0.28219178082191781</v>
      </c>
      <c r="M280" t="b">
        <v>1</v>
      </c>
      <c r="N280">
        <f t="shared" si="12"/>
        <v>4</v>
      </c>
      <c r="O280">
        <f t="shared" si="13"/>
        <v>2014</v>
      </c>
      <c r="P280">
        <f t="shared" si="14"/>
        <v>2014</v>
      </c>
    </row>
    <row r="281" spans="1:16" x14ac:dyDescent="0.25">
      <c r="A281" t="s">
        <v>634</v>
      </c>
      <c r="B281" s="2" t="s">
        <v>864</v>
      </c>
      <c r="C281" s="4" t="s">
        <v>13</v>
      </c>
      <c r="D281" s="5">
        <v>41365</v>
      </c>
      <c r="E281" s="2"/>
      <c r="F281" s="5">
        <v>41466</v>
      </c>
      <c r="G281" s="2"/>
      <c r="H281" s="2"/>
      <c r="I281" s="2" t="s">
        <v>223</v>
      </c>
      <c r="J281" s="2"/>
      <c r="K281" s="2"/>
      <c r="L281" s="96">
        <v>0.27671232876712326</v>
      </c>
      <c r="M281" t="b">
        <v>1</v>
      </c>
      <c r="N281">
        <f t="shared" si="12"/>
        <v>7</v>
      </c>
      <c r="O281">
        <f t="shared" si="13"/>
        <v>2013</v>
      </c>
      <c r="P281">
        <f t="shared" si="14"/>
        <v>2013</v>
      </c>
    </row>
    <row r="282" spans="1:16" x14ac:dyDescent="0.25">
      <c r="A282" t="s">
        <v>635</v>
      </c>
      <c r="B282" s="2" t="s">
        <v>865</v>
      </c>
      <c r="C282" s="4" t="s">
        <v>23</v>
      </c>
      <c r="D282" s="5">
        <v>41365</v>
      </c>
      <c r="E282" s="2"/>
      <c r="F282" s="5">
        <v>41466</v>
      </c>
      <c r="G282" s="2"/>
      <c r="H282" s="2"/>
      <c r="I282" s="2" t="s">
        <v>223</v>
      </c>
      <c r="J282" s="2"/>
      <c r="K282" s="2"/>
      <c r="L282" s="96">
        <v>0.27671232876712326</v>
      </c>
      <c r="M282" t="b">
        <v>1</v>
      </c>
      <c r="N282">
        <f t="shared" si="12"/>
        <v>7</v>
      </c>
      <c r="O282">
        <f t="shared" si="13"/>
        <v>2013</v>
      </c>
      <c r="P282">
        <f t="shared" si="14"/>
        <v>2013</v>
      </c>
    </row>
    <row r="283" spans="1:16" x14ac:dyDescent="0.25">
      <c r="A283" t="s">
        <v>636</v>
      </c>
      <c r="B283" s="2" t="s">
        <v>866</v>
      </c>
      <c r="C283" s="4" t="s">
        <v>23</v>
      </c>
      <c r="D283" s="5">
        <v>41365</v>
      </c>
      <c r="E283" s="2"/>
      <c r="F283" s="5">
        <v>41466</v>
      </c>
      <c r="G283" s="2"/>
      <c r="H283" s="2"/>
      <c r="I283" s="2" t="s">
        <v>223</v>
      </c>
      <c r="J283" s="2"/>
      <c r="K283" s="2"/>
      <c r="L283" s="96">
        <v>0.27671232876712326</v>
      </c>
      <c r="M283" t="b">
        <v>1</v>
      </c>
      <c r="N283">
        <f t="shared" si="12"/>
        <v>7</v>
      </c>
      <c r="O283">
        <f t="shared" si="13"/>
        <v>2013</v>
      </c>
      <c r="P283">
        <f t="shared" si="14"/>
        <v>2013</v>
      </c>
    </row>
    <row r="284" spans="1:16" x14ac:dyDescent="0.25">
      <c r="A284" t="s">
        <v>637</v>
      </c>
      <c r="B284" s="2" t="s">
        <v>867</v>
      </c>
      <c r="C284" s="4" t="s">
        <v>13</v>
      </c>
      <c r="D284" s="5">
        <v>41470</v>
      </c>
      <c r="E284" s="2"/>
      <c r="F284" s="5">
        <v>41518</v>
      </c>
      <c r="G284" s="2"/>
      <c r="H284" s="2"/>
      <c r="I284" s="2"/>
      <c r="J284" s="2"/>
      <c r="K284" s="2"/>
      <c r="L284" s="96">
        <v>0.13150684931506848</v>
      </c>
      <c r="M284" t="b">
        <v>1</v>
      </c>
      <c r="N284">
        <f t="shared" si="12"/>
        <v>9</v>
      </c>
      <c r="O284">
        <f t="shared" si="13"/>
        <v>2013</v>
      </c>
      <c r="P284">
        <f t="shared" si="14"/>
        <v>2013</v>
      </c>
    </row>
    <row r="285" spans="1:16" x14ac:dyDescent="0.25">
      <c r="A285" t="s">
        <v>638</v>
      </c>
      <c r="B285" s="2" t="s">
        <v>868</v>
      </c>
      <c r="C285" s="4" t="s">
        <v>13</v>
      </c>
      <c r="D285" s="5">
        <v>41470</v>
      </c>
      <c r="E285" s="2"/>
      <c r="F285" s="5">
        <v>41518</v>
      </c>
      <c r="G285" s="2"/>
      <c r="H285" s="2"/>
      <c r="I285" s="2"/>
      <c r="J285" s="2"/>
      <c r="K285" s="2"/>
      <c r="L285" s="96">
        <v>0.13150684931506848</v>
      </c>
      <c r="M285" t="b">
        <v>1</v>
      </c>
      <c r="N285">
        <f t="shared" si="12"/>
        <v>9</v>
      </c>
      <c r="O285">
        <f t="shared" si="13"/>
        <v>2013</v>
      </c>
      <c r="P285">
        <f t="shared" si="14"/>
        <v>2013</v>
      </c>
    </row>
    <row r="286" spans="1:16" x14ac:dyDescent="0.25">
      <c r="A286" t="s">
        <v>639</v>
      </c>
      <c r="B286" s="2" t="s">
        <v>869</v>
      </c>
      <c r="C286" s="4" t="s">
        <v>23</v>
      </c>
      <c r="D286" s="5">
        <v>41501</v>
      </c>
      <c r="E286" s="2"/>
      <c r="F286" s="5">
        <v>41518</v>
      </c>
      <c r="G286" s="2"/>
      <c r="H286" s="2"/>
      <c r="I286" s="2"/>
      <c r="J286" s="2"/>
      <c r="K286" s="2"/>
      <c r="L286" s="96">
        <v>4.6575342465753428E-2</v>
      </c>
      <c r="M286" t="b">
        <v>1</v>
      </c>
      <c r="N286">
        <f t="shared" si="12"/>
        <v>9</v>
      </c>
      <c r="O286">
        <f t="shared" si="13"/>
        <v>2013</v>
      </c>
      <c r="P286">
        <f t="shared" si="14"/>
        <v>2013</v>
      </c>
    </row>
    <row r="287" spans="1:16" x14ac:dyDescent="0.25">
      <c r="A287" t="s">
        <v>640</v>
      </c>
      <c r="B287" s="2" t="s">
        <v>870</v>
      </c>
      <c r="C287" s="4" t="s">
        <v>13</v>
      </c>
      <c r="D287" s="5">
        <v>41501</v>
      </c>
      <c r="E287" s="2"/>
      <c r="F287" s="5">
        <v>41518</v>
      </c>
      <c r="G287" s="2"/>
      <c r="H287" s="2"/>
      <c r="I287" s="2"/>
      <c r="J287" s="2"/>
      <c r="K287" s="2"/>
      <c r="L287" s="96">
        <v>4.6575342465753428E-2</v>
      </c>
      <c r="M287" t="b">
        <v>1</v>
      </c>
      <c r="N287">
        <f t="shared" si="12"/>
        <v>9</v>
      </c>
      <c r="O287">
        <f t="shared" si="13"/>
        <v>2013</v>
      </c>
      <c r="P287">
        <f t="shared" si="14"/>
        <v>2013</v>
      </c>
    </row>
    <row r="288" spans="1:16" x14ac:dyDescent="0.25">
      <c r="A288" t="s">
        <v>641</v>
      </c>
      <c r="B288" s="2" t="s">
        <v>871</v>
      </c>
      <c r="C288" s="4" t="s">
        <v>23</v>
      </c>
      <c r="D288" s="5">
        <v>41501</v>
      </c>
      <c r="E288" s="2"/>
      <c r="F288" s="5">
        <v>41518</v>
      </c>
      <c r="G288" s="2"/>
      <c r="H288" s="2"/>
      <c r="I288" s="2"/>
      <c r="J288" s="2"/>
      <c r="K288" s="2"/>
      <c r="L288" s="96">
        <v>4.6575342465753428E-2</v>
      </c>
      <c r="M288" t="b">
        <v>1</v>
      </c>
      <c r="N288">
        <f t="shared" si="12"/>
        <v>9</v>
      </c>
      <c r="O288">
        <f t="shared" si="13"/>
        <v>2013</v>
      </c>
      <c r="P288">
        <f t="shared" si="14"/>
        <v>2013</v>
      </c>
    </row>
    <row r="289" spans="1:16" x14ac:dyDescent="0.25">
      <c r="A289" t="s">
        <v>642</v>
      </c>
      <c r="B289" s="2" t="s">
        <v>872</v>
      </c>
      <c r="C289" s="4" t="s">
        <v>13</v>
      </c>
      <c r="D289" s="5">
        <v>41527</v>
      </c>
      <c r="E289" s="2"/>
      <c r="F289" s="5">
        <v>41518</v>
      </c>
      <c r="G289" s="2"/>
      <c r="H289" s="2"/>
      <c r="I289" s="2"/>
      <c r="J289" s="2"/>
      <c r="K289" s="2"/>
      <c r="L289" s="96">
        <v>-2.4657534246575342E-2</v>
      </c>
      <c r="M289" t="b">
        <v>1</v>
      </c>
      <c r="N289">
        <f t="shared" si="12"/>
        <v>9</v>
      </c>
      <c r="O289">
        <f t="shared" si="13"/>
        <v>2013</v>
      </c>
      <c r="P289">
        <f t="shared" si="14"/>
        <v>2013</v>
      </c>
    </row>
    <row r="290" spans="1:16" x14ac:dyDescent="0.25">
      <c r="A290" t="s">
        <v>643</v>
      </c>
      <c r="B290" s="2" t="s">
        <v>839</v>
      </c>
      <c r="C290" s="4" t="s">
        <v>47</v>
      </c>
      <c r="D290" s="5">
        <v>41527</v>
      </c>
      <c r="E290" s="2"/>
      <c r="F290" s="5">
        <v>41556</v>
      </c>
      <c r="G290" s="2"/>
      <c r="H290" s="2"/>
      <c r="I290" s="2"/>
      <c r="J290" s="2"/>
      <c r="K290" s="2"/>
      <c r="L290" s="96">
        <v>7.9452054794520555E-2</v>
      </c>
      <c r="M290" t="b">
        <v>1</v>
      </c>
      <c r="N290">
        <f t="shared" si="12"/>
        <v>10</v>
      </c>
      <c r="O290">
        <f t="shared" si="13"/>
        <v>2013</v>
      </c>
      <c r="P290">
        <f t="shared" si="14"/>
        <v>2013</v>
      </c>
    </row>
    <row r="291" spans="1:16" x14ac:dyDescent="0.25">
      <c r="A291" t="s">
        <v>644</v>
      </c>
      <c r="B291" s="2" t="s">
        <v>873</v>
      </c>
      <c r="C291" s="4" t="s">
        <v>23</v>
      </c>
      <c r="D291" s="5">
        <v>39722</v>
      </c>
      <c r="E291" s="2"/>
      <c r="F291" s="97">
        <v>41514</v>
      </c>
      <c r="G291" s="2"/>
      <c r="H291" s="2"/>
      <c r="I291" s="2"/>
      <c r="J291" s="2"/>
      <c r="K291" s="2" t="s">
        <v>879</v>
      </c>
      <c r="L291" s="96">
        <v>4.9095890410958907</v>
      </c>
      <c r="M291" t="b">
        <v>1</v>
      </c>
      <c r="N291">
        <f t="shared" si="12"/>
        <v>8</v>
      </c>
      <c r="O291">
        <f t="shared" si="13"/>
        <v>2013</v>
      </c>
      <c r="P291">
        <f t="shared" si="14"/>
        <v>2008</v>
      </c>
    </row>
    <row r="292" spans="1:16" x14ac:dyDescent="0.25">
      <c r="A292" t="s">
        <v>645</v>
      </c>
      <c r="B292" s="2" t="s">
        <v>874</v>
      </c>
      <c r="C292" s="4" t="s">
        <v>23</v>
      </c>
      <c r="D292" s="5">
        <v>39722</v>
      </c>
      <c r="E292" s="2"/>
      <c r="F292" s="97">
        <v>41514</v>
      </c>
      <c r="G292" s="2"/>
      <c r="H292" s="2"/>
      <c r="I292" s="2"/>
      <c r="J292" s="2"/>
      <c r="K292" s="2" t="s">
        <v>879</v>
      </c>
      <c r="L292" s="96">
        <v>4.9095890410958907</v>
      </c>
      <c r="M292" t="b">
        <v>1</v>
      </c>
      <c r="N292">
        <f t="shared" si="12"/>
        <v>8</v>
      </c>
      <c r="O292">
        <f t="shared" si="13"/>
        <v>2013</v>
      </c>
      <c r="P292">
        <f t="shared" si="14"/>
        <v>2008</v>
      </c>
    </row>
    <row r="293" spans="1:16" x14ac:dyDescent="0.25">
      <c r="A293" t="s">
        <v>646</v>
      </c>
      <c r="B293" s="2" t="s">
        <v>404</v>
      </c>
      <c r="C293" s="4" t="s">
        <v>13</v>
      </c>
      <c r="D293" s="5">
        <v>41305</v>
      </c>
      <c r="E293" s="2"/>
      <c r="F293" s="5">
        <v>41487</v>
      </c>
      <c r="G293" s="2"/>
      <c r="H293" s="2"/>
      <c r="I293" s="2"/>
      <c r="J293" s="2"/>
      <c r="K293" s="2"/>
      <c r="L293" s="96">
        <v>0.49863013698630138</v>
      </c>
      <c r="M293" t="b">
        <v>1</v>
      </c>
      <c r="N293">
        <f t="shared" si="12"/>
        <v>8</v>
      </c>
      <c r="O293">
        <f t="shared" si="13"/>
        <v>2013</v>
      </c>
      <c r="P293">
        <f t="shared" si="14"/>
        <v>2013</v>
      </c>
    </row>
    <row r="294" spans="1:16" x14ac:dyDescent="0.25">
      <c r="A294" t="s">
        <v>647</v>
      </c>
      <c r="B294" s="2" t="s">
        <v>404</v>
      </c>
      <c r="C294" s="4" t="s">
        <v>47</v>
      </c>
      <c r="D294" s="5">
        <v>41305</v>
      </c>
      <c r="E294" s="2"/>
      <c r="F294" s="5">
        <v>41487</v>
      </c>
      <c r="G294" s="5">
        <v>41509</v>
      </c>
      <c r="H294" s="2" t="s">
        <v>48</v>
      </c>
      <c r="I294" s="2"/>
      <c r="J294" s="2"/>
      <c r="K294" s="2"/>
      <c r="L294" s="96">
        <v>0.49863013698630138</v>
      </c>
      <c r="M294" t="b">
        <v>1</v>
      </c>
      <c r="N294">
        <f t="shared" si="12"/>
        <v>8</v>
      </c>
      <c r="O294">
        <f t="shared" si="13"/>
        <v>2013</v>
      </c>
      <c r="P294">
        <f t="shared" si="14"/>
        <v>2013</v>
      </c>
    </row>
    <row r="295" spans="1:16" x14ac:dyDescent="0.25">
      <c r="A295" t="s">
        <v>648</v>
      </c>
      <c r="B295" s="2" t="s">
        <v>404</v>
      </c>
      <c r="C295" s="4" t="s">
        <v>47</v>
      </c>
      <c r="D295" s="5">
        <v>41357</v>
      </c>
      <c r="E295" s="2"/>
      <c r="F295" s="5">
        <v>41487</v>
      </c>
      <c r="G295" s="5">
        <v>41492</v>
      </c>
      <c r="H295" s="2" t="s">
        <v>48</v>
      </c>
      <c r="I295" s="2"/>
      <c r="J295" s="2"/>
      <c r="K295" s="2"/>
      <c r="L295" s="96">
        <v>0.35616438356164382</v>
      </c>
      <c r="M295" t="b">
        <v>1</v>
      </c>
      <c r="N295">
        <f t="shared" si="12"/>
        <v>8</v>
      </c>
      <c r="O295">
        <f t="shared" si="13"/>
        <v>2013</v>
      </c>
      <c r="P295">
        <f t="shared" si="14"/>
        <v>2013</v>
      </c>
    </row>
    <row r="296" spans="1:16" x14ac:dyDescent="0.25">
      <c r="A296" t="s">
        <v>649</v>
      </c>
      <c r="B296" s="2" t="s">
        <v>404</v>
      </c>
      <c r="C296" s="4" t="s">
        <v>47</v>
      </c>
      <c r="D296" s="5">
        <v>41357</v>
      </c>
      <c r="E296" s="2"/>
      <c r="F296" s="5">
        <v>41487</v>
      </c>
      <c r="G296" s="5">
        <v>41492</v>
      </c>
      <c r="H296" s="2" t="s">
        <v>48</v>
      </c>
      <c r="I296" s="2"/>
      <c r="J296" s="2"/>
      <c r="K296" s="2"/>
      <c r="L296" s="96">
        <v>0.35616438356164382</v>
      </c>
      <c r="M296" t="b">
        <v>1</v>
      </c>
      <c r="N296">
        <f t="shared" si="12"/>
        <v>8</v>
      </c>
      <c r="O296">
        <f t="shared" si="13"/>
        <v>2013</v>
      </c>
      <c r="P296">
        <f t="shared" si="14"/>
        <v>2013</v>
      </c>
    </row>
    <row r="297" spans="1:16" x14ac:dyDescent="0.25">
      <c r="A297" t="s">
        <v>650</v>
      </c>
      <c r="B297" s="2" t="s">
        <v>404</v>
      </c>
      <c r="C297" s="4" t="s">
        <v>47</v>
      </c>
      <c r="D297" s="5">
        <v>41357</v>
      </c>
      <c r="E297" s="2"/>
      <c r="F297" s="5">
        <v>41487</v>
      </c>
      <c r="G297" s="5">
        <v>41500</v>
      </c>
      <c r="H297" s="2" t="s">
        <v>48</v>
      </c>
      <c r="I297" s="2"/>
      <c r="J297" s="2"/>
      <c r="K297" s="2"/>
      <c r="L297" s="96">
        <v>0.35616438356164382</v>
      </c>
      <c r="M297" t="b">
        <v>1</v>
      </c>
      <c r="N297">
        <f t="shared" si="12"/>
        <v>8</v>
      </c>
      <c r="O297">
        <f t="shared" si="13"/>
        <v>2013</v>
      </c>
      <c r="P297">
        <f t="shared" si="14"/>
        <v>2013</v>
      </c>
    </row>
    <row r="298" spans="1:16" x14ac:dyDescent="0.25">
      <c r="A298" t="s">
        <v>651</v>
      </c>
      <c r="B298" s="2" t="s">
        <v>404</v>
      </c>
      <c r="C298" s="4" t="s">
        <v>47</v>
      </c>
      <c r="D298" s="5">
        <v>41357</v>
      </c>
      <c r="E298" s="2"/>
      <c r="F298" s="5">
        <v>41487</v>
      </c>
      <c r="G298" s="5">
        <v>41509</v>
      </c>
      <c r="H298" s="2" t="s">
        <v>48</v>
      </c>
      <c r="I298" s="2"/>
      <c r="J298" s="2"/>
      <c r="K298" s="2"/>
      <c r="L298" s="96">
        <v>0.35616438356164382</v>
      </c>
      <c r="M298" t="b">
        <v>1</v>
      </c>
      <c r="N298">
        <f t="shared" si="12"/>
        <v>8</v>
      </c>
      <c r="O298">
        <f t="shared" si="13"/>
        <v>2013</v>
      </c>
      <c r="P298">
        <f t="shared" si="14"/>
        <v>2013</v>
      </c>
    </row>
    <row r="299" spans="1:16" x14ac:dyDescent="0.25">
      <c r="A299" t="s">
        <v>652</v>
      </c>
      <c r="B299" s="2" t="s">
        <v>404</v>
      </c>
      <c r="C299" s="4" t="s">
        <v>47</v>
      </c>
      <c r="D299" s="5">
        <v>41357</v>
      </c>
      <c r="E299" s="2"/>
      <c r="F299" s="5">
        <v>41487</v>
      </c>
      <c r="G299" s="5">
        <v>41492</v>
      </c>
      <c r="H299" s="2" t="s">
        <v>48</v>
      </c>
      <c r="I299" s="2"/>
      <c r="J299" s="2"/>
      <c r="K299" s="2"/>
      <c r="L299" s="96">
        <v>0.35616438356164382</v>
      </c>
      <c r="M299" t="b">
        <v>1</v>
      </c>
      <c r="N299">
        <f t="shared" si="12"/>
        <v>8</v>
      </c>
      <c r="O299">
        <f t="shared" si="13"/>
        <v>2013</v>
      </c>
      <c r="P299">
        <f t="shared" si="14"/>
        <v>2013</v>
      </c>
    </row>
    <row r="300" spans="1:16" x14ac:dyDescent="0.25">
      <c r="A300" t="s">
        <v>653</v>
      </c>
      <c r="B300" s="2" t="s">
        <v>379</v>
      </c>
      <c r="C300" s="4" t="s">
        <v>23</v>
      </c>
      <c r="D300" s="5">
        <v>41395</v>
      </c>
      <c r="E300" s="2"/>
      <c r="F300" s="5">
        <v>41516</v>
      </c>
      <c r="G300" s="2"/>
      <c r="H300" s="2"/>
      <c r="I300" s="2"/>
      <c r="J300" s="2"/>
      <c r="K300" s="2"/>
      <c r="L300" s="96">
        <v>0.33150684931506852</v>
      </c>
      <c r="M300" t="b">
        <v>1</v>
      </c>
      <c r="N300">
        <f t="shared" si="12"/>
        <v>8</v>
      </c>
      <c r="O300">
        <f t="shared" si="13"/>
        <v>2013</v>
      </c>
      <c r="P300">
        <f t="shared" si="14"/>
        <v>2013</v>
      </c>
    </row>
    <row r="301" spans="1:16" x14ac:dyDescent="0.25">
      <c r="A301" t="s">
        <v>654</v>
      </c>
      <c r="B301" s="2" t="s">
        <v>379</v>
      </c>
      <c r="C301" s="4" t="s">
        <v>13</v>
      </c>
      <c r="D301" s="5">
        <v>40909</v>
      </c>
      <c r="E301" s="2"/>
      <c r="F301" s="5">
        <v>41606</v>
      </c>
      <c r="G301" s="2"/>
      <c r="H301" s="2"/>
      <c r="I301" s="2"/>
      <c r="J301" s="2"/>
      <c r="K301" s="2"/>
      <c r="L301" s="96">
        <v>1.9095890410958904</v>
      </c>
      <c r="M301" t="b">
        <v>1</v>
      </c>
      <c r="N301">
        <f t="shared" si="12"/>
        <v>11</v>
      </c>
      <c r="O301">
        <f t="shared" si="13"/>
        <v>2013</v>
      </c>
      <c r="P301">
        <f t="shared" si="14"/>
        <v>2012</v>
      </c>
    </row>
    <row r="302" spans="1:16" x14ac:dyDescent="0.25">
      <c r="A302" t="s">
        <v>655</v>
      </c>
      <c r="B302" s="2" t="s">
        <v>379</v>
      </c>
      <c r="C302" s="4" t="s">
        <v>13</v>
      </c>
      <c r="D302" s="5">
        <v>41228</v>
      </c>
      <c r="E302" s="2"/>
      <c r="F302" s="5">
        <v>41516</v>
      </c>
      <c r="G302" s="2"/>
      <c r="H302" s="2"/>
      <c r="I302" s="2"/>
      <c r="J302" s="2"/>
      <c r="K302" s="2"/>
      <c r="L302" s="96">
        <v>0.78904109589041094</v>
      </c>
      <c r="M302" t="b">
        <v>1</v>
      </c>
      <c r="N302">
        <f t="shared" si="12"/>
        <v>8</v>
      </c>
      <c r="O302">
        <f t="shared" si="13"/>
        <v>2013</v>
      </c>
      <c r="P302">
        <f t="shared" si="14"/>
        <v>2012</v>
      </c>
    </row>
    <row r="303" spans="1:16" x14ac:dyDescent="0.25">
      <c r="A303" t="s">
        <v>656</v>
      </c>
      <c r="B303" s="2" t="s">
        <v>379</v>
      </c>
      <c r="C303" s="4" t="s">
        <v>13</v>
      </c>
      <c r="D303" s="5">
        <v>41228</v>
      </c>
      <c r="E303" s="2"/>
      <c r="F303" s="5">
        <v>41516</v>
      </c>
      <c r="G303" s="2"/>
      <c r="H303" s="2"/>
      <c r="I303" s="2"/>
      <c r="J303" s="2"/>
      <c r="K303" s="2"/>
      <c r="L303" s="96">
        <v>0.78904109589041094</v>
      </c>
      <c r="M303" t="b">
        <v>1</v>
      </c>
      <c r="N303">
        <f t="shared" si="12"/>
        <v>8</v>
      </c>
      <c r="O303">
        <f t="shared" si="13"/>
        <v>2013</v>
      </c>
      <c r="P303">
        <f t="shared" si="14"/>
        <v>2012</v>
      </c>
    </row>
    <row r="304" spans="1:16" x14ac:dyDescent="0.25">
      <c r="A304" t="s">
        <v>657</v>
      </c>
      <c r="B304" s="2" t="s">
        <v>379</v>
      </c>
      <c r="C304" s="4" t="s">
        <v>13</v>
      </c>
      <c r="D304" s="5">
        <v>41228</v>
      </c>
      <c r="E304" s="2"/>
      <c r="F304" s="5">
        <v>41516</v>
      </c>
      <c r="G304" s="2"/>
      <c r="H304" s="2"/>
      <c r="I304" s="2"/>
      <c r="J304" s="2"/>
      <c r="K304" s="2"/>
      <c r="L304" s="96">
        <v>0.78904109589041094</v>
      </c>
      <c r="M304" t="b">
        <v>1</v>
      </c>
      <c r="N304">
        <f t="shared" si="12"/>
        <v>8</v>
      </c>
      <c r="O304">
        <f t="shared" si="13"/>
        <v>2013</v>
      </c>
      <c r="P304">
        <f t="shared" si="14"/>
        <v>2012</v>
      </c>
    </row>
    <row r="305" spans="1:16" x14ac:dyDescent="0.25">
      <c r="A305" t="s">
        <v>658</v>
      </c>
      <c r="B305" s="2" t="s">
        <v>379</v>
      </c>
      <c r="C305" s="4" t="s">
        <v>13</v>
      </c>
      <c r="D305" s="5">
        <v>41228</v>
      </c>
      <c r="E305" s="2"/>
      <c r="F305" s="5">
        <v>41516</v>
      </c>
      <c r="G305" s="2"/>
      <c r="H305" s="2"/>
      <c r="I305" s="2"/>
      <c r="J305" s="2"/>
      <c r="K305" s="2"/>
      <c r="L305" s="96">
        <v>0.78904109589041094</v>
      </c>
      <c r="M305" t="b">
        <v>1</v>
      </c>
      <c r="N305">
        <f t="shared" si="12"/>
        <v>8</v>
      </c>
      <c r="O305">
        <f t="shared" si="13"/>
        <v>2013</v>
      </c>
      <c r="P305">
        <f t="shared" si="14"/>
        <v>2012</v>
      </c>
    </row>
    <row r="306" spans="1:16" x14ac:dyDescent="0.25">
      <c r="A306" t="s">
        <v>659</v>
      </c>
      <c r="B306" s="2" t="s">
        <v>379</v>
      </c>
      <c r="C306" s="4" t="s">
        <v>23</v>
      </c>
      <c r="D306" s="5">
        <v>40544</v>
      </c>
      <c r="E306" s="2"/>
      <c r="F306" s="5">
        <v>41516</v>
      </c>
      <c r="G306" s="2"/>
      <c r="H306" s="2"/>
      <c r="I306" s="2"/>
      <c r="J306" s="2"/>
      <c r="K306" s="2"/>
      <c r="L306" s="96">
        <v>2.6630136986301371</v>
      </c>
      <c r="M306" t="b">
        <v>1</v>
      </c>
      <c r="N306">
        <f t="shared" si="12"/>
        <v>8</v>
      </c>
      <c r="O306">
        <f t="shared" si="13"/>
        <v>2013</v>
      </c>
      <c r="P306">
        <f t="shared" si="14"/>
        <v>2011</v>
      </c>
    </row>
    <row r="307" spans="1:16" x14ac:dyDescent="0.25">
      <c r="A307" t="s">
        <v>660</v>
      </c>
      <c r="B307" s="2" t="s">
        <v>379</v>
      </c>
      <c r="C307" s="4" t="s">
        <v>23</v>
      </c>
      <c r="D307" s="5">
        <v>40544</v>
      </c>
      <c r="E307" s="2"/>
      <c r="F307" s="5">
        <v>41516</v>
      </c>
      <c r="G307" s="2"/>
      <c r="H307" s="2"/>
      <c r="I307" s="2"/>
      <c r="J307" s="2"/>
      <c r="K307" s="2"/>
      <c r="L307" s="96">
        <v>2.6630136986301371</v>
      </c>
      <c r="M307" t="b">
        <v>1</v>
      </c>
      <c r="N307">
        <f t="shared" si="12"/>
        <v>8</v>
      </c>
      <c r="O307">
        <f t="shared" si="13"/>
        <v>2013</v>
      </c>
      <c r="P307">
        <f t="shared" si="14"/>
        <v>2011</v>
      </c>
    </row>
    <row r="308" spans="1:16" x14ac:dyDescent="0.25">
      <c r="A308" t="s">
        <v>661</v>
      </c>
      <c r="B308" s="2" t="s">
        <v>379</v>
      </c>
      <c r="C308" s="4" t="s">
        <v>23</v>
      </c>
      <c r="D308" s="5">
        <v>40544</v>
      </c>
      <c r="E308" s="2"/>
      <c r="F308" s="5">
        <v>41516</v>
      </c>
      <c r="G308" s="2"/>
      <c r="H308" s="2"/>
      <c r="I308" s="2"/>
      <c r="J308" s="2"/>
      <c r="K308" s="2"/>
      <c r="L308" s="96">
        <v>2.6630136986301371</v>
      </c>
      <c r="M308" t="b">
        <v>1</v>
      </c>
      <c r="N308">
        <f t="shared" si="12"/>
        <v>8</v>
      </c>
      <c r="O308">
        <f t="shared" si="13"/>
        <v>2013</v>
      </c>
      <c r="P308">
        <f t="shared" si="14"/>
        <v>2011</v>
      </c>
    </row>
    <row r="309" spans="1:16" x14ac:dyDescent="0.25">
      <c r="A309" t="s">
        <v>662</v>
      </c>
      <c r="B309" s="2" t="s">
        <v>379</v>
      </c>
      <c r="C309" s="4" t="s">
        <v>23</v>
      </c>
      <c r="D309" s="5">
        <v>41228</v>
      </c>
      <c r="E309" s="2"/>
      <c r="F309" s="5">
        <v>41585</v>
      </c>
      <c r="G309" s="2"/>
      <c r="H309" s="2"/>
      <c r="I309" s="2"/>
      <c r="J309" s="2"/>
      <c r="K309" s="2"/>
      <c r="L309" s="96">
        <v>0.9780821917808219</v>
      </c>
      <c r="M309" t="b">
        <v>1</v>
      </c>
      <c r="N309">
        <f t="shared" si="12"/>
        <v>11</v>
      </c>
      <c r="O309">
        <f t="shared" si="13"/>
        <v>2013</v>
      </c>
      <c r="P309">
        <f t="shared" si="14"/>
        <v>2012</v>
      </c>
    </row>
    <row r="310" spans="1:16" x14ac:dyDescent="0.25">
      <c r="A310" t="s">
        <v>663</v>
      </c>
      <c r="B310" s="2" t="s">
        <v>379</v>
      </c>
      <c r="C310" s="4" t="s">
        <v>13</v>
      </c>
      <c r="D310" s="5">
        <v>36892</v>
      </c>
      <c r="E310" s="2"/>
      <c r="F310" s="5">
        <v>41585</v>
      </c>
      <c r="G310" s="2"/>
      <c r="H310" s="2"/>
      <c r="I310" s="2"/>
      <c r="J310" s="2"/>
      <c r="K310" s="2"/>
      <c r="L310" s="96">
        <v>12.857534246575343</v>
      </c>
      <c r="M310" t="b">
        <v>1</v>
      </c>
      <c r="N310">
        <f t="shared" si="12"/>
        <v>11</v>
      </c>
      <c r="O310">
        <f t="shared" si="13"/>
        <v>2013</v>
      </c>
      <c r="P310">
        <f t="shared" si="14"/>
        <v>2001</v>
      </c>
    </row>
    <row r="311" spans="1:16" x14ac:dyDescent="0.25">
      <c r="A311" t="s">
        <v>664</v>
      </c>
      <c r="B311" s="2" t="s">
        <v>429</v>
      </c>
      <c r="C311" s="4" t="s">
        <v>47</v>
      </c>
      <c r="D311" s="5">
        <v>41913</v>
      </c>
      <c r="E311" s="2"/>
      <c r="F311" s="5">
        <v>41939</v>
      </c>
      <c r="G311" s="2"/>
      <c r="H311" s="2"/>
      <c r="I311" s="2"/>
      <c r="J311" s="2"/>
      <c r="K311" s="2"/>
      <c r="L311" s="96">
        <v>7.1232876712328766E-2</v>
      </c>
      <c r="M311" t="b">
        <v>1</v>
      </c>
      <c r="N311">
        <f t="shared" si="12"/>
        <v>10</v>
      </c>
      <c r="O311">
        <f t="shared" si="13"/>
        <v>2014</v>
      </c>
      <c r="P311">
        <f t="shared" si="14"/>
        <v>2014</v>
      </c>
    </row>
    <row r="312" spans="1:16" x14ac:dyDescent="0.25">
      <c r="A312" t="s">
        <v>665</v>
      </c>
      <c r="B312" s="2" t="s">
        <v>875</v>
      </c>
      <c r="C312" s="4" t="s">
        <v>23</v>
      </c>
      <c r="D312" s="5">
        <v>40497</v>
      </c>
      <c r="E312" s="2"/>
      <c r="F312" s="97">
        <v>41392</v>
      </c>
      <c r="G312" s="2"/>
      <c r="H312" s="2"/>
      <c r="I312" s="2"/>
      <c r="J312" s="2"/>
      <c r="K312" s="2" t="s">
        <v>879</v>
      </c>
      <c r="L312" s="96">
        <v>2.452054794520548</v>
      </c>
      <c r="M312" t="b">
        <v>1</v>
      </c>
      <c r="N312">
        <f t="shared" si="12"/>
        <v>4</v>
      </c>
      <c r="O312">
        <f t="shared" si="13"/>
        <v>2013</v>
      </c>
      <c r="P312">
        <f t="shared" si="14"/>
        <v>2010</v>
      </c>
    </row>
    <row r="313" spans="1:16" x14ac:dyDescent="0.25">
      <c r="A313" t="s">
        <v>666</v>
      </c>
      <c r="B313" s="2" t="s">
        <v>820</v>
      </c>
      <c r="C313" s="4" t="s">
        <v>13</v>
      </c>
      <c r="D313" s="5">
        <v>39814</v>
      </c>
      <c r="E313" s="2"/>
      <c r="F313" s="97">
        <v>41392</v>
      </c>
      <c r="G313" s="2"/>
      <c r="H313" s="2"/>
      <c r="I313" s="2"/>
      <c r="J313" s="2"/>
      <c r="K313" s="2" t="s">
        <v>879</v>
      </c>
      <c r="L313" s="96">
        <v>4.3232876712328769</v>
      </c>
      <c r="M313" t="b">
        <v>1</v>
      </c>
      <c r="N313">
        <f t="shared" si="12"/>
        <v>4</v>
      </c>
      <c r="O313">
        <f t="shared" si="13"/>
        <v>2013</v>
      </c>
      <c r="P313">
        <f t="shared" si="14"/>
        <v>2009</v>
      </c>
    </row>
    <row r="314" spans="1:16" x14ac:dyDescent="0.25">
      <c r="A314" t="s">
        <v>511</v>
      </c>
      <c r="B314" s="2" t="s">
        <v>820</v>
      </c>
      <c r="C314" s="4" t="s">
        <v>13</v>
      </c>
      <c r="D314" s="5">
        <v>39814</v>
      </c>
      <c r="E314" s="2"/>
      <c r="F314" s="97">
        <v>41392</v>
      </c>
      <c r="G314" s="2"/>
      <c r="H314" s="2"/>
      <c r="I314" s="2"/>
      <c r="J314" s="2"/>
      <c r="K314" s="2" t="s">
        <v>879</v>
      </c>
      <c r="L314" s="96">
        <v>4.3232876712328769</v>
      </c>
      <c r="M314" t="b">
        <v>1</v>
      </c>
      <c r="N314">
        <f t="shared" si="12"/>
        <v>4</v>
      </c>
      <c r="O314">
        <f t="shared" si="13"/>
        <v>2013</v>
      </c>
      <c r="P314">
        <f t="shared" si="14"/>
        <v>2009</v>
      </c>
    </row>
    <row r="315" spans="1:16" x14ac:dyDescent="0.25">
      <c r="A315" t="s">
        <v>667</v>
      </c>
      <c r="B315" s="2" t="s">
        <v>820</v>
      </c>
      <c r="C315" s="4" t="s">
        <v>13</v>
      </c>
      <c r="D315" s="5">
        <v>39814</v>
      </c>
      <c r="E315" s="2"/>
      <c r="F315" s="97">
        <v>41392</v>
      </c>
      <c r="G315" s="2"/>
      <c r="H315" s="2"/>
      <c r="I315" s="2"/>
      <c r="J315" s="2"/>
      <c r="K315" s="2" t="s">
        <v>879</v>
      </c>
      <c r="L315" s="96">
        <v>4.3232876712328769</v>
      </c>
      <c r="M315" t="b">
        <v>1</v>
      </c>
      <c r="N315">
        <f t="shared" si="12"/>
        <v>4</v>
      </c>
      <c r="O315">
        <f t="shared" si="13"/>
        <v>2013</v>
      </c>
      <c r="P315">
        <f t="shared" si="14"/>
        <v>2009</v>
      </c>
    </row>
    <row r="316" spans="1:16" x14ac:dyDescent="0.25">
      <c r="A316" s="6" t="s">
        <v>668</v>
      </c>
      <c r="B316" s="2" t="s">
        <v>830</v>
      </c>
      <c r="C316" s="4" t="s">
        <v>13</v>
      </c>
      <c r="D316" s="5">
        <v>41477</v>
      </c>
      <c r="E316" s="2"/>
      <c r="F316" s="97">
        <v>41787</v>
      </c>
      <c r="G316" s="2"/>
      <c r="H316" s="2"/>
      <c r="I316" s="2"/>
      <c r="J316" s="2"/>
      <c r="K316" s="2" t="s">
        <v>879</v>
      </c>
      <c r="L316" s="96">
        <v>0.84931506849315064</v>
      </c>
      <c r="M316" t="b">
        <v>1</v>
      </c>
      <c r="N316">
        <f t="shared" si="12"/>
        <v>5</v>
      </c>
      <c r="O316">
        <f t="shared" si="13"/>
        <v>2014</v>
      </c>
      <c r="P316">
        <f t="shared" si="14"/>
        <v>2013</v>
      </c>
    </row>
    <row r="317" spans="1:16" s="24" customFormat="1" x14ac:dyDescent="0.25">
      <c r="A317" s="20" t="s">
        <v>669</v>
      </c>
      <c r="B317" s="2" t="s">
        <v>820</v>
      </c>
      <c r="C317" s="21" t="s">
        <v>13</v>
      </c>
      <c r="D317" s="23">
        <v>41650</v>
      </c>
      <c r="E317" s="21"/>
      <c r="F317" s="23">
        <v>41794</v>
      </c>
      <c r="G317" s="21"/>
      <c r="H317" s="21"/>
      <c r="I317" s="21" t="s">
        <v>670</v>
      </c>
      <c r="J317" s="21" t="s">
        <v>671</v>
      </c>
      <c r="K317" s="21" t="s">
        <v>813</v>
      </c>
      <c r="L317" s="96">
        <v>0.39452054794520547</v>
      </c>
      <c r="M317" t="b">
        <v>1</v>
      </c>
      <c r="N317">
        <f t="shared" si="12"/>
        <v>6</v>
      </c>
      <c r="O317">
        <f t="shared" si="13"/>
        <v>2014</v>
      </c>
      <c r="P317">
        <f t="shared" si="14"/>
        <v>2014</v>
      </c>
    </row>
    <row r="318" spans="1:16" s="24" customFormat="1" x14ac:dyDescent="0.25">
      <c r="A318" s="20" t="s">
        <v>672</v>
      </c>
      <c r="B318" s="2" t="s">
        <v>820</v>
      </c>
      <c r="C318" s="21" t="s">
        <v>13</v>
      </c>
      <c r="D318" s="23">
        <v>41650</v>
      </c>
      <c r="E318" s="21"/>
      <c r="F318" s="23">
        <v>41794</v>
      </c>
      <c r="G318" s="21"/>
      <c r="H318" s="21"/>
      <c r="I318" s="21" t="s">
        <v>670</v>
      </c>
      <c r="J318" s="21" t="s">
        <v>671</v>
      </c>
      <c r="K318" s="21" t="s">
        <v>813</v>
      </c>
      <c r="L318" s="96">
        <v>0.39452054794520547</v>
      </c>
      <c r="M318" t="b">
        <v>1</v>
      </c>
      <c r="N318">
        <f t="shared" si="12"/>
        <v>6</v>
      </c>
      <c r="O318">
        <f t="shared" si="13"/>
        <v>2014</v>
      </c>
      <c r="P318">
        <f t="shared" si="14"/>
        <v>2014</v>
      </c>
    </row>
    <row r="319" spans="1:16" s="24" customFormat="1" x14ac:dyDescent="0.25">
      <c r="A319" s="20" t="s">
        <v>673</v>
      </c>
      <c r="B319" s="2" t="s">
        <v>820</v>
      </c>
      <c r="C319" s="21" t="s">
        <v>13</v>
      </c>
      <c r="D319" s="23">
        <v>41650</v>
      </c>
      <c r="E319" s="21"/>
      <c r="F319" s="23">
        <v>41794</v>
      </c>
      <c r="G319" s="21"/>
      <c r="H319" s="21"/>
      <c r="I319" s="21" t="s">
        <v>670</v>
      </c>
      <c r="J319" s="21" t="s">
        <v>671</v>
      </c>
      <c r="K319" s="21" t="s">
        <v>813</v>
      </c>
      <c r="L319" s="96">
        <v>0.39452054794520547</v>
      </c>
      <c r="M319" t="b">
        <v>1</v>
      </c>
      <c r="N319">
        <f t="shared" si="12"/>
        <v>6</v>
      </c>
      <c r="O319">
        <f t="shared" si="13"/>
        <v>2014</v>
      </c>
      <c r="P319">
        <f t="shared" si="14"/>
        <v>2014</v>
      </c>
    </row>
    <row r="320" spans="1:16" s="24" customFormat="1" x14ac:dyDescent="0.25">
      <c r="A320" s="20" t="s">
        <v>674</v>
      </c>
      <c r="B320" s="2" t="s">
        <v>820</v>
      </c>
      <c r="C320" s="21" t="s">
        <v>13</v>
      </c>
      <c r="D320" s="23">
        <v>41650</v>
      </c>
      <c r="E320" s="21"/>
      <c r="F320" s="23">
        <v>41794</v>
      </c>
      <c r="G320" s="21"/>
      <c r="H320" s="21"/>
      <c r="I320" s="21" t="s">
        <v>670</v>
      </c>
      <c r="J320" s="21" t="s">
        <v>671</v>
      </c>
      <c r="K320" s="21" t="s">
        <v>813</v>
      </c>
      <c r="L320" s="96">
        <v>0.39452054794520547</v>
      </c>
      <c r="M320" t="b">
        <v>1</v>
      </c>
      <c r="N320">
        <f t="shared" si="12"/>
        <v>6</v>
      </c>
      <c r="O320">
        <f t="shared" si="13"/>
        <v>2014</v>
      </c>
      <c r="P320">
        <f t="shared" si="14"/>
        <v>2014</v>
      </c>
    </row>
    <row r="321" spans="1:16" x14ac:dyDescent="0.25">
      <c r="A321" s="6" t="s">
        <v>675</v>
      </c>
      <c r="B321" s="2" t="s">
        <v>831</v>
      </c>
      <c r="C321" s="2" t="s">
        <v>23</v>
      </c>
      <c r="D321" s="5">
        <v>41760</v>
      </c>
      <c r="E321" s="2"/>
      <c r="F321" s="5">
        <v>41835</v>
      </c>
      <c r="G321" s="2"/>
      <c r="H321" s="2"/>
      <c r="I321" s="2"/>
      <c r="J321" s="2"/>
      <c r="K321" s="2"/>
      <c r="L321" s="96">
        <v>0.20547945205479451</v>
      </c>
      <c r="M321" t="b">
        <v>1</v>
      </c>
      <c r="N321">
        <f t="shared" si="12"/>
        <v>7</v>
      </c>
      <c r="O321">
        <f t="shared" si="13"/>
        <v>2014</v>
      </c>
      <c r="P321">
        <f t="shared" si="14"/>
        <v>2014</v>
      </c>
    </row>
    <row r="322" spans="1:16" x14ac:dyDescent="0.25">
      <c r="A322" s="6" t="s">
        <v>676</v>
      </c>
      <c r="B322" s="2" t="s">
        <v>832</v>
      </c>
      <c r="C322" s="2" t="s">
        <v>13</v>
      </c>
      <c r="D322" s="5">
        <v>41760</v>
      </c>
      <c r="E322" s="2"/>
      <c r="F322" s="5">
        <v>41835</v>
      </c>
      <c r="G322" s="2"/>
      <c r="H322" s="2"/>
      <c r="I322" s="2"/>
      <c r="J322" s="2"/>
      <c r="K322" s="2"/>
      <c r="L322" s="96">
        <v>0.20547945205479451</v>
      </c>
      <c r="M322" t="b">
        <v>1</v>
      </c>
      <c r="N322">
        <f t="shared" si="12"/>
        <v>7</v>
      </c>
      <c r="O322">
        <f t="shared" si="13"/>
        <v>2014</v>
      </c>
      <c r="P322">
        <f t="shared" si="14"/>
        <v>2014</v>
      </c>
    </row>
    <row r="323" spans="1:16" x14ac:dyDescent="0.25">
      <c r="A323" s="6" t="s">
        <v>677</v>
      </c>
      <c r="B323" s="2" t="s">
        <v>833</v>
      </c>
      <c r="C323" s="2" t="s">
        <v>23</v>
      </c>
      <c r="D323" s="5">
        <v>41760</v>
      </c>
      <c r="E323" s="2"/>
      <c r="F323" s="5">
        <v>41835</v>
      </c>
      <c r="G323" s="2"/>
      <c r="H323" s="2"/>
      <c r="I323" s="2"/>
      <c r="J323" s="2"/>
      <c r="K323" s="2"/>
      <c r="L323" s="96">
        <v>0.20547945205479451</v>
      </c>
      <c r="M323" t="b">
        <v>1</v>
      </c>
      <c r="N323">
        <f t="shared" ref="N323:N386" si="15">MONTH(F323)</f>
        <v>7</v>
      </c>
      <c r="O323">
        <f t="shared" ref="O323:O386" si="16">YEAR(F323)</f>
        <v>2014</v>
      </c>
      <c r="P323">
        <f t="shared" ref="P323:P386" si="17">YEAR(D323)</f>
        <v>2014</v>
      </c>
    </row>
    <row r="324" spans="1:16" x14ac:dyDescent="0.25">
      <c r="A324" s="6" t="s">
        <v>678</v>
      </c>
      <c r="B324" s="2" t="s">
        <v>834</v>
      </c>
      <c r="C324" s="2" t="s">
        <v>23</v>
      </c>
      <c r="D324" s="5">
        <v>41760</v>
      </c>
      <c r="E324" s="2"/>
      <c r="F324" s="5">
        <v>41835</v>
      </c>
      <c r="G324" s="2"/>
      <c r="H324" s="2"/>
      <c r="I324" s="2"/>
      <c r="J324" s="2"/>
      <c r="K324" s="2"/>
      <c r="L324" s="96">
        <v>0.20547945205479451</v>
      </c>
      <c r="M324" t="b">
        <v>1</v>
      </c>
      <c r="N324">
        <f t="shared" si="15"/>
        <v>7</v>
      </c>
      <c r="O324">
        <f t="shared" si="16"/>
        <v>2014</v>
      </c>
      <c r="P324">
        <f t="shared" si="17"/>
        <v>2014</v>
      </c>
    </row>
    <row r="325" spans="1:16" x14ac:dyDescent="0.25">
      <c r="A325" s="6" t="s">
        <v>679</v>
      </c>
      <c r="B325" s="2" t="s">
        <v>835</v>
      </c>
      <c r="C325" s="2" t="s">
        <v>23</v>
      </c>
      <c r="D325" s="5">
        <v>41774</v>
      </c>
      <c r="E325" s="2"/>
      <c r="F325" s="5">
        <v>41835</v>
      </c>
      <c r="G325" s="2"/>
      <c r="H325" s="2"/>
      <c r="I325" s="2"/>
      <c r="J325" s="2"/>
      <c r="K325" s="2"/>
      <c r="L325" s="96">
        <v>0.16712328767123288</v>
      </c>
      <c r="M325" t="b">
        <v>1</v>
      </c>
      <c r="N325">
        <f t="shared" si="15"/>
        <v>7</v>
      </c>
      <c r="O325">
        <f t="shared" si="16"/>
        <v>2014</v>
      </c>
      <c r="P325">
        <f t="shared" si="17"/>
        <v>2014</v>
      </c>
    </row>
    <row r="326" spans="1:16" x14ac:dyDescent="0.25">
      <c r="A326" s="6" t="s">
        <v>680</v>
      </c>
      <c r="B326" s="2" t="s">
        <v>836</v>
      </c>
      <c r="C326" s="2" t="s">
        <v>23</v>
      </c>
      <c r="D326" s="5">
        <v>41774</v>
      </c>
      <c r="E326" s="2"/>
      <c r="F326" s="5">
        <v>41835</v>
      </c>
      <c r="G326" s="2"/>
      <c r="H326" s="2"/>
      <c r="I326" s="2"/>
      <c r="J326" s="2"/>
      <c r="K326" s="2"/>
      <c r="L326" s="96">
        <v>0.16712328767123288</v>
      </c>
      <c r="M326" t="b">
        <v>1</v>
      </c>
      <c r="N326">
        <f t="shared" si="15"/>
        <v>7</v>
      </c>
      <c r="O326">
        <f t="shared" si="16"/>
        <v>2014</v>
      </c>
      <c r="P326">
        <f t="shared" si="17"/>
        <v>2014</v>
      </c>
    </row>
    <row r="327" spans="1:16" x14ac:dyDescent="0.25">
      <c r="A327" s="6" t="s">
        <v>681</v>
      </c>
      <c r="B327" s="2" t="s">
        <v>837</v>
      </c>
      <c r="C327" s="2" t="s">
        <v>23</v>
      </c>
      <c r="D327" s="5">
        <v>41730</v>
      </c>
      <c r="E327" s="2"/>
      <c r="F327" s="5">
        <v>41910</v>
      </c>
      <c r="G327" s="2"/>
      <c r="H327" s="2"/>
      <c r="I327" s="2"/>
      <c r="J327" s="2"/>
      <c r="K327" s="2"/>
      <c r="L327" s="96">
        <v>0.49315068493150682</v>
      </c>
      <c r="M327" t="b">
        <v>1</v>
      </c>
      <c r="N327">
        <f t="shared" si="15"/>
        <v>9</v>
      </c>
      <c r="O327">
        <f t="shared" si="16"/>
        <v>2014</v>
      </c>
      <c r="P327">
        <f t="shared" si="17"/>
        <v>2014</v>
      </c>
    </row>
    <row r="328" spans="1:16" x14ac:dyDescent="0.25">
      <c r="A328" s="6" t="s">
        <v>682</v>
      </c>
      <c r="B328" s="2" t="s">
        <v>838</v>
      </c>
      <c r="C328" s="2" t="s">
        <v>13</v>
      </c>
      <c r="D328" s="5">
        <v>41744</v>
      </c>
      <c r="E328" s="2"/>
      <c r="F328" s="5">
        <v>41787</v>
      </c>
      <c r="G328" s="2"/>
      <c r="H328" s="2"/>
      <c r="I328" s="2" t="s">
        <v>307</v>
      </c>
      <c r="J328" s="2"/>
      <c r="K328" s="2"/>
      <c r="L328" s="96">
        <v>0.11780821917808219</v>
      </c>
      <c r="M328" t="b">
        <v>1</v>
      </c>
      <c r="N328">
        <f t="shared" si="15"/>
        <v>5</v>
      </c>
      <c r="O328">
        <f t="shared" si="16"/>
        <v>2014</v>
      </c>
      <c r="P328">
        <f t="shared" si="17"/>
        <v>2014</v>
      </c>
    </row>
    <row r="329" spans="1:16" x14ac:dyDescent="0.25">
      <c r="A329" s="6" t="s">
        <v>683</v>
      </c>
      <c r="B329" s="2" t="s">
        <v>379</v>
      </c>
      <c r="C329" s="2" t="s">
        <v>47</v>
      </c>
      <c r="D329" s="5">
        <v>41760</v>
      </c>
      <c r="E329" s="2"/>
      <c r="F329" s="5">
        <v>41829</v>
      </c>
      <c r="G329" s="2"/>
      <c r="H329" s="2"/>
      <c r="I329" s="2" t="s">
        <v>411</v>
      </c>
      <c r="J329" s="2"/>
      <c r="K329" s="2"/>
      <c r="L329" s="96">
        <v>0.18904109589041096</v>
      </c>
      <c r="M329" t="b">
        <v>1</v>
      </c>
      <c r="N329">
        <f t="shared" si="15"/>
        <v>7</v>
      </c>
      <c r="O329">
        <f t="shared" si="16"/>
        <v>2014</v>
      </c>
      <c r="P329">
        <f t="shared" si="17"/>
        <v>2014</v>
      </c>
    </row>
    <row r="330" spans="1:16" x14ac:dyDescent="0.25">
      <c r="A330" s="6" t="s">
        <v>684</v>
      </c>
      <c r="B330" s="2" t="s">
        <v>379</v>
      </c>
      <c r="C330" s="2" t="s">
        <v>47</v>
      </c>
      <c r="D330" s="5">
        <v>41760</v>
      </c>
      <c r="E330" s="2"/>
      <c r="F330" s="5">
        <v>41829</v>
      </c>
      <c r="G330" s="2"/>
      <c r="H330" s="2"/>
      <c r="I330" s="2" t="s">
        <v>411</v>
      </c>
      <c r="J330" s="2"/>
      <c r="K330" s="2"/>
      <c r="L330" s="96">
        <v>0.18904109589041096</v>
      </c>
      <c r="M330" t="b">
        <v>1</v>
      </c>
      <c r="N330">
        <f t="shared" si="15"/>
        <v>7</v>
      </c>
      <c r="O330">
        <f t="shared" si="16"/>
        <v>2014</v>
      </c>
      <c r="P330">
        <f t="shared" si="17"/>
        <v>2014</v>
      </c>
    </row>
    <row r="331" spans="1:16" x14ac:dyDescent="0.25">
      <c r="A331" s="6" t="s">
        <v>685</v>
      </c>
      <c r="B331" s="2" t="s">
        <v>839</v>
      </c>
      <c r="C331" s="2" t="s">
        <v>13</v>
      </c>
      <c r="D331" s="5">
        <v>41609</v>
      </c>
      <c r="E331" s="2"/>
      <c r="F331" s="5">
        <v>41821</v>
      </c>
      <c r="G331" s="2"/>
      <c r="H331" s="2"/>
      <c r="I331" s="2"/>
      <c r="J331" s="2"/>
      <c r="K331" s="2"/>
      <c r="L331" s="96">
        <v>0.58082191780821912</v>
      </c>
      <c r="M331" t="b">
        <v>1</v>
      </c>
      <c r="N331">
        <f t="shared" si="15"/>
        <v>7</v>
      </c>
      <c r="O331">
        <f t="shared" si="16"/>
        <v>2014</v>
      </c>
      <c r="P331">
        <f t="shared" si="17"/>
        <v>2013</v>
      </c>
    </row>
    <row r="332" spans="1:16" x14ac:dyDescent="0.25">
      <c r="A332" s="6" t="s">
        <v>686</v>
      </c>
      <c r="B332" s="2" t="s">
        <v>840</v>
      </c>
      <c r="C332" s="2" t="s">
        <v>13</v>
      </c>
      <c r="D332" s="5">
        <v>41654</v>
      </c>
      <c r="E332" s="2"/>
      <c r="F332" s="5">
        <v>41821</v>
      </c>
      <c r="G332" s="2"/>
      <c r="H332" s="2"/>
      <c r="I332" s="2"/>
      <c r="J332" s="2"/>
      <c r="K332" s="2"/>
      <c r="L332" s="96">
        <v>0.45753424657534247</v>
      </c>
      <c r="M332" t="b">
        <v>1</v>
      </c>
      <c r="N332">
        <f t="shared" si="15"/>
        <v>7</v>
      </c>
      <c r="O332">
        <f t="shared" si="16"/>
        <v>2014</v>
      </c>
      <c r="P332">
        <f t="shared" si="17"/>
        <v>2014</v>
      </c>
    </row>
    <row r="333" spans="1:16" x14ac:dyDescent="0.25">
      <c r="A333" s="6" t="s">
        <v>687</v>
      </c>
      <c r="B333" s="2" t="s">
        <v>219</v>
      </c>
      <c r="C333" s="2" t="s">
        <v>23</v>
      </c>
      <c r="D333" s="5">
        <v>41609</v>
      </c>
      <c r="E333" s="2"/>
      <c r="F333" s="5">
        <v>41821</v>
      </c>
      <c r="G333" s="2"/>
      <c r="H333" s="2"/>
      <c r="I333" s="2"/>
      <c r="J333" s="2"/>
      <c r="K333" s="2"/>
      <c r="L333" s="96">
        <v>0.58082191780821912</v>
      </c>
      <c r="M333" t="b">
        <v>1</v>
      </c>
      <c r="N333">
        <f t="shared" si="15"/>
        <v>7</v>
      </c>
      <c r="O333">
        <f t="shared" si="16"/>
        <v>2014</v>
      </c>
      <c r="P333">
        <f t="shared" si="17"/>
        <v>2013</v>
      </c>
    </row>
    <row r="334" spans="1:16" x14ac:dyDescent="0.25">
      <c r="A334" s="6" t="s">
        <v>688</v>
      </c>
      <c r="B334" s="2" t="s">
        <v>841</v>
      </c>
      <c r="C334" s="2" t="s">
        <v>13</v>
      </c>
      <c r="D334" s="5">
        <v>41840</v>
      </c>
      <c r="E334" s="2"/>
      <c r="F334" s="5">
        <v>41821</v>
      </c>
      <c r="G334" s="2"/>
      <c r="H334" s="2"/>
      <c r="I334" s="2" t="s">
        <v>203</v>
      </c>
      <c r="J334" s="2"/>
      <c r="K334" s="2"/>
      <c r="L334" s="96">
        <v>0</v>
      </c>
      <c r="M334" t="b">
        <v>1</v>
      </c>
      <c r="N334">
        <f t="shared" si="15"/>
        <v>7</v>
      </c>
      <c r="O334">
        <f t="shared" si="16"/>
        <v>2014</v>
      </c>
      <c r="P334">
        <f t="shared" si="17"/>
        <v>2014</v>
      </c>
    </row>
    <row r="335" spans="1:16" x14ac:dyDescent="0.25">
      <c r="A335" s="6" t="s">
        <v>689</v>
      </c>
      <c r="B335" s="2" t="s">
        <v>842</v>
      </c>
      <c r="C335" s="2" t="s">
        <v>13</v>
      </c>
      <c r="D335" s="5">
        <v>41840</v>
      </c>
      <c r="E335" s="2"/>
      <c r="F335" s="5">
        <v>41912</v>
      </c>
      <c r="G335" s="2"/>
      <c r="H335" s="2"/>
      <c r="I335" s="2" t="s">
        <v>203</v>
      </c>
      <c r="J335" s="2"/>
      <c r="K335" s="2"/>
      <c r="L335" s="96">
        <v>0.19726027397260273</v>
      </c>
      <c r="M335" t="b">
        <v>1</v>
      </c>
      <c r="N335">
        <f t="shared" si="15"/>
        <v>9</v>
      </c>
      <c r="O335">
        <f t="shared" si="16"/>
        <v>2014</v>
      </c>
      <c r="P335">
        <f t="shared" si="17"/>
        <v>2014</v>
      </c>
    </row>
    <row r="336" spans="1:16" x14ac:dyDescent="0.25">
      <c r="A336" s="6" t="s">
        <v>690</v>
      </c>
      <c r="B336" s="2" t="s">
        <v>843</v>
      </c>
      <c r="C336" s="2" t="s">
        <v>47</v>
      </c>
      <c r="D336" s="5">
        <v>41866</v>
      </c>
      <c r="E336" s="2"/>
      <c r="F336" s="5">
        <v>41930</v>
      </c>
      <c r="G336" s="2"/>
      <c r="H336" s="2"/>
      <c r="I336" s="2" t="s">
        <v>305</v>
      </c>
      <c r="J336" s="2"/>
      <c r="K336" s="2"/>
      <c r="L336" s="96">
        <v>0.17534246575342466</v>
      </c>
      <c r="M336" t="b">
        <v>1</v>
      </c>
      <c r="N336">
        <f t="shared" si="15"/>
        <v>10</v>
      </c>
      <c r="O336">
        <f t="shared" si="16"/>
        <v>2014</v>
      </c>
      <c r="P336">
        <f t="shared" si="17"/>
        <v>2014</v>
      </c>
    </row>
    <row r="337" spans="1:16" x14ac:dyDescent="0.25">
      <c r="A337" s="6" t="s">
        <v>691</v>
      </c>
      <c r="B337" s="2" t="s">
        <v>844</v>
      </c>
      <c r="C337" s="2" t="s">
        <v>47</v>
      </c>
      <c r="D337" s="5">
        <v>41866</v>
      </c>
      <c r="E337" s="2"/>
      <c r="F337" s="5">
        <v>41930</v>
      </c>
      <c r="G337" s="2"/>
      <c r="H337" s="2"/>
      <c r="I337" s="2" t="s">
        <v>305</v>
      </c>
      <c r="J337" s="2"/>
      <c r="K337" s="2"/>
      <c r="L337" s="96">
        <v>0.17534246575342466</v>
      </c>
      <c r="M337" t="b">
        <v>1</v>
      </c>
      <c r="N337">
        <f t="shared" si="15"/>
        <v>10</v>
      </c>
      <c r="O337">
        <f t="shared" si="16"/>
        <v>2014</v>
      </c>
      <c r="P337">
        <f t="shared" si="17"/>
        <v>2014</v>
      </c>
    </row>
    <row r="338" spans="1:16" x14ac:dyDescent="0.25">
      <c r="A338" s="6" t="s">
        <v>692</v>
      </c>
      <c r="B338" s="2" t="s">
        <v>845</v>
      </c>
      <c r="C338" s="2" t="s">
        <v>23</v>
      </c>
      <c r="D338" s="5">
        <v>41659</v>
      </c>
      <c r="E338" s="2"/>
      <c r="F338" s="5">
        <v>41813</v>
      </c>
      <c r="G338" s="2"/>
      <c r="H338" s="2"/>
      <c r="I338" s="2"/>
      <c r="J338" s="2"/>
      <c r="K338" s="2"/>
      <c r="L338" s="96">
        <v>0.42191780821917807</v>
      </c>
      <c r="M338" t="b">
        <v>1</v>
      </c>
      <c r="N338">
        <f t="shared" si="15"/>
        <v>6</v>
      </c>
      <c r="O338">
        <f t="shared" si="16"/>
        <v>2014</v>
      </c>
      <c r="P338">
        <f t="shared" si="17"/>
        <v>2014</v>
      </c>
    </row>
    <row r="339" spans="1:16" x14ac:dyDescent="0.25">
      <c r="A339" s="6" t="s">
        <v>693</v>
      </c>
      <c r="B339" s="2" t="s">
        <v>846</v>
      </c>
      <c r="C339" s="2" t="s">
        <v>13</v>
      </c>
      <c r="D339" s="5">
        <v>41659</v>
      </c>
      <c r="E339" s="2"/>
      <c r="F339" s="5">
        <v>41813</v>
      </c>
      <c r="G339" s="2"/>
      <c r="H339" s="2"/>
      <c r="I339" s="2"/>
      <c r="J339" s="2"/>
      <c r="K339" s="2"/>
      <c r="L339" s="96">
        <v>0.42191780821917807</v>
      </c>
      <c r="M339" t="b">
        <v>1</v>
      </c>
      <c r="N339">
        <f t="shared" si="15"/>
        <v>6</v>
      </c>
      <c r="O339">
        <f t="shared" si="16"/>
        <v>2014</v>
      </c>
      <c r="P339">
        <f t="shared" si="17"/>
        <v>2014</v>
      </c>
    </row>
    <row r="340" spans="1:16" x14ac:dyDescent="0.25">
      <c r="A340" s="6" t="s">
        <v>694</v>
      </c>
      <c r="B340" s="2" t="s">
        <v>847</v>
      </c>
      <c r="C340" s="2" t="s">
        <v>47</v>
      </c>
      <c r="D340" s="5">
        <v>41659</v>
      </c>
      <c r="E340" s="2"/>
      <c r="F340" s="5">
        <v>41813</v>
      </c>
      <c r="G340" s="2"/>
      <c r="H340" s="2"/>
      <c r="I340" s="2"/>
      <c r="J340" s="2"/>
      <c r="K340" s="2"/>
      <c r="L340" s="96">
        <v>0.42191780821917807</v>
      </c>
      <c r="M340" t="b">
        <v>1</v>
      </c>
      <c r="N340">
        <f t="shared" si="15"/>
        <v>6</v>
      </c>
      <c r="O340">
        <f t="shared" si="16"/>
        <v>2014</v>
      </c>
      <c r="P340">
        <f t="shared" si="17"/>
        <v>2014</v>
      </c>
    </row>
    <row r="341" spans="1:16" x14ac:dyDescent="0.25">
      <c r="A341" s="6" t="s">
        <v>695</v>
      </c>
      <c r="B341" s="2" t="s">
        <v>848</v>
      </c>
      <c r="C341" s="2" t="s">
        <v>47</v>
      </c>
      <c r="D341" s="5">
        <v>41593</v>
      </c>
      <c r="E341" s="2"/>
      <c r="F341" s="5">
        <v>41813</v>
      </c>
      <c r="G341" s="2"/>
      <c r="H341" s="2"/>
      <c r="I341" s="2"/>
      <c r="J341" s="2"/>
      <c r="K341" s="2"/>
      <c r="L341" s="96">
        <v>0.60273972602739723</v>
      </c>
      <c r="M341" t="b">
        <v>1</v>
      </c>
      <c r="N341">
        <f t="shared" si="15"/>
        <v>6</v>
      </c>
      <c r="O341">
        <f t="shared" si="16"/>
        <v>2014</v>
      </c>
      <c r="P341">
        <f t="shared" si="17"/>
        <v>2013</v>
      </c>
    </row>
    <row r="342" spans="1:16" x14ac:dyDescent="0.25">
      <c r="A342" s="6" t="s">
        <v>696</v>
      </c>
      <c r="B342" s="2" t="s">
        <v>849</v>
      </c>
      <c r="C342" s="2" t="s">
        <v>47</v>
      </c>
      <c r="D342" s="5">
        <v>41593</v>
      </c>
      <c r="E342" s="2"/>
      <c r="F342" s="5">
        <v>41813</v>
      </c>
      <c r="G342" s="2"/>
      <c r="H342" s="2"/>
      <c r="I342" s="2"/>
      <c r="J342" s="2"/>
      <c r="K342" s="2"/>
      <c r="L342" s="96">
        <v>0.60273972602739723</v>
      </c>
      <c r="M342" t="b">
        <v>1</v>
      </c>
      <c r="N342">
        <f t="shared" si="15"/>
        <v>6</v>
      </c>
      <c r="O342">
        <f t="shared" si="16"/>
        <v>2014</v>
      </c>
      <c r="P342">
        <f t="shared" si="17"/>
        <v>2013</v>
      </c>
    </row>
    <row r="343" spans="1:16" x14ac:dyDescent="0.25">
      <c r="A343" s="6" t="s">
        <v>697</v>
      </c>
      <c r="B343" s="2" t="s">
        <v>850</v>
      </c>
      <c r="C343" s="2" t="s">
        <v>47</v>
      </c>
      <c r="D343" s="5">
        <v>41593</v>
      </c>
      <c r="E343" s="2"/>
      <c r="F343" s="5">
        <v>41813</v>
      </c>
      <c r="G343" s="2"/>
      <c r="H343" s="2"/>
      <c r="I343" s="2"/>
      <c r="J343" s="2"/>
      <c r="K343" s="2"/>
      <c r="L343" s="96">
        <v>0.60273972602739723</v>
      </c>
      <c r="M343" t="b">
        <v>1</v>
      </c>
      <c r="N343">
        <f t="shared" si="15"/>
        <v>6</v>
      </c>
      <c r="O343">
        <f t="shared" si="16"/>
        <v>2014</v>
      </c>
      <c r="P343">
        <f t="shared" si="17"/>
        <v>2013</v>
      </c>
    </row>
    <row r="344" spans="1:16" x14ac:dyDescent="0.25">
      <c r="A344" s="6" t="s">
        <v>698</v>
      </c>
      <c r="B344" s="2" t="s">
        <v>851</v>
      </c>
      <c r="C344" s="2" t="s">
        <v>47</v>
      </c>
      <c r="D344" s="5">
        <v>41562</v>
      </c>
      <c r="E344" s="2"/>
      <c r="F344" s="5">
        <v>41813</v>
      </c>
      <c r="G344" s="2"/>
      <c r="H344" s="2"/>
      <c r="I344" s="2"/>
      <c r="J344" s="2"/>
      <c r="K344" s="2"/>
      <c r="L344" s="96">
        <v>0.68767123287671228</v>
      </c>
      <c r="M344" t="b">
        <v>1</v>
      </c>
      <c r="N344">
        <f t="shared" si="15"/>
        <v>6</v>
      </c>
      <c r="O344">
        <f t="shared" si="16"/>
        <v>2014</v>
      </c>
      <c r="P344">
        <f t="shared" si="17"/>
        <v>2013</v>
      </c>
    </row>
    <row r="345" spans="1:16" x14ac:dyDescent="0.25">
      <c r="A345" s="6" t="s">
        <v>699</v>
      </c>
      <c r="B345" s="2" t="s">
        <v>852</v>
      </c>
      <c r="C345" s="2" t="s">
        <v>47</v>
      </c>
      <c r="D345" s="5">
        <v>41562</v>
      </c>
      <c r="E345" s="2"/>
      <c r="F345" s="5">
        <v>41813</v>
      </c>
      <c r="G345" s="2"/>
      <c r="H345" s="2"/>
      <c r="I345" s="2"/>
      <c r="J345" s="2"/>
      <c r="K345" s="2"/>
      <c r="L345" s="96">
        <v>0.68767123287671228</v>
      </c>
      <c r="M345" t="b">
        <v>1</v>
      </c>
      <c r="N345">
        <f t="shared" si="15"/>
        <v>6</v>
      </c>
      <c r="O345">
        <f t="shared" si="16"/>
        <v>2014</v>
      </c>
      <c r="P345">
        <f t="shared" si="17"/>
        <v>2013</v>
      </c>
    </row>
    <row r="346" spans="1:16" x14ac:dyDescent="0.25">
      <c r="A346" s="6" t="s">
        <v>700</v>
      </c>
      <c r="B346" s="2" t="s">
        <v>853</v>
      </c>
      <c r="C346" s="2" t="s">
        <v>13</v>
      </c>
      <c r="D346" s="5">
        <v>41662</v>
      </c>
      <c r="E346" s="2"/>
      <c r="F346" s="5">
        <v>41753</v>
      </c>
      <c r="G346" s="2"/>
      <c r="H346" s="2"/>
      <c r="I346" s="2"/>
      <c r="J346" s="2"/>
      <c r="K346" s="2" t="s">
        <v>811</v>
      </c>
      <c r="L346" s="96">
        <v>0.24931506849315069</v>
      </c>
      <c r="M346" t="b">
        <v>1</v>
      </c>
      <c r="N346">
        <f t="shared" si="15"/>
        <v>4</v>
      </c>
      <c r="O346">
        <f t="shared" si="16"/>
        <v>2014</v>
      </c>
      <c r="P346">
        <f t="shared" si="17"/>
        <v>2014</v>
      </c>
    </row>
    <row r="347" spans="1:16" x14ac:dyDescent="0.25">
      <c r="A347" s="6" t="s">
        <v>701</v>
      </c>
      <c r="B347" s="2" t="s">
        <v>854</v>
      </c>
      <c r="C347" s="2" t="s">
        <v>13</v>
      </c>
      <c r="D347" s="5">
        <v>41662</v>
      </c>
      <c r="E347" s="2"/>
      <c r="F347" s="5">
        <v>41753</v>
      </c>
      <c r="G347" s="2"/>
      <c r="H347" s="2"/>
      <c r="I347" s="2"/>
      <c r="J347" s="2"/>
      <c r="K347" s="2" t="s">
        <v>811</v>
      </c>
      <c r="L347" s="96">
        <v>0.24931506849315069</v>
      </c>
      <c r="M347" t="b">
        <v>1</v>
      </c>
      <c r="N347">
        <f t="shared" si="15"/>
        <v>4</v>
      </c>
      <c r="O347">
        <f t="shared" si="16"/>
        <v>2014</v>
      </c>
      <c r="P347">
        <f t="shared" si="17"/>
        <v>2014</v>
      </c>
    </row>
    <row r="348" spans="1:16" x14ac:dyDescent="0.25">
      <c r="A348" s="6" t="s">
        <v>702</v>
      </c>
      <c r="B348" s="2" t="s">
        <v>855</v>
      </c>
      <c r="C348" s="2" t="s">
        <v>13</v>
      </c>
      <c r="D348" s="5">
        <v>41662</v>
      </c>
      <c r="E348" s="2"/>
      <c r="F348" s="5">
        <v>41753</v>
      </c>
      <c r="G348" s="2"/>
      <c r="H348" s="2"/>
      <c r="I348" s="2"/>
      <c r="J348" s="2"/>
      <c r="K348" s="2" t="s">
        <v>811</v>
      </c>
      <c r="L348" s="96">
        <v>0.24931506849315069</v>
      </c>
      <c r="M348" t="b">
        <v>1</v>
      </c>
      <c r="N348">
        <f t="shared" si="15"/>
        <v>4</v>
      </c>
      <c r="O348">
        <f t="shared" si="16"/>
        <v>2014</v>
      </c>
      <c r="P348">
        <f t="shared" si="17"/>
        <v>2014</v>
      </c>
    </row>
    <row r="349" spans="1:16" x14ac:dyDescent="0.25">
      <c r="A349" s="6" t="s">
        <v>703</v>
      </c>
      <c r="B349" s="2" t="s">
        <v>856</v>
      </c>
      <c r="C349" s="2" t="s">
        <v>13</v>
      </c>
      <c r="D349" s="5">
        <v>41662</v>
      </c>
      <c r="E349" s="2"/>
      <c r="F349" s="5">
        <v>41753</v>
      </c>
      <c r="G349" s="2"/>
      <c r="H349" s="2"/>
      <c r="I349" s="2"/>
      <c r="J349" s="2"/>
      <c r="K349" s="2" t="s">
        <v>811</v>
      </c>
      <c r="L349" s="96">
        <v>0.24931506849315069</v>
      </c>
      <c r="M349" t="b">
        <v>1</v>
      </c>
      <c r="N349">
        <f t="shared" si="15"/>
        <v>4</v>
      </c>
      <c r="O349">
        <f t="shared" si="16"/>
        <v>2014</v>
      </c>
      <c r="P349">
        <f t="shared" si="17"/>
        <v>2014</v>
      </c>
    </row>
    <row r="350" spans="1:16" x14ac:dyDescent="0.25">
      <c r="A350" s="6" t="s">
        <v>704</v>
      </c>
      <c r="B350" s="2" t="s">
        <v>857</v>
      </c>
      <c r="C350" s="2" t="s">
        <v>13</v>
      </c>
      <c r="D350" s="5">
        <v>41662</v>
      </c>
      <c r="E350" s="2"/>
      <c r="F350" s="5">
        <v>41753</v>
      </c>
      <c r="G350" s="2"/>
      <c r="H350" s="2"/>
      <c r="I350" s="2"/>
      <c r="J350" s="2"/>
      <c r="K350" s="2" t="s">
        <v>811</v>
      </c>
      <c r="L350" s="96">
        <v>0.24931506849315069</v>
      </c>
      <c r="M350" t="b">
        <v>1</v>
      </c>
      <c r="N350">
        <f t="shared" si="15"/>
        <v>4</v>
      </c>
      <c r="O350">
        <f t="shared" si="16"/>
        <v>2014</v>
      </c>
      <c r="P350">
        <f t="shared" si="17"/>
        <v>2014</v>
      </c>
    </row>
    <row r="351" spans="1:16" x14ac:dyDescent="0.25">
      <c r="A351" s="6" t="s">
        <v>705</v>
      </c>
      <c r="B351" s="2" t="s">
        <v>858</v>
      </c>
      <c r="C351" s="2" t="s">
        <v>13</v>
      </c>
      <c r="D351" s="5">
        <v>40909</v>
      </c>
      <c r="E351" s="2"/>
      <c r="F351" s="97">
        <v>41940</v>
      </c>
      <c r="G351" s="2"/>
      <c r="H351" s="2"/>
      <c r="I351" s="2"/>
      <c r="J351" s="2"/>
      <c r="K351" s="2"/>
      <c r="L351" s="96">
        <v>2.8246575342465752</v>
      </c>
      <c r="M351" t="b">
        <v>1</v>
      </c>
      <c r="N351">
        <f t="shared" si="15"/>
        <v>10</v>
      </c>
      <c r="O351">
        <f t="shared" si="16"/>
        <v>2014</v>
      </c>
      <c r="P351">
        <f t="shared" si="17"/>
        <v>2012</v>
      </c>
    </row>
    <row r="352" spans="1:16" x14ac:dyDescent="0.25">
      <c r="A352" s="6" t="s">
        <v>706</v>
      </c>
      <c r="B352" s="2" t="s">
        <v>859</v>
      </c>
      <c r="C352" s="2" t="s">
        <v>13</v>
      </c>
      <c r="D352" s="5">
        <v>41699</v>
      </c>
      <c r="E352" s="2"/>
      <c r="F352" s="97">
        <v>41940</v>
      </c>
      <c r="G352" s="2"/>
      <c r="H352" s="2"/>
      <c r="I352" s="2"/>
      <c r="J352" s="2"/>
      <c r="K352" s="2"/>
      <c r="L352" s="96">
        <v>0.66027397260273968</v>
      </c>
      <c r="M352" t="b">
        <v>1</v>
      </c>
      <c r="N352">
        <f t="shared" si="15"/>
        <v>10</v>
      </c>
      <c r="O352">
        <f t="shared" si="16"/>
        <v>2014</v>
      </c>
      <c r="P352">
        <f t="shared" si="17"/>
        <v>2014</v>
      </c>
    </row>
    <row r="353" spans="1:16" x14ac:dyDescent="0.25">
      <c r="A353" s="6" t="s">
        <v>707</v>
      </c>
      <c r="B353" s="2" t="s">
        <v>860</v>
      </c>
      <c r="C353" s="2" t="s">
        <v>13</v>
      </c>
      <c r="D353" s="5">
        <v>41699</v>
      </c>
      <c r="E353" s="2"/>
      <c r="F353" s="97">
        <v>41940</v>
      </c>
      <c r="G353" s="2"/>
      <c r="H353" s="2"/>
      <c r="I353" s="2"/>
      <c r="J353" s="2"/>
      <c r="K353" s="2"/>
      <c r="L353" s="96">
        <v>0.66027397260273968</v>
      </c>
      <c r="M353" t="b">
        <v>1</v>
      </c>
      <c r="N353">
        <f t="shared" si="15"/>
        <v>10</v>
      </c>
      <c r="O353">
        <f t="shared" si="16"/>
        <v>2014</v>
      </c>
      <c r="P353">
        <f t="shared" si="17"/>
        <v>2014</v>
      </c>
    </row>
    <row r="354" spans="1:16" x14ac:dyDescent="0.25">
      <c r="A354" s="6" t="s">
        <v>708</v>
      </c>
      <c r="B354" s="2" t="s">
        <v>861</v>
      </c>
      <c r="C354" s="2" t="s">
        <v>13</v>
      </c>
      <c r="D354" s="5">
        <v>41760</v>
      </c>
      <c r="E354" s="2"/>
      <c r="F354" s="97">
        <v>41940</v>
      </c>
      <c r="G354" s="2"/>
      <c r="H354" s="2"/>
      <c r="I354" s="2"/>
      <c r="J354" s="2"/>
      <c r="K354" s="2"/>
      <c r="L354" s="96">
        <v>0.49315068493150682</v>
      </c>
      <c r="M354" t="b">
        <v>1</v>
      </c>
      <c r="N354">
        <f t="shared" si="15"/>
        <v>10</v>
      </c>
      <c r="O354">
        <f t="shared" si="16"/>
        <v>2014</v>
      </c>
      <c r="P354">
        <f t="shared" si="17"/>
        <v>2014</v>
      </c>
    </row>
    <row r="355" spans="1:16" x14ac:dyDescent="0.25">
      <c r="A355" s="6" t="s">
        <v>709</v>
      </c>
      <c r="B355" s="2" t="s">
        <v>862</v>
      </c>
      <c r="C355" s="2" t="s">
        <v>13</v>
      </c>
      <c r="D355" s="5">
        <v>41275</v>
      </c>
      <c r="E355" s="2"/>
      <c r="F355" s="97">
        <v>41940</v>
      </c>
      <c r="G355" s="2"/>
      <c r="H355" s="2"/>
      <c r="I355" s="2"/>
      <c r="J355" s="2"/>
      <c r="K355" s="2"/>
      <c r="L355" s="96">
        <v>1.821917808219178</v>
      </c>
      <c r="M355" t="b">
        <v>1</v>
      </c>
      <c r="N355">
        <f t="shared" si="15"/>
        <v>10</v>
      </c>
      <c r="O355">
        <f t="shared" si="16"/>
        <v>2014</v>
      </c>
      <c r="P355">
        <f t="shared" si="17"/>
        <v>2013</v>
      </c>
    </row>
    <row r="356" spans="1:16" x14ac:dyDescent="0.25">
      <c r="A356" s="6" t="s">
        <v>710</v>
      </c>
      <c r="B356" s="2" t="s">
        <v>807</v>
      </c>
      <c r="C356" s="2" t="s">
        <v>13</v>
      </c>
      <c r="D356" s="5">
        <v>41518</v>
      </c>
      <c r="E356" s="2">
        <v>30</v>
      </c>
      <c r="F356" s="5">
        <v>41887</v>
      </c>
      <c r="G356" s="2"/>
      <c r="H356" s="2"/>
      <c r="I356" s="2"/>
      <c r="J356" s="2"/>
      <c r="K356" s="2"/>
      <c r="L356" s="96">
        <v>1.010958904109589</v>
      </c>
      <c r="M356" t="b">
        <v>1</v>
      </c>
      <c r="N356">
        <f t="shared" si="15"/>
        <v>9</v>
      </c>
      <c r="O356">
        <f t="shared" si="16"/>
        <v>2014</v>
      </c>
      <c r="P356">
        <f t="shared" si="17"/>
        <v>2013</v>
      </c>
    </row>
    <row r="357" spans="1:16" x14ac:dyDescent="0.25">
      <c r="A357" s="6" t="s">
        <v>711</v>
      </c>
      <c r="B357" s="2" t="s">
        <v>807</v>
      </c>
      <c r="C357" s="2" t="s">
        <v>13</v>
      </c>
      <c r="D357" s="5">
        <v>41518</v>
      </c>
      <c r="E357" s="2">
        <v>30</v>
      </c>
      <c r="F357" s="5">
        <v>41887</v>
      </c>
      <c r="G357" s="2"/>
      <c r="H357" s="2"/>
      <c r="I357" s="2"/>
      <c r="J357" s="2"/>
      <c r="K357" s="2"/>
      <c r="L357" s="96">
        <v>1.010958904109589</v>
      </c>
      <c r="M357" t="b">
        <v>1</v>
      </c>
      <c r="N357">
        <f t="shared" si="15"/>
        <v>9</v>
      </c>
      <c r="O357">
        <f t="shared" si="16"/>
        <v>2014</v>
      </c>
      <c r="P357">
        <f t="shared" si="17"/>
        <v>2013</v>
      </c>
    </row>
    <row r="358" spans="1:16" x14ac:dyDescent="0.25">
      <c r="A358" s="6" t="s">
        <v>712</v>
      </c>
      <c r="B358" s="2" t="s">
        <v>807</v>
      </c>
      <c r="C358" s="2" t="s">
        <v>13</v>
      </c>
      <c r="D358" s="5">
        <v>41518</v>
      </c>
      <c r="E358" s="2">
        <v>30</v>
      </c>
      <c r="F358" s="5">
        <v>41887</v>
      </c>
      <c r="G358" s="2"/>
      <c r="H358" s="2"/>
      <c r="I358" s="2"/>
      <c r="J358" s="2"/>
      <c r="K358" s="2"/>
      <c r="L358" s="96">
        <v>1.010958904109589</v>
      </c>
      <c r="M358" t="b">
        <v>1</v>
      </c>
      <c r="N358">
        <f t="shared" si="15"/>
        <v>9</v>
      </c>
      <c r="O358">
        <f t="shared" si="16"/>
        <v>2014</v>
      </c>
      <c r="P358">
        <f t="shared" si="17"/>
        <v>2013</v>
      </c>
    </row>
    <row r="359" spans="1:16" x14ac:dyDescent="0.25">
      <c r="A359" s="6" t="s">
        <v>713</v>
      </c>
      <c r="B359" s="2" t="s">
        <v>807</v>
      </c>
      <c r="C359" s="2" t="s">
        <v>13</v>
      </c>
      <c r="D359" s="5">
        <v>41518</v>
      </c>
      <c r="E359" s="2">
        <v>30</v>
      </c>
      <c r="F359" s="5">
        <v>41887</v>
      </c>
      <c r="G359" s="2"/>
      <c r="H359" s="2"/>
      <c r="I359" s="2"/>
      <c r="J359" s="2"/>
      <c r="K359" s="2"/>
      <c r="L359" s="96">
        <v>1.010958904109589</v>
      </c>
      <c r="M359" t="b">
        <v>1</v>
      </c>
      <c r="N359">
        <f t="shared" si="15"/>
        <v>9</v>
      </c>
      <c r="O359">
        <f t="shared" si="16"/>
        <v>2014</v>
      </c>
      <c r="P359">
        <f t="shared" si="17"/>
        <v>2013</v>
      </c>
    </row>
    <row r="360" spans="1:16" x14ac:dyDescent="0.25">
      <c r="A360" t="s">
        <v>714</v>
      </c>
      <c r="B360" s="2" t="s">
        <v>863</v>
      </c>
      <c r="C360" s="4" t="s">
        <v>23</v>
      </c>
      <c r="D360" s="5">
        <v>39614</v>
      </c>
      <c r="E360" s="2"/>
      <c r="F360" s="97">
        <v>41422</v>
      </c>
      <c r="G360" s="2"/>
      <c r="H360" s="2"/>
      <c r="I360" s="2"/>
      <c r="J360" s="2"/>
      <c r="K360" s="2" t="s">
        <v>881</v>
      </c>
      <c r="L360" s="96">
        <v>4.9534246575342467</v>
      </c>
      <c r="M360" t="b">
        <v>1</v>
      </c>
      <c r="N360">
        <f t="shared" si="15"/>
        <v>5</v>
      </c>
      <c r="O360">
        <f t="shared" si="16"/>
        <v>2013</v>
      </c>
      <c r="P360">
        <f t="shared" si="17"/>
        <v>2008</v>
      </c>
    </row>
    <row r="361" spans="1:16" x14ac:dyDescent="0.25">
      <c r="A361" s="6" t="s">
        <v>715</v>
      </c>
      <c r="B361" s="2" t="s">
        <v>807</v>
      </c>
      <c r="C361" s="2" t="s">
        <v>13</v>
      </c>
      <c r="D361" s="5">
        <v>39814</v>
      </c>
      <c r="E361" s="2">
        <v>180</v>
      </c>
      <c r="F361" s="97">
        <v>41910</v>
      </c>
      <c r="G361" s="2"/>
      <c r="H361" s="2"/>
      <c r="I361" s="2"/>
      <c r="J361" s="2"/>
      <c r="K361" s="2" t="s">
        <v>881</v>
      </c>
      <c r="L361" s="96">
        <v>5.7424657534246579</v>
      </c>
      <c r="M361" t="b">
        <v>1</v>
      </c>
      <c r="N361">
        <f t="shared" si="15"/>
        <v>9</v>
      </c>
      <c r="O361">
        <f t="shared" si="16"/>
        <v>2014</v>
      </c>
      <c r="P361">
        <f t="shared" si="17"/>
        <v>2009</v>
      </c>
    </row>
    <row r="362" spans="1:16" x14ac:dyDescent="0.25">
      <c r="A362" s="6" t="s">
        <v>716</v>
      </c>
      <c r="B362" s="2" t="s">
        <v>717</v>
      </c>
      <c r="C362" s="2" t="s">
        <v>23</v>
      </c>
      <c r="D362" s="5">
        <v>41609</v>
      </c>
      <c r="E362" s="2"/>
      <c r="F362" s="97">
        <v>41940</v>
      </c>
      <c r="G362" s="2"/>
      <c r="H362" s="2"/>
      <c r="I362" s="2" t="s">
        <v>220</v>
      </c>
      <c r="J362" s="2"/>
      <c r="K362" s="2" t="s">
        <v>881</v>
      </c>
      <c r="L362" s="96">
        <v>0.9068493150684932</v>
      </c>
      <c r="M362" t="b">
        <v>1</v>
      </c>
      <c r="N362">
        <f t="shared" si="15"/>
        <v>10</v>
      </c>
      <c r="O362">
        <f t="shared" si="16"/>
        <v>2014</v>
      </c>
      <c r="P362">
        <f t="shared" si="17"/>
        <v>2013</v>
      </c>
    </row>
    <row r="363" spans="1:16" x14ac:dyDescent="0.25">
      <c r="A363" s="6" t="s">
        <v>718</v>
      </c>
      <c r="B363" t="s">
        <v>719</v>
      </c>
      <c r="C363" s="2" t="s">
        <v>23</v>
      </c>
      <c r="D363" s="5">
        <v>42078</v>
      </c>
      <c r="E363" s="2"/>
      <c r="F363" s="5">
        <v>42164</v>
      </c>
      <c r="G363" s="2"/>
      <c r="H363" s="2"/>
      <c r="I363" s="2"/>
      <c r="J363" s="2"/>
      <c r="K363" s="2"/>
      <c r="L363" s="96">
        <v>0.23561643835616439</v>
      </c>
      <c r="M363" t="b">
        <v>1</v>
      </c>
      <c r="N363">
        <f t="shared" si="15"/>
        <v>6</v>
      </c>
      <c r="O363">
        <f t="shared" si="16"/>
        <v>2015</v>
      </c>
      <c r="P363">
        <f t="shared" si="17"/>
        <v>2015</v>
      </c>
    </row>
    <row r="364" spans="1:16" x14ac:dyDescent="0.25">
      <c r="A364" s="6" t="s">
        <v>720</v>
      </c>
      <c r="B364" t="s">
        <v>721</v>
      </c>
      <c r="C364" s="2" t="s">
        <v>23</v>
      </c>
      <c r="D364" s="5">
        <v>42078</v>
      </c>
      <c r="E364" s="2"/>
      <c r="F364" s="5">
        <v>42164</v>
      </c>
      <c r="G364" s="2"/>
      <c r="H364" s="2"/>
      <c r="I364" s="2"/>
      <c r="J364" s="2"/>
      <c r="K364" s="2"/>
      <c r="L364" s="96">
        <v>0.23561643835616439</v>
      </c>
      <c r="M364" t="b">
        <v>1</v>
      </c>
      <c r="N364">
        <f t="shared" si="15"/>
        <v>6</v>
      </c>
      <c r="O364">
        <f t="shared" si="16"/>
        <v>2015</v>
      </c>
      <c r="P364">
        <f t="shared" si="17"/>
        <v>2015</v>
      </c>
    </row>
    <row r="365" spans="1:16" x14ac:dyDescent="0.25">
      <c r="A365" s="6" t="s">
        <v>722</v>
      </c>
      <c r="B365" t="s">
        <v>723</v>
      </c>
      <c r="C365" s="2" t="s">
        <v>23</v>
      </c>
      <c r="D365" s="5">
        <v>42078</v>
      </c>
      <c r="E365" s="2"/>
      <c r="F365" s="5">
        <v>42164</v>
      </c>
      <c r="G365" s="2"/>
      <c r="H365" s="2"/>
      <c r="I365" s="2"/>
      <c r="J365" s="2"/>
      <c r="K365" s="2"/>
      <c r="L365" s="96">
        <v>0.23561643835616439</v>
      </c>
      <c r="M365" t="b">
        <v>1</v>
      </c>
      <c r="N365">
        <f t="shared" si="15"/>
        <v>6</v>
      </c>
      <c r="O365">
        <f t="shared" si="16"/>
        <v>2015</v>
      </c>
      <c r="P365">
        <f t="shared" si="17"/>
        <v>2015</v>
      </c>
    </row>
    <row r="366" spans="1:16" x14ac:dyDescent="0.25">
      <c r="A366" s="6" t="s">
        <v>724</v>
      </c>
      <c r="B366" t="s">
        <v>725</v>
      </c>
      <c r="C366" s="2" t="s">
        <v>13</v>
      </c>
      <c r="D366" s="5">
        <v>42078</v>
      </c>
      <c r="E366" s="2"/>
      <c r="F366" s="5">
        <v>42164</v>
      </c>
      <c r="G366" s="2"/>
      <c r="H366" s="2"/>
      <c r="I366" s="2"/>
      <c r="J366" s="2"/>
      <c r="K366" s="2"/>
      <c r="L366" s="96">
        <v>0.23561643835616439</v>
      </c>
      <c r="M366" t="b">
        <v>1</v>
      </c>
      <c r="N366">
        <f t="shared" si="15"/>
        <v>6</v>
      </c>
      <c r="O366">
        <f t="shared" si="16"/>
        <v>2015</v>
      </c>
      <c r="P366">
        <f t="shared" si="17"/>
        <v>2015</v>
      </c>
    </row>
    <row r="367" spans="1:16" x14ac:dyDescent="0.25">
      <c r="A367" s="6" t="s">
        <v>726</v>
      </c>
      <c r="B367" t="s">
        <v>727</v>
      </c>
      <c r="C367" s="2" t="s">
        <v>23</v>
      </c>
      <c r="D367" s="5">
        <v>42005</v>
      </c>
      <c r="E367" s="2"/>
      <c r="F367" s="5">
        <v>42191</v>
      </c>
      <c r="G367" s="2"/>
      <c r="H367" s="2"/>
      <c r="I367" s="2" t="s">
        <v>325</v>
      </c>
      <c r="J367" s="2"/>
      <c r="K367" s="2"/>
      <c r="L367" s="96">
        <v>0.50958904109589043</v>
      </c>
      <c r="M367" t="b">
        <v>1</v>
      </c>
      <c r="N367">
        <f t="shared" si="15"/>
        <v>7</v>
      </c>
      <c r="O367">
        <f t="shared" si="16"/>
        <v>2015</v>
      </c>
      <c r="P367">
        <f t="shared" si="17"/>
        <v>2015</v>
      </c>
    </row>
    <row r="368" spans="1:16" x14ac:dyDescent="0.25">
      <c r="A368" s="6" t="s">
        <v>728</v>
      </c>
      <c r="B368" t="s">
        <v>729</v>
      </c>
      <c r="C368" s="2" t="s">
        <v>23</v>
      </c>
      <c r="D368" s="5">
        <v>42005</v>
      </c>
      <c r="E368" s="2"/>
      <c r="F368" s="5">
        <v>42191</v>
      </c>
      <c r="G368" s="2"/>
      <c r="H368" s="2"/>
      <c r="I368" s="2" t="s">
        <v>325</v>
      </c>
      <c r="J368" s="2"/>
      <c r="K368" s="2"/>
      <c r="L368" s="96">
        <v>0.50958904109589043</v>
      </c>
      <c r="M368" t="b">
        <v>1</v>
      </c>
      <c r="N368">
        <f t="shared" si="15"/>
        <v>7</v>
      </c>
      <c r="O368">
        <f t="shared" si="16"/>
        <v>2015</v>
      </c>
      <c r="P368">
        <f t="shared" si="17"/>
        <v>2015</v>
      </c>
    </row>
    <row r="369" spans="1:16" x14ac:dyDescent="0.25">
      <c r="A369" s="6" t="s">
        <v>730</v>
      </c>
      <c r="B369" t="s">
        <v>731</v>
      </c>
      <c r="C369" s="2" t="s">
        <v>13</v>
      </c>
      <c r="D369" s="5">
        <v>42005</v>
      </c>
      <c r="E369" s="2"/>
      <c r="F369" s="5">
        <v>42191</v>
      </c>
      <c r="G369" s="2"/>
      <c r="H369" s="2"/>
      <c r="I369" s="2" t="s">
        <v>325</v>
      </c>
      <c r="J369" s="2"/>
      <c r="K369" s="2"/>
      <c r="L369" s="96">
        <v>0.50958904109589043</v>
      </c>
      <c r="M369" t="b">
        <v>1</v>
      </c>
      <c r="N369">
        <f t="shared" si="15"/>
        <v>7</v>
      </c>
      <c r="O369">
        <f t="shared" si="16"/>
        <v>2015</v>
      </c>
      <c r="P369">
        <f t="shared" si="17"/>
        <v>2015</v>
      </c>
    </row>
    <row r="370" spans="1:16" x14ac:dyDescent="0.25">
      <c r="A370" s="6" t="s">
        <v>732</v>
      </c>
      <c r="B370" t="s">
        <v>733</v>
      </c>
      <c r="C370" s="2" t="s">
        <v>23</v>
      </c>
      <c r="D370" s="5">
        <v>42064</v>
      </c>
      <c r="E370" s="2"/>
      <c r="F370" s="5">
        <v>42191</v>
      </c>
      <c r="G370" s="2"/>
      <c r="H370" s="2"/>
      <c r="I370" s="2" t="s">
        <v>314</v>
      </c>
      <c r="J370" s="2"/>
      <c r="K370" s="2"/>
      <c r="L370" s="96">
        <v>0.34794520547945207</v>
      </c>
      <c r="M370" t="b">
        <v>1</v>
      </c>
      <c r="N370">
        <f t="shared" si="15"/>
        <v>7</v>
      </c>
      <c r="O370">
        <f t="shared" si="16"/>
        <v>2015</v>
      </c>
      <c r="P370">
        <f t="shared" si="17"/>
        <v>2015</v>
      </c>
    </row>
    <row r="371" spans="1:16" x14ac:dyDescent="0.25">
      <c r="A371" s="6" t="s">
        <v>734</v>
      </c>
      <c r="B371" t="s">
        <v>735</v>
      </c>
      <c r="C371" s="2" t="s">
        <v>23</v>
      </c>
      <c r="D371" s="5">
        <v>42064</v>
      </c>
      <c r="E371" s="2"/>
      <c r="F371" s="5">
        <v>42191</v>
      </c>
      <c r="G371" s="2"/>
      <c r="H371" s="2"/>
      <c r="I371" s="2" t="s">
        <v>314</v>
      </c>
      <c r="J371" s="2"/>
      <c r="K371" s="2"/>
      <c r="L371" s="96">
        <v>0.34794520547945207</v>
      </c>
      <c r="M371" t="b">
        <v>1</v>
      </c>
      <c r="N371">
        <f t="shared" si="15"/>
        <v>7</v>
      </c>
      <c r="O371">
        <f t="shared" si="16"/>
        <v>2015</v>
      </c>
      <c r="P371">
        <f t="shared" si="17"/>
        <v>2015</v>
      </c>
    </row>
    <row r="372" spans="1:16" x14ac:dyDescent="0.25">
      <c r="A372" s="6" t="s">
        <v>736</v>
      </c>
      <c r="B372" t="s">
        <v>737</v>
      </c>
      <c r="C372" s="2" t="s">
        <v>23</v>
      </c>
      <c r="D372" s="5">
        <v>42156</v>
      </c>
      <c r="E372" s="2"/>
      <c r="F372" s="97">
        <v>42244</v>
      </c>
      <c r="G372" s="2"/>
      <c r="H372" s="2"/>
      <c r="I372" s="2"/>
      <c r="J372" s="2"/>
      <c r="K372" s="2"/>
      <c r="L372" s="96">
        <v>0.24109589041095891</v>
      </c>
      <c r="M372" t="b">
        <v>1</v>
      </c>
      <c r="N372">
        <f t="shared" si="15"/>
        <v>8</v>
      </c>
      <c r="O372">
        <f t="shared" si="16"/>
        <v>2015</v>
      </c>
      <c r="P372">
        <f t="shared" si="17"/>
        <v>2015</v>
      </c>
    </row>
    <row r="373" spans="1:16" x14ac:dyDescent="0.25">
      <c r="A373" s="6" t="s">
        <v>738</v>
      </c>
      <c r="B373" t="s">
        <v>739</v>
      </c>
      <c r="C373" s="2" t="s">
        <v>13</v>
      </c>
      <c r="D373" s="5">
        <v>42186</v>
      </c>
      <c r="E373" s="2"/>
      <c r="F373" s="97">
        <v>42244</v>
      </c>
      <c r="G373" s="2"/>
      <c r="H373" s="2"/>
      <c r="I373" s="2"/>
      <c r="J373" s="2"/>
      <c r="K373" s="2"/>
      <c r="L373" s="96">
        <v>0.15890410958904111</v>
      </c>
      <c r="M373" t="b">
        <v>1</v>
      </c>
      <c r="N373">
        <f t="shared" si="15"/>
        <v>8</v>
      </c>
      <c r="O373">
        <f t="shared" si="16"/>
        <v>2015</v>
      </c>
      <c r="P373">
        <f t="shared" si="17"/>
        <v>2015</v>
      </c>
    </row>
    <row r="374" spans="1:16" x14ac:dyDescent="0.25">
      <c r="A374" s="6" t="s">
        <v>740</v>
      </c>
      <c r="B374" t="s">
        <v>741</v>
      </c>
      <c r="C374" s="2" t="s">
        <v>23</v>
      </c>
      <c r="D374" s="5">
        <v>42186</v>
      </c>
      <c r="E374" s="2"/>
      <c r="F374" s="5">
        <v>42227</v>
      </c>
      <c r="G374" s="2"/>
      <c r="H374" s="2"/>
      <c r="I374" s="2"/>
      <c r="J374" s="2"/>
      <c r="K374" s="2"/>
      <c r="L374" s="96">
        <v>0.11232876712328767</v>
      </c>
      <c r="M374" t="b">
        <v>1</v>
      </c>
      <c r="N374">
        <f t="shared" si="15"/>
        <v>8</v>
      </c>
      <c r="O374">
        <f t="shared" si="16"/>
        <v>2015</v>
      </c>
      <c r="P374">
        <f t="shared" si="17"/>
        <v>2015</v>
      </c>
    </row>
    <row r="375" spans="1:16" x14ac:dyDescent="0.25">
      <c r="A375" s="6" t="s">
        <v>742</v>
      </c>
      <c r="B375" t="s">
        <v>743</v>
      </c>
      <c r="C375" s="2" t="s">
        <v>13</v>
      </c>
      <c r="D375" s="5">
        <v>42156</v>
      </c>
      <c r="E375" s="2"/>
      <c r="F375" s="5">
        <v>42227</v>
      </c>
      <c r="G375" s="2"/>
      <c r="H375" s="2"/>
      <c r="I375" s="2"/>
      <c r="J375" s="2"/>
      <c r="K375" s="2"/>
      <c r="L375" s="96">
        <v>0.19452054794520549</v>
      </c>
      <c r="M375" t="b">
        <v>1</v>
      </c>
      <c r="N375">
        <f t="shared" si="15"/>
        <v>8</v>
      </c>
      <c r="O375">
        <f t="shared" si="16"/>
        <v>2015</v>
      </c>
      <c r="P375">
        <f t="shared" si="17"/>
        <v>2015</v>
      </c>
    </row>
    <row r="376" spans="1:16" x14ac:dyDescent="0.25">
      <c r="A376" s="6" t="s">
        <v>744</v>
      </c>
      <c r="B376" t="s">
        <v>745</v>
      </c>
      <c r="C376" s="2" t="s">
        <v>23</v>
      </c>
      <c r="D376" s="5">
        <v>42186</v>
      </c>
      <c r="E376" s="2"/>
      <c r="F376" s="5">
        <v>42227</v>
      </c>
      <c r="G376" s="2"/>
      <c r="H376" s="2"/>
      <c r="I376" s="2"/>
      <c r="J376" s="2"/>
      <c r="K376" s="2"/>
      <c r="L376" s="96">
        <v>0.11232876712328767</v>
      </c>
      <c r="M376" t="b">
        <v>1</v>
      </c>
      <c r="N376">
        <f t="shared" si="15"/>
        <v>8</v>
      </c>
      <c r="O376">
        <f t="shared" si="16"/>
        <v>2015</v>
      </c>
      <c r="P376">
        <f t="shared" si="17"/>
        <v>2015</v>
      </c>
    </row>
    <row r="377" spans="1:16" x14ac:dyDescent="0.25">
      <c r="A377" s="6" t="s">
        <v>746</v>
      </c>
      <c r="B377" t="s">
        <v>747</v>
      </c>
      <c r="C377" s="2" t="s">
        <v>23</v>
      </c>
      <c r="D377" s="5">
        <v>42156</v>
      </c>
      <c r="E377" s="2"/>
      <c r="F377" s="5">
        <v>42227</v>
      </c>
      <c r="G377" s="2"/>
      <c r="H377" s="2"/>
      <c r="I377" s="2"/>
      <c r="J377" s="2"/>
      <c r="K377" s="2"/>
      <c r="L377" s="96">
        <v>0.19452054794520549</v>
      </c>
      <c r="M377" t="b">
        <v>1</v>
      </c>
      <c r="N377">
        <f t="shared" si="15"/>
        <v>8</v>
      </c>
      <c r="O377">
        <f t="shared" si="16"/>
        <v>2015</v>
      </c>
      <c r="P377">
        <f t="shared" si="17"/>
        <v>2015</v>
      </c>
    </row>
    <row r="378" spans="1:16" x14ac:dyDescent="0.25">
      <c r="A378" s="6" t="s">
        <v>748</v>
      </c>
      <c r="B378" t="s">
        <v>749</v>
      </c>
      <c r="C378" s="2" t="s">
        <v>13</v>
      </c>
      <c r="D378" s="5">
        <v>42170</v>
      </c>
      <c r="E378" s="2"/>
      <c r="F378" s="5">
        <v>42213</v>
      </c>
      <c r="G378" s="2"/>
      <c r="H378" s="2"/>
      <c r="I378" s="2" t="s">
        <v>14</v>
      </c>
      <c r="J378" s="2"/>
      <c r="K378" s="2"/>
      <c r="L378" s="96">
        <v>0.11780821917808219</v>
      </c>
      <c r="M378" t="b">
        <v>1</v>
      </c>
      <c r="N378">
        <f t="shared" si="15"/>
        <v>7</v>
      </c>
      <c r="O378">
        <f t="shared" si="16"/>
        <v>2015</v>
      </c>
      <c r="P378">
        <f t="shared" si="17"/>
        <v>2015</v>
      </c>
    </row>
    <row r="379" spans="1:16" x14ac:dyDescent="0.25">
      <c r="A379" s="6" t="s">
        <v>750</v>
      </c>
      <c r="B379" t="s">
        <v>751</v>
      </c>
      <c r="C379" s="2" t="s">
        <v>13</v>
      </c>
      <c r="D379" s="5">
        <v>42170</v>
      </c>
      <c r="E379" s="2"/>
      <c r="F379" s="5">
        <v>42213</v>
      </c>
      <c r="G379" s="2"/>
      <c r="H379" s="2"/>
      <c r="I379" s="2" t="s">
        <v>14</v>
      </c>
      <c r="J379" s="2"/>
      <c r="K379" s="2"/>
      <c r="L379" s="96">
        <v>0.11780821917808219</v>
      </c>
      <c r="M379" t="b">
        <v>1</v>
      </c>
      <c r="N379">
        <f t="shared" si="15"/>
        <v>7</v>
      </c>
      <c r="O379">
        <f t="shared" si="16"/>
        <v>2015</v>
      </c>
      <c r="P379">
        <f t="shared" si="17"/>
        <v>2015</v>
      </c>
    </row>
    <row r="380" spans="1:16" x14ac:dyDescent="0.25">
      <c r="A380" s="6" t="s">
        <v>752</v>
      </c>
      <c r="B380" t="s">
        <v>753</v>
      </c>
      <c r="C380" s="2" t="s">
        <v>47</v>
      </c>
      <c r="D380" s="5">
        <v>42156</v>
      </c>
      <c r="E380" s="2"/>
      <c r="F380" s="5">
        <v>42241</v>
      </c>
      <c r="G380" s="2"/>
      <c r="H380" s="2"/>
      <c r="I380" s="2" t="s">
        <v>462</v>
      </c>
      <c r="J380" s="2"/>
      <c r="K380" s="2" t="s">
        <v>812</v>
      </c>
      <c r="L380" s="96">
        <v>0.23287671232876711</v>
      </c>
      <c r="M380" t="b">
        <v>1</v>
      </c>
      <c r="N380">
        <f t="shared" si="15"/>
        <v>8</v>
      </c>
      <c r="O380">
        <f t="shared" si="16"/>
        <v>2015</v>
      </c>
      <c r="P380">
        <f t="shared" si="17"/>
        <v>2015</v>
      </c>
    </row>
    <row r="381" spans="1:16" x14ac:dyDescent="0.25">
      <c r="A381" s="6" t="s">
        <v>754</v>
      </c>
      <c r="B381" t="s">
        <v>755</v>
      </c>
      <c r="C381" s="2" t="s">
        <v>47</v>
      </c>
      <c r="D381" s="5">
        <v>42156</v>
      </c>
      <c r="E381" s="2"/>
      <c r="F381" s="5">
        <v>42241</v>
      </c>
      <c r="G381" s="2"/>
      <c r="H381" s="2"/>
      <c r="I381" s="2" t="s">
        <v>462</v>
      </c>
      <c r="J381" s="2"/>
      <c r="K381" s="2" t="s">
        <v>812</v>
      </c>
      <c r="L381" s="96">
        <v>0.23287671232876711</v>
      </c>
      <c r="M381" t="b">
        <v>1</v>
      </c>
      <c r="N381">
        <f t="shared" si="15"/>
        <v>8</v>
      </c>
      <c r="O381">
        <f t="shared" si="16"/>
        <v>2015</v>
      </c>
      <c r="P381">
        <f t="shared" si="17"/>
        <v>2015</v>
      </c>
    </row>
    <row r="382" spans="1:16" x14ac:dyDescent="0.25">
      <c r="A382" s="6" t="s">
        <v>756</v>
      </c>
      <c r="B382" t="s">
        <v>757</v>
      </c>
      <c r="C382" s="2" t="s">
        <v>47</v>
      </c>
      <c r="D382" s="5">
        <v>42156</v>
      </c>
      <c r="E382" s="2"/>
      <c r="F382" s="5">
        <v>42241</v>
      </c>
      <c r="G382" s="2"/>
      <c r="H382" s="2"/>
      <c r="I382" s="2" t="s">
        <v>462</v>
      </c>
      <c r="J382" s="2"/>
      <c r="K382" s="2" t="s">
        <v>812</v>
      </c>
      <c r="L382" s="96">
        <v>0.23287671232876711</v>
      </c>
      <c r="M382" t="b">
        <v>1</v>
      </c>
      <c r="N382">
        <f t="shared" si="15"/>
        <v>8</v>
      </c>
      <c r="O382">
        <f t="shared" si="16"/>
        <v>2015</v>
      </c>
      <c r="P382">
        <f t="shared" si="17"/>
        <v>2015</v>
      </c>
    </row>
    <row r="383" spans="1:16" x14ac:dyDescent="0.25">
      <c r="A383" s="6" t="s">
        <v>758</v>
      </c>
      <c r="B383" t="s">
        <v>759</v>
      </c>
      <c r="C383" s="2" t="s">
        <v>47</v>
      </c>
      <c r="D383" s="5">
        <v>42231</v>
      </c>
      <c r="E383" s="2"/>
      <c r="F383" s="5">
        <v>42269</v>
      </c>
      <c r="G383" s="2"/>
      <c r="H383" s="2"/>
      <c r="I383" s="2"/>
      <c r="J383" s="2"/>
      <c r="K383" s="2"/>
      <c r="L383" s="96">
        <v>0.10410958904109589</v>
      </c>
      <c r="M383" t="b">
        <v>1</v>
      </c>
      <c r="N383">
        <f t="shared" si="15"/>
        <v>9</v>
      </c>
      <c r="O383">
        <f t="shared" si="16"/>
        <v>2015</v>
      </c>
      <c r="P383">
        <f t="shared" si="17"/>
        <v>2015</v>
      </c>
    </row>
    <row r="384" spans="1:16" x14ac:dyDescent="0.25">
      <c r="A384" s="6" t="s">
        <v>760</v>
      </c>
      <c r="B384" t="s">
        <v>761</v>
      </c>
      <c r="C384" s="2" t="s">
        <v>23</v>
      </c>
      <c r="D384" s="5">
        <v>42231</v>
      </c>
      <c r="E384" s="2"/>
      <c r="F384" s="5">
        <v>42269</v>
      </c>
      <c r="G384" s="2"/>
      <c r="H384" s="2"/>
      <c r="I384" s="2"/>
      <c r="J384" s="2"/>
      <c r="K384" s="2"/>
      <c r="L384" s="96">
        <v>0.10410958904109589</v>
      </c>
      <c r="M384" t="b">
        <v>1</v>
      </c>
      <c r="N384">
        <f t="shared" si="15"/>
        <v>9</v>
      </c>
      <c r="O384">
        <f t="shared" si="16"/>
        <v>2015</v>
      </c>
      <c r="P384">
        <f t="shared" si="17"/>
        <v>2015</v>
      </c>
    </row>
    <row r="385" spans="1:16" x14ac:dyDescent="0.25">
      <c r="A385" s="6" t="s">
        <v>762</v>
      </c>
      <c r="B385" t="s">
        <v>763</v>
      </c>
      <c r="C385" s="2" t="s">
        <v>23</v>
      </c>
      <c r="D385" s="5">
        <v>42231</v>
      </c>
      <c r="E385" s="2"/>
      <c r="F385" s="5">
        <v>42269</v>
      </c>
      <c r="G385" s="2"/>
      <c r="H385" s="2"/>
      <c r="I385" s="2"/>
      <c r="J385" s="2"/>
      <c r="K385" s="2"/>
      <c r="L385" s="96">
        <v>0.10410958904109589</v>
      </c>
      <c r="M385" t="b">
        <v>1</v>
      </c>
      <c r="N385">
        <f t="shared" si="15"/>
        <v>9</v>
      </c>
      <c r="O385">
        <f t="shared" si="16"/>
        <v>2015</v>
      </c>
      <c r="P385">
        <f t="shared" si="17"/>
        <v>2015</v>
      </c>
    </row>
    <row r="386" spans="1:16" x14ac:dyDescent="0.25">
      <c r="A386" s="6" t="s">
        <v>764</v>
      </c>
      <c r="B386" t="s">
        <v>765</v>
      </c>
      <c r="C386" s="2" t="s">
        <v>47</v>
      </c>
      <c r="D386" s="5">
        <v>42231</v>
      </c>
      <c r="E386" s="2"/>
      <c r="F386" s="5">
        <v>42269</v>
      </c>
      <c r="G386" s="2"/>
      <c r="H386" s="2"/>
      <c r="I386" s="2"/>
      <c r="J386" s="2"/>
      <c r="K386" s="2"/>
      <c r="L386" s="96">
        <v>0.10410958904109589</v>
      </c>
      <c r="M386" t="b">
        <v>1</v>
      </c>
      <c r="N386">
        <f t="shared" si="15"/>
        <v>9</v>
      </c>
      <c r="O386">
        <f t="shared" si="16"/>
        <v>2015</v>
      </c>
      <c r="P386">
        <f t="shared" si="17"/>
        <v>2015</v>
      </c>
    </row>
    <row r="387" spans="1:16" x14ac:dyDescent="0.25">
      <c r="A387" s="6" t="s">
        <v>766</v>
      </c>
      <c r="B387" t="s">
        <v>767</v>
      </c>
      <c r="C387" s="2" t="s">
        <v>13</v>
      </c>
      <c r="D387" s="5">
        <v>42200</v>
      </c>
      <c r="E387" s="2"/>
      <c r="F387" s="5">
        <v>42269</v>
      </c>
      <c r="G387" s="2"/>
      <c r="H387" s="2"/>
      <c r="I387" s="2"/>
      <c r="J387" s="2"/>
      <c r="K387" s="2"/>
      <c r="L387" s="96">
        <v>0.18904109589041096</v>
      </c>
      <c r="M387" t="b">
        <v>1</v>
      </c>
      <c r="N387">
        <f t="shared" ref="N387:N419" si="18">MONTH(F387)</f>
        <v>9</v>
      </c>
      <c r="O387">
        <f t="shared" ref="O387:O419" si="19">YEAR(F387)</f>
        <v>2015</v>
      </c>
      <c r="P387">
        <f t="shared" ref="P387:P420" si="20">YEAR(D387)</f>
        <v>2015</v>
      </c>
    </row>
    <row r="388" spans="1:16" x14ac:dyDescent="0.25">
      <c r="A388" s="6" t="s">
        <v>768</v>
      </c>
      <c r="B388" t="s">
        <v>769</v>
      </c>
      <c r="C388" s="2" t="s">
        <v>23</v>
      </c>
      <c r="D388" s="5">
        <v>42200</v>
      </c>
      <c r="E388" s="2"/>
      <c r="F388" s="5">
        <v>42269</v>
      </c>
      <c r="G388" s="2"/>
      <c r="H388" s="2" t="s">
        <v>810</v>
      </c>
      <c r="I388" s="2"/>
      <c r="J388" s="2"/>
      <c r="K388" s="2"/>
      <c r="L388" s="96">
        <v>0.18904109589041096</v>
      </c>
      <c r="M388" t="b">
        <v>1</v>
      </c>
      <c r="N388">
        <f t="shared" si="18"/>
        <v>9</v>
      </c>
      <c r="O388">
        <f t="shared" si="19"/>
        <v>2015</v>
      </c>
      <c r="P388">
        <f t="shared" si="20"/>
        <v>2015</v>
      </c>
    </row>
    <row r="389" spans="1:16" x14ac:dyDescent="0.25">
      <c r="A389" s="2" t="s">
        <v>509</v>
      </c>
      <c r="B389" t="s">
        <v>510</v>
      </c>
      <c r="C389" s="2" t="s">
        <v>23</v>
      </c>
      <c r="D389" s="5">
        <v>42095</v>
      </c>
      <c r="E389" s="2"/>
      <c r="F389" s="97">
        <v>42213</v>
      </c>
      <c r="G389" s="2"/>
      <c r="H389" s="2"/>
      <c r="I389" s="2" t="s">
        <v>511</v>
      </c>
      <c r="J389" s="2"/>
      <c r="K389" s="2"/>
      <c r="L389" s="96">
        <v>0.32328767123287672</v>
      </c>
      <c r="M389" t="b">
        <v>1</v>
      </c>
      <c r="N389">
        <f t="shared" si="18"/>
        <v>7</v>
      </c>
      <c r="O389">
        <f t="shared" si="19"/>
        <v>2015</v>
      </c>
      <c r="P389">
        <f t="shared" si="20"/>
        <v>2015</v>
      </c>
    </row>
    <row r="390" spans="1:16" x14ac:dyDescent="0.25">
      <c r="A390" s="2" t="s">
        <v>512</v>
      </c>
      <c r="B390" t="s">
        <v>513</v>
      </c>
      <c r="C390" s="2" t="s">
        <v>13</v>
      </c>
      <c r="D390" s="5">
        <v>42095</v>
      </c>
      <c r="E390" s="2"/>
      <c r="F390" s="97">
        <v>42213</v>
      </c>
      <c r="G390" s="2"/>
      <c r="H390" s="2"/>
      <c r="I390" s="2" t="s">
        <v>511</v>
      </c>
      <c r="J390" s="2"/>
      <c r="K390" s="2"/>
      <c r="L390" s="96">
        <v>0.32328767123287672</v>
      </c>
      <c r="M390" t="b">
        <v>1</v>
      </c>
      <c r="N390">
        <f t="shared" si="18"/>
        <v>7</v>
      </c>
      <c r="O390">
        <f t="shared" si="19"/>
        <v>2015</v>
      </c>
      <c r="P390">
        <f t="shared" si="20"/>
        <v>2015</v>
      </c>
    </row>
    <row r="391" spans="1:16" x14ac:dyDescent="0.25">
      <c r="A391" s="2" t="s">
        <v>280</v>
      </c>
      <c r="B391" t="s">
        <v>281</v>
      </c>
      <c r="C391" s="2" t="s">
        <v>13</v>
      </c>
      <c r="D391" s="5">
        <v>39965</v>
      </c>
      <c r="E391" s="2"/>
      <c r="F391" s="97">
        <v>42305</v>
      </c>
      <c r="G391" s="2"/>
      <c r="H391" s="2"/>
      <c r="I391" s="2"/>
      <c r="J391" s="2"/>
      <c r="K391" s="2" t="s">
        <v>881</v>
      </c>
      <c r="L391" s="96">
        <v>6.4109589041095889</v>
      </c>
      <c r="M391" t="b">
        <v>1</v>
      </c>
      <c r="N391">
        <f t="shared" si="18"/>
        <v>10</v>
      </c>
      <c r="O391">
        <f t="shared" si="19"/>
        <v>2015</v>
      </c>
      <c r="P391">
        <f t="shared" si="20"/>
        <v>2009</v>
      </c>
    </row>
    <row r="392" spans="1:16" x14ac:dyDescent="0.25">
      <c r="A392" s="2" t="s">
        <v>282</v>
      </c>
      <c r="B392" t="s">
        <v>283</v>
      </c>
      <c r="C392" s="2" t="s">
        <v>13</v>
      </c>
      <c r="D392" s="5">
        <v>37257</v>
      </c>
      <c r="E392" s="2"/>
      <c r="F392" s="97">
        <v>42305</v>
      </c>
      <c r="G392" s="2"/>
      <c r="H392" s="2"/>
      <c r="I392" s="2"/>
      <c r="J392" s="2"/>
      <c r="K392" s="2" t="s">
        <v>881</v>
      </c>
      <c r="L392" s="96">
        <v>13.830136986301369</v>
      </c>
      <c r="M392" t="b">
        <v>1</v>
      </c>
      <c r="N392">
        <f t="shared" si="18"/>
        <v>10</v>
      </c>
      <c r="O392">
        <f t="shared" si="19"/>
        <v>2015</v>
      </c>
      <c r="P392">
        <f t="shared" si="20"/>
        <v>2002</v>
      </c>
    </row>
    <row r="393" spans="1:16" x14ac:dyDescent="0.25">
      <c r="A393" s="2" t="s">
        <v>284</v>
      </c>
      <c r="B393" t="s">
        <v>285</v>
      </c>
      <c r="C393" s="2" t="s">
        <v>13</v>
      </c>
      <c r="D393" s="5">
        <v>38883</v>
      </c>
      <c r="E393" s="2"/>
      <c r="F393" s="97">
        <v>42305</v>
      </c>
      <c r="G393" s="2"/>
      <c r="H393" s="2"/>
      <c r="I393" s="2"/>
      <c r="J393" s="2"/>
      <c r="K393" s="2" t="s">
        <v>881</v>
      </c>
      <c r="L393" s="96">
        <v>9.375342465753425</v>
      </c>
      <c r="M393" t="b">
        <v>1</v>
      </c>
      <c r="N393">
        <f t="shared" si="18"/>
        <v>10</v>
      </c>
      <c r="O393">
        <f t="shared" si="19"/>
        <v>2015</v>
      </c>
      <c r="P393">
        <f t="shared" si="20"/>
        <v>2006</v>
      </c>
    </row>
    <row r="394" spans="1:16" x14ac:dyDescent="0.25">
      <c r="A394" s="2" t="s">
        <v>286</v>
      </c>
      <c r="B394" t="s">
        <v>287</v>
      </c>
      <c r="C394" s="2" t="s">
        <v>13</v>
      </c>
      <c r="D394" s="5">
        <v>41548</v>
      </c>
      <c r="E394" s="2"/>
      <c r="F394" s="5">
        <v>42292</v>
      </c>
      <c r="G394" s="2"/>
      <c r="H394" s="2"/>
      <c r="I394" s="2" t="s">
        <v>284</v>
      </c>
      <c r="J394" s="2"/>
      <c r="K394" s="2"/>
      <c r="L394" s="96">
        <v>2.0383561643835617</v>
      </c>
      <c r="M394" t="b">
        <v>1</v>
      </c>
      <c r="N394">
        <f t="shared" si="18"/>
        <v>10</v>
      </c>
      <c r="O394">
        <f t="shared" si="19"/>
        <v>2015</v>
      </c>
      <c r="P394">
        <f t="shared" si="20"/>
        <v>2013</v>
      </c>
    </row>
    <row r="395" spans="1:16" x14ac:dyDescent="0.25">
      <c r="A395" s="2" t="s">
        <v>144</v>
      </c>
      <c r="B395" t="s">
        <v>145</v>
      </c>
      <c r="C395" s="2" t="s">
        <v>13</v>
      </c>
      <c r="D395" s="5">
        <v>40613</v>
      </c>
      <c r="E395" s="2"/>
      <c r="F395" s="5">
        <v>41545</v>
      </c>
      <c r="G395" s="2"/>
      <c r="H395" s="2"/>
      <c r="I395" s="2" t="s">
        <v>141</v>
      </c>
      <c r="J395" s="2"/>
      <c r="K395" s="2"/>
      <c r="L395" s="96">
        <v>2.5534246575342467</v>
      </c>
      <c r="M395" t="b">
        <v>1</v>
      </c>
      <c r="N395">
        <f t="shared" si="18"/>
        <v>9</v>
      </c>
      <c r="O395">
        <f t="shared" si="19"/>
        <v>2013</v>
      </c>
      <c r="P395">
        <f t="shared" si="20"/>
        <v>2011</v>
      </c>
    </row>
    <row r="396" spans="1:16" x14ac:dyDescent="0.25">
      <c r="A396" s="2" t="s">
        <v>146</v>
      </c>
      <c r="B396" t="s">
        <v>147</v>
      </c>
      <c r="C396" s="2" t="s">
        <v>13</v>
      </c>
      <c r="D396" s="5">
        <v>40613</v>
      </c>
      <c r="E396" s="2"/>
      <c r="F396" s="5">
        <v>41545</v>
      </c>
      <c r="G396" s="2"/>
      <c r="H396" s="2"/>
      <c r="I396" s="2" t="s">
        <v>141</v>
      </c>
      <c r="J396" s="2"/>
      <c r="K396" s="2"/>
      <c r="L396" s="96">
        <v>2.5534246575342467</v>
      </c>
      <c r="M396" t="b">
        <v>1</v>
      </c>
      <c r="N396">
        <f t="shared" si="18"/>
        <v>9</v>
      </c>
      <c r="O396">
        <f t="shared" si="19"/>
        <v>2013</v>
      </c>
      <c r="P396">
        <f t="shared" si="20"/>
        <v>2011</v>
      </c>
    </row>
    <row r="397" spans="1:16" x14ac:dyDescent="0.25">
      <c r="A397" s="2" t="s">
        <v>770</v>
      </c>
      <c r="B397" s="2" t="s">
        <v>414</v>
      </c>
      <c r="C397" s="2" t="s">
        <v>13</v>
      </c>
      <c r="D397" s="5">
        <v>39264</v>
      </c>
      <c r="E397" s="2"/>
      <c r="F397" s="97">
        <v>42244</v>
      </c>
      <c r="G397" s="2"/>
      <c r="H397" s="2"/>
      <c r="I397" s="2"/>
      <c r="J397" s="2"/>
      <c r="K397" s="2" t="s">
        <v>881</v>
      </c>
      <c r="L397" s="96">
        <v>8.1643835616438363</v>
      </c>
      <c r="M397" t="b">
        <v>1</v>
      </c>
      <c r="N397">
        <f t="shared" si="18"/>
        <v>8</v>
      </c>
      <c r="O397">
        <f t="shared" si="19"/>
        <v>2015</v>
      </c>
      <c r="P397">
        <f t="shared" si="20"/>
        <v>2007</v>
      </c>
    </row>
    <row r="398" spans="1:16" x14ac:dyDescent="0.25">
      <c r="A398" s="2" t="s">
        <v>771</v>
      </c>
      <c r="B398" s="2" t="s">
        <v>772</v>
      </c>
      <c r="C398" s="2" t="s">
        <v>13</v>
      </c>
      <c r="D398" s="5">
        <v>39814</v>
      </c>
      <c r="E398" s="2"/>
      <c r="F398" s="97">
        <v>42244</v>
      </c>
      <c r="G398" s="2"/>
      <c r="H398" s="2"/>
      <c r="I398" s="2"/>
      <c r="J398" s="2"/>
      <c r="K398" s="2" t="s">
        <v>881</v>
      </c>
      <c r="L398" s="96">
        <v>6.6575342465753424</v>
      </c>
      <c r="M398" t="b">
        <v>1</v>
      </c>
      <c r="N398">
        <f t="shared" si="18"/>
        <v>8</v>
      </c>
      <c r="O398">
        <f t="shared" si="19"/>
        <v>2015</v>
      </c>
      <c r="P398">
        <f t="shared" si="20"/>
        <v>2009</v>
      </c>
    </row>
    <row r="399" spans="1:16" x14ac:dyDescent="0.25">
      <c r="A399" s="2" t="s">
        <v>773</v>
      </c>
      <c r="B399" s="2" t="s">
        <v>774</v>
      </c>
      <c r="C399" s="2" t="s">
        <v>13</v>
      </c>
      <c r="D399" s="5">
        <v>38930</v>
      </c>
      <c r="E399" s="2"/>
      <c r="F399" s="97">
        <v>42244</v>
      </c>
      <c r="G399" s="2"/>
      <c r="H399" s="2"/>
      <c r="I399" s="2"/>
      <c r="J399" s="2"/>
      <c r="K399" s="2" t="s">
        <v>881</v>
      </c>
      <c r="L399" s="96">
        <v>9.0794520547945208</v>
      </c>
      <c r="M399" t="b">
        <v>1</v>
      </c>
      <c r="N399">
        <f t="shared" si="18"/>
        <v>8</v>
      </c>
      <c r="O399">
        <f t="shared" si="19"/>
        <v>2015</v>
      </c>
      <c r="P399">
        <f t="shared" si="20"/>
        <v>2006</v>
      </c>
    </row>
    <row r="400" spans="1:16" x14ac:dyDescent="0.25">
      <c r="A400" t="s">
        <v>775</v>
      </c>
      <c r="B400" t="s">
        <v>776</v>
      </c>
      <c r="C400" s="2" t="s">
        <v>23</v>
      </c>
      <c r="D400" s="5">
        <v>42078</v>
      </c>
      <c r="E400" s="2"/>
      <c r="F400" s="5">
        <v>42231</v>
      </c>
      <c r="G400" s="2"/>
      <c r="H400" s="2"/>
      <c r="I400" s="2"/>
      <c r="J400" s="2"/>
      <c r="K400" s="2"/>
      <c r="L400" s="96">
        <v>0.41917808219178082</v>
      </c>
      <c r="M400" t="b">
        <v>1</v>
      </c>
      <c r="N400">
        <f t="shared" si="18"/>
        <v>8</v>
      </c>
      <c r="O400">
        <f t="shared" si="19"/>
        <v>2015</v>
      </c>
      <c r="P400">
        <f t="shared" si="20"/>
        <v>2015</v>
      </c>
    </row>
    <row r="401" spans="1:16" x14ac:dyDescent="0.25">
      <c r="A401" t="s">
        <v>777</v>
      </c>
      <c r="B401" t="s">
        <v>778</v>
      </c>
      <c r="C401" s="2" t="s">
        <v>13</v>
      </c>
      <c r="D401" s="5">
        <v>42139</v>
      </c>
      <c r="E401" s="2"/>
      <c r="F401" s="5">
        <v>42231</v>
      </c>
      <c r="G401" s="2"/>
      <c r="H401" s="2"/>
      <c r="I401" s="2"/>
      <c r="J401" s="2"/>
      <c r="K401" s="2"/>
      <c r="L401" s="96">
        <v>0.25205479452054796</v>
      </c>
      <c r="M401" t="b">
        <v>1</v>
      </c>
      <c r="N401">
        <f t="shared" si="18"/>
        <v>8</v>
      </c>
      <c r="O401">
        <f t="shared" si="19"/>
        <v>2015</v>
      </c>
      <c r="P401">
        <f t="shared" si="20"/>
        <v>2015</v>
      </c>
    </row>
    <row r="402" spans="1:16" x14ac:dyDescent="0.25">
      <c r="A402" t="s">
        <v>779</v>
      </c>
      <c r="B402" t="s">
        <v>780</v>
      </c>
      <c r="C402" s="2" t="s">
        <v>13</v>
      </c>
      <c r="D402" s="5">
        <v>42139</v>
      </c>
      <c r="E402" s="2"/>
      <c r="F402" s="5">
        <v>42231</v>
      </c>
      <c r="G402" s="2"/>
      <c r="H402" s="2"/>
      <c r="I402" s="2"/>
      <c r="J402" s="2"/>
      <c r="K402" s="2"/>
      <c r="L402" s="96">
        <v>0.25205479452054796</v>
      </c>
      <c r="M402" t="b">
        <v>1</v>
      </c>
      <c r="N402">
        <f t="shared" si="18"/>
        <v>8</v>
      </c>
      <c r="O402">
        <f t="shared" si="19"/>
        <v>2015</v>
      </c>
      <c r="P402">
        <f t="shared" si="20"/>
        <v>2015</v>
      </c>
    </row>
    <row r="403" spans="1:16" x14ac:dyDescent="0.25">
      <c r="A403" t="s">
        <v>781</v>
      </c>
      <c r="B403" t="s">
        <v>782</v>
      </c>
      <c r="C403" s="2" t="s">
        <v>47</v>
      </c>
      <c r="D403" s="5">
        <v>42078</v>
      </c>
      <c r="E403" s="2"/>
      <c r="F403" s="5">
        <v>42231</v>
      </c>
      <c r="G403" s="2"/>
      <c r="H403" s="2"/>
      <c r="I403" s="2"/>
      <c r="J403" s="2"/>
      <c r="K403" s="2"/>
      <c r="L403" s="96">
        <v>0.41917808219178082</v>
      </c>
      <c r="M403" t="b">
        <v>1</v>
      </c>
      <c r="N403">
        <f t="shared" si="18"/>
        <v>8</v>
      </c>
      <c r="O403">
        <f t="shared" si="19"/>
        <v>2015</v>
      </c>
      <c r="P403">
        <f t="shared" si="20"/>
        <v>2015</v>
      </c>
    </row>
    <row r="404" spans="1:16" x14ac:dyDescent="0.25">
      <c r="A404" t="s">
        <v>783</v>
      </c>
      <c r="B404" t="s">
        <v>784</v>
      </c>
      <c r="C404" s="2" t="s">
        <v>13</v>
      </c>
      <c r="D404" s="5">
        <v>42095</v>
      </c>
      <c r="E404" s="2"/>
      <c r="F404" s="5">
        <v>42231</v>
      </c>
      <c r="G404" s="2"/>
      <c r="H404" s="2"/>
      <c r="I404" s="2"/>
      <c r="J404" s="2"/>
      <c r="K404" s="2"/>
      <c r="L404" s="96">
        <v>0.37260273972602742</v>
      </c>
      <c r="M404" t="b">
        <v>1</v>
      </c>
      <c r="N404">
        <f t="shared" si="18"/>
        <v>8</v>
      </c>
      <c r="O404">
        <f t="shared" si="19"/>
        <v>2015</v>
      </c>
      <c r="P404">
        <f t="shared" si="20"/>
        <v>2015</v>
      </c>
    </row>
    <row r="405" spans="1:16" x14ac:dyDescent="0.25">
      <c r="A405" t="s">
        <v>785</v>
      </c>
      <c r="B405" t="s">
        <v>786</v>
      </c>
      <c r="C405" s="2" t="s">
        <v>13</v>
      </c>
      <c r="D405" s="5">
        <v>42139</v>
      </c>
      <c r="E405" s="2"/>
      <c r="F405" s="5">
        <v>42231</v>
      </c>
      <c r="G405" s="2"/>
      <c r="H405" s="2"/>
      <c r="I405" s="2"/>
      <c r="J405" s="2"/>
      <c r="K405" s="2"/>
      <c r="L405" s="96">
        <v>0.25205479452054796</v>
      </c>
      <c r="M405" t="b">
        <v>1</v>
      </c>
      <c r="N405">
        <f t="shared" si="18"/>
        <v>8</v>
      </c>
      <c r="O405">
        <f t="shared" si="19"/>
        <v>2015</v>
      </c>
      <c r="P405">
        <f t="shared" si="20"/>
        <v>2015</v>
      </c>
    </row>
    <row r="406" spans="1:16" x14ac:dyDescent="0.25">
      <c r="A406" t="s">
        <v>787</v>
      </c>
      <c r="B406" t="s">
        <v>788</v>
      </c>
      <c r="C406" s="2" t="s">
        <v>23</v>
      </c>
      <c r="D406" s="5">
        <v>42095</v>
      </c>
      <c r="E406" s="2"/>
      <c r="F406" s="5">
        <v>42231</v>
      </c>
      <c r="G406" s="2"/>
      <c r="H406" s="2"/>
      <c r="I406" s="2"/>
      <c r="J406" s="2"/>
      <c r="K406" s="2"/>
      <c r="L406" s="96">
        <v>0.37260273972602742</v>
      </c>
      <c r="M406" t="b">
        <v>1</v>
      </c>
      <c r="N406">
        <f t="shared" si="18"/>
        <v>8</v>
      </c>
      <c r="O406">
        <f t="shared" si="19"/>
        <v>2015</v>
      </c>
      <c r="P406">
        <f t="shared" si="20"/>
        <v>2015</v>
      </c>
    </row>
    <row r="407" spans="1:16" x14ac:dyDescent="0.25">
      <c r="A407" t="s">
        <v>789</v>
      </c>
      <c r="B407" t="s">
        <v>790</v>
      </c>
      <c r="C407" s="2" t="s">
        <v>23</v>
      </c>
      <c r="D407" s="5">
        <v>39448</v>
      </c>
      <c r="E407" s="2"/>
      <c r="F407" s="97">
        <v>41545</v>
      </c>
      <c r="G407" s="2"/>
      <c r="H407" s="2"/>
      <c r="I407" s="2"/>
      <c r="J407" s="2"/>
      <c r="K407" s="2" t="s">
        <v>881</v>
      </c>
      <c r="L407" s="96">
        <v>5.7452054794520544</v>
      </c>
      <c r="M407" t="b">
        <v>1</v>
      </c>
      <c r="N407">
        <f t="shared" si="18"/>
        <v>9</v>
      </c>
      <c r="O407">
        <f t="shared" si="19"/>
        <v>2013</v>
      </c>
      <c r="P407">
        <f t="shared" si="20"/>
        <v>2008</v>
      </c>
    </row>
    <row r="408" spans="1:16" x14ac:dyDescent="0.25">
      <c r="A408" t="s">
        <v>791</v>
      </c>
      <c r="B408" t="s">
        <v>792</v>
      </c>
      <c r="C408" s="2" t="s">
        <v>23</v>
      </c>
      <c r="D408" s="5">
        <v>40709</v>
      </c>
      <c r="E408" s="2"/>
      <c r="F408" s="97">
        <v>42305</v>
      </c>
      <c r="G408" s="2"/>
      <c r="H408" s="2"/>
      <c r="I408" s="2"/>
      <c r="J408" s="2"/>
      <c r="K408" s="2" t="s">
        <v>881</v>
      </c>
      <c r="L408" s="96">
        <v>4.3726027397260276</v>
      </c>
      <c r="M408" t="b">
        <v>1</v>
      </c>
      <c r="N408">
        <f t="shared" si="18"/>
        <v>10</v>
      </c>
      <c r="O408">
        <f t="shared" si="19"/>
        <v>2015</v>
      </c>
      <c r="P408">
        <f t="shared" si="20"/>
        <v>2011</v>
      </c>
    </row>
    <row r="409" spans="1:16" x14ac:dyDescent="0.25">
      <c r="A409" t="s">
        <v>793</v>
      </c>
      <c r="B409" t="s">
        <v>794</v>
      </c>
      <c r="C409" s="2" t="s">
        <v>23</v>
      </c>
      <c r="D409" s="5">
        <v>41091</v>
      </c>
      <c r="E409" s="2"/>
      <c r="F409" s="97">
        <v>42213</v>
      </c>
      <c r="G409" s="2"/>
      <c r="H409" s="2"/>
      <c r="I409" s="2"/>
      <c r="J409" s="2"/>
      <c r="K409" s="2" t="s">
        <v>881</v>
      </c>
      <c r="L409" s="96">
        <v>3.0739726027397261</v>
      </c>
      <c r="M409" t="b">
        <v>1</v>
      </c>
      <c r="N409">
        <f t="shared" si="18"/>
        <v>7</v>
      </c>
      <c r="O409">
        <f t="shared" si="19"/>
        <v>2015</v>
      </c>
      <c r="P409">
        <f t="shared" si="20"/>
        <v>2012</v>
      </c>
    </row>
    <row r="410" spans="1:16" x14ac:dyDescent="0.25">
      <c r="A410" t="s">
        <v>795</v>
      </c>
      <c r="B410" t="s">
        <v>796</v>
      </c>
      <c r="C410" s="2" t="s">
        <v>23</v>
      </c>
      <c r="D410" s="5">
        <v>41091</v>
      </c>
      <c r="E410" s="2"/>
      <c r="F410" s="97">
        <v>42213</v>
      </c>
      <c r="G410" s="2"/>
      <c r="H410" s="2"/>
      <c r="I410" s="2"/>
      <c r="J410" s="2"/>
      <c r="K410" s="2" t="s">
        <v>881</v>
      </c>
      <c r="L410" s="96">
        <v>3.0739726027397261</v>
      </c>
      <c r="M410" t="b">
        <v>1</v>
      </c>
      <c r="N410">
        <f t="shared" si="18"/>
        <v>7</v>
      </c>
      <c r="O410">
        <f t="shared" si="19"/>
        <v>2015</v>
      </c>
      <c r="P410">
        <f t="shared" si="20"/>
        <v>2012</v>
      </c>
    </row>
    <row r="411" spans="1:16" x14ac:dyDescent="0.25">
      <c r="A411" t="s">
        <v>797</v>
      </c>
      <c r="B411" t="s">
        <v>798</v>
      </c>
      <c r="C411" s="2" t="s">
        <v>23</v>
      </c>
      <c r="D411" s="5">
        <v>41091</v>
      </c>
      <c r="E411" s="2"/>
      <c r="F411" s="97">
        <v>42213</v>
      </c>
      <c r="G411" s="2"/>
      <c r="H411" s="2"/>
      <c r="I411" s="2"/>
      <c r="J411" s="2"/>
      <c r="K411" s="2" t="s">
        <v>881</v>
      </c>
      <c r="L411" s="96">
        <v>3.0739726027397261</v>
      </c>
      <c r="M411" t="b">
        <v>1</v>
      </c>
      <c r="N411">
        <f t="shared" si="18"/>
        <v>7</v>
      </c>
      <c r="O411">
        <f t="shared" si="19"/>
        <v>2015</v>
      </c>
      <c r="P411">
        <f t="shared" si="20"/>
        <v>2012</v>
      </c>
    </row>
    <row r="412" spans="1:16" x14ac:dyDescent="0.25">
      <c r="A412" t="s">
        <v>799</v>
      </c>
      <c r="B412" t="s">
        <v>800</v>
      </c>
      <c r="C412" s="2" t="s">
        <v>23</v>
      </c>
      <c r="D412" s="5">
        <v>40705</v>
      </c>
      <c r="E412" s="2"/>
      <c r="F412" s="97">
        <v>42244</v>
      </c>
      <c r="G412" s="2"/>
      <c r="H412" s="2"/>
      <c r="I412" s="2"/>
      <c r="J412" s="2"/>
      <c r="K412" s="2" t="s">
        <v>881</v>
      </c>
      <c r="L412" s="96">
        <v>4.2164383561643834</v>
      </c>
      <c r="M412" t="b">
        <v>1</v>
      </c>
      <c r="N412">
        <f t="shared" si="18"/>
        <v>8</v>
      </c>
      <c r="O412">
        <f t="shared" si="19"/>
        <v>2015</v>
      </c>
      <c r="P412">
        <f t="shared" si="20"/>
        <v>2011</v>
      </c>
    </row>
    <row r="413" spans="1:16" x14ac:dyDescent="0.25">
      <c r="A413" t="s">
        <v>801</v>
      </c>
      <c r="B413" t="s">
        <v>802</v>
      </c>
      <c r="C413" s="2" t="s">
        <v>23</v>
      </c>
      <c r="D413" s="5">
        <v>39417</v>
      </c>
      <c r="E413" s="2"/>
      <c r="F413" s="97">
        <v>42152</v>
      </c>
      <c r="G413" s="2"/>
      <c r="H413" s="2"/>
      <c r="I413" s="2"/>
      <c r="J413" s="2"/>
      <c r="K413" s="2" t="s">
        <v>881</v>
      </c>
      <c r="L413" s="96">
        <v>7.493150684931507</v>
      </c>
      <c r="M413" t="b">
        <v>1</v>
      </c>
      <c r="N413">
        <f t="shared" si="18"/>
        <v>5</v>
      </c>
      <c r="O413">
        <f t="shared" si="19"/>
        <v>2015</v>
      </c>
      <c r="P413">
        <f t="shared" si="20"/>
        <v>2007</v>
      </c>
    </row>
    <row r="414" spans="1:16" x14ac:dyDescent="0.25">
      <c r="A414" t="s">
        <v>803</v>
      </c>
      <c r="B414" t="s">
        <v>804</v>
      </c>
      <c r="C414" s="2" t="s">
        <v>23</v>
      </c>
      <c r="D414" s="5">
        <v>39248</v>
      </c>
      <c r="E414" s="2"/>
      <c r="F414" s="97">
        <v>42152</v>
      </c>
      <c r="G414" s="2"/>
      <c r="H414" s="2"/>
      <c r="I414" s="2"/>
      <c r="J414" s="2"/>
      <c r="K414" s="2" t="s">
        <v>881</v>
      </c>
      <c r="L414" s="96">
        <v>7.956164383561644</v>
      </c>
      <c r="M414" t="b">
        <v>1</v>
      </c>
      <c r="N414">
        <f t="shared" si="18"/>
        <v>5</v>
      </c>
      <c r="O414">
        <f t="shared" si="19"/>
        <v>2015</v>
      </c>
      <c r="P414">
        <f t="shared" si="20"/>
        <v>2007</v>
      </c>
    </row>
    <row r="415" spans="1:16" x14ac:dyDescent="0.25">
      <c r="A415" s="2" t="s">
        <v>805</v>
      </c>
      <c r="B415" s="2" t="s">
        <v>412</v>
      </c>
      <c r="C415" s="2" t="s">
        <v>13</v>
      </c>
      <c r="D415" s="5">
        <v>37781</v>
      </c>
      <c r="E415" s="2"/>
      <c r="F415" s="97">
        <v>42244</v>
      </c>
      <c r="G415" s="2"/>
      <c r="H415" s="2"/>
      <c r="I415" s="2"/>
      <c r="J415" s="2"/>
      <c r="K415" s="2" t="s">
        <v>881</v>
      </c>
      <c r="L415" s="96">
        <v>12.227397260273973</v>
      </c>
      <c r="M415" t="b">
        <v>1</v>
      </c>
      <c r="N415">
        <f t="shared" si="18"/>
        <v>8</v>
      </c>
      <c r="O415">
        <f t="shared" si="19"/>
        <v>2015</v>
      </c>
      <c r="P415">
        <f t="shared" si="20"/>
        <v>2003</v>
      </c>
    </row>
    <row r="416" spans="1:16" x14ac:dyDescent="0.25">
      <c r="A416" t="s">
        <v>806</v>
      </c>
      <c r="B416" s="2" t="s">
        <v>807</v>
      </c>
      <c r="C416" s="2" t="s">
        <v>13</v>
      </c>
      <c r="D416" s="5">
        <v>37622</v>
      </c>
      <c r="E416" s="2"/>
      <c r="F416" s="97">
        <v>41910</v>
      </c>
      <c r="G416" s="2"/>
      <c r="H416" s="2"/>
      <c r="I416" s="2"/>
      <c r="J416" s="2"/>
      <c r="K416" s="2" t="s">
        <v>881</v>
      </c>
      <c r="L416" s="96">
        <v>11.747945205479452</v>
      </c>
      <c r="M416" t="b">
        <v>1</v>
      </c>
      <c r="N416">
        <f t="shared" si="18"/>
        <v>9</v>
      </c>
      <c r="O416">
        <f t="shared" si="19"/>
        <v>2014</v>
      </c>
      <c r="P416">
        <f t="shared" si="20"/>
        <v>2003</v>
      </c>
    </row>
    <row r="417" spans="1:16" x14ac:dyDescent="0.25">
      <c r="A417" s="2" t="s">
        <v>369</v>
      </c>
      <c r="B417" t="s">
        <v>370</v>
      </c>
      <c r="C417" s="2" t="s">
        <v>13</v>
      </c>
      <c r="D417" s="5">
        <v>38353</v>
      </c>
      <c r="E417" s="2"/>
      <c r="F417" s="97">
        <v>42213</v>
      </c>
      <c r="G417" s="2"/>
      <c r="H417" s="2"/>
      <c r="I417" s="2"/>
      <c r="J417" s="2"/>
      <c r="K417" s="2" t="s">
        <v>881</v>
      </c>
      <c r="L417" s="96">
        <v>10.575342465753424</v>
      </c>
      <c r="M417" t="b">
        <v>1</v>
      </c>
      <c r="N417">
        <f t="shared" si="18"/>
        <v>7</v>
      </c>
      <c r="O417">
        <f t="shared" si="19"/>
        <v>2015</v>
      </c>
      <c r="P417">
        <f t="shared" si="20"/>
        <v>2005</v>
      </c>
    </row>
    <row r="418" spans="1:16" x14ac:dyDescent="0.25">
      <c r="A418" t="s">
        <v>808</v>
      </c>
      <c r="B418" t="s">
        <v>809</v>
      </c>
      <c r="C418" s="2" t="s">
        <v>13</v>
      </c>
      <c r="D418" s="5">
        <v>42078</v>
      </c>
      <c r="E418" s="2"/>
      <c r="F418" s="5">
        <v>42231</v>
      </c>
      <c r="G418" s="2"/>
      <c r="H418" s="2"/>
      <c r="I418" s="2"/>
      <c r="J418" s="2"/>
      <c r="K418" s="2"/>
      <c r="L418" s="96">
        <v>0.41917808219178082</v>
      </c>
      <c r="M418" t="b">
        <v>1</v>
      </c>
      <c r="N418">
        <f t="shared" si="18"/>
        <v>8</v>
      </c>
      <c r="O418">
        <f t="shared" si="19"/>
        <v>2015</v>
      </c>
      <c r="P418">
        <f t="shared" si="20"/>
        <v>2015</v>
      </c>
    </row>
    <row r="419" spans="1:16" x14ac:dyDescent="0.25">
      <c r="A419" s="2" t="s">
        <v>218</v>
      </c>
      <c r="B419" s="2" t="s">
        <v>219</v>
      </c>
      <c r="C419" s="2" t="s">
        <v>47</v>
      </c>
      <c r="D419" s="97">
        <v>41527</v>
      </c>
      <c r="E419" s="2"/>
      <c r="F419" s="97">
        <v>41575</v>
      </c>
      <c r="G419" s="2"/>
      <c r="H419" s="2"/>
      <c r="I419" s="2"/>
      <c r="J419" s="2"/>
      <c r="K419" s="2" t="s">
        <v>887</v>
      </c>
      <c r="L419" s="96" t="s">
        <v>47</v>
      </c>
      <c r="M419" t="b">
        <v>1</v>
      </c>
      <c r="N419">
        <f t="shared" si="18"/>
        <v>10</v>
      </c>
      <c r="O419">
        <f t="shared" si="19"/>
        <v>2013</v>
      </c>
      <c r="P419" s="96" t="s">
        <v>47</v>
      </c>
    </row>
    <row r="420" spans="1:16" x14ac:dyDescent="0.25">
      <c r="A420" t="s">
        <v>827</v>
      </c>
      <c r="B420" t="s">
        <v>829</v>
      </c>
      <c r="C420" s="2" t="s">
        <v>13</v>
      </c>
      <c r="D420" s="97">
        <v>42415</v>
      </c>
      <c r="F420" t="s">
        <v>47</v>
      </c>
      <c r="L420" s="96" t="s">
        <v>47</v>
      </c>
      <c r="M420" t="b">
        <v>0</v>
      </c>
      <c r="N420" s="96" t="s">
        <v>47</v>
      </c>
      <c r="O420" s="96" t="s">
        <v>47</v>
      </c>
      <c r="P420">
        <f t="shared" si="20"/>
        <v>2016</v>
      </c>
    </row>
    <row r="421" spans="1:16" x14ac:dyDescent="0.25">
      <c r="A421" t="s">
        <v>828</v>
      </c>
      <c r="B421" t="s">
        <v>829</v>
      </c>
      <c r="C421" s="2" t="s">
        <v>23</v>
      </c>
      <c r="D421" s="97" t="s">
        <v>47</v>
      </c>
      <c r="F421" t="s">
        <v>47</v>
      </c>
      <c r="L421" s="96" t="s">
        <v>47</v>
      </c>
      <c r="M421" t="b">
        <v>0</v>
      </c>
      <c r="N421" s="96" t="s">
        <v>47</v>
      </c>
      <c r="O421" s="96" t="s">
        <v>47</v>
      </c>
      <c r="P421" s="96" t="s">
        <v>47</v>
      </c>
    </row>
  </sheetData>
  <sortState xmlns:xlrd2="http://schemas.microsoft.com/office/spreadsheetml/2017/richdata2" ref="A2:L419">
    <sortCondition ref="A2:A419"/>
  </sortState>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A1:O232"/>
  <sheetViews>
    <sheetView zoomScale="70" zoomScaleNormal="70" workbookViewId="0">
      <pane ySplit="1" topLeftCell="A59" activePane="bottomLeft" state="frozen"/>
      <selection pane="bottomLeft" activeCell="A82" sqref="A82:XFD83"/>
    </sheetView>
  </sheetViews>
  <sheetFormatPr defaultRowHeight="15" x14ac:dyDescent="0.25"/>
  <cols>
    <col min="2" max="2" width="22.85546875" customWidth="1"/>
    <col min="4" max="4" width="29.140625" customWidth="1"/>
    <col min="5" max="5" width="18.42578125" customWidth="1"/>
    <col min="6" max="7" width="26.140625" customWidth="1"/>
    <col min="9" max="11" width="19.85546875" customWidth="1"/>
  </cols>
  <sheetData>
    <row r="1" spans="1:15" ht="18.75" customHeight="1" x14ac:dyDescent="0.25">
      <c r="A1" s="1" t="s">
        <v>0</v>
      </c>
      <c r="B1" s="1" t="s">
        <v>1</v>
      </c>
      <c r="C1" s="1" t="s">
        <v>2</v>
      </c>
      <c r="D1" s="1" t="s">
        <v>3</v>
      </c>
      <c r="E1" s="1" t="s">
        <v>5</v>
      </c>
      <c r="F1" s="1" t="s">
        <v>818</v>
      </c>
      <c r="G1" s="1" t="s">
        <v>819</v>
      </c>
      <c r="I1" s="1"/>
      <c r="J1" s="1"/>
      <c r="K1" s="1"/>
    </row>
    <row r="2" spans="1:15" s="9" customFormat="1" x14ac:dyDescent="0.25">
      <c r="A2" s="26" t="s">
        <v>758</v>
      </c>
      <c r="B2" s="9" t="s">
        <v>759</v>
      </c>
      <c r="C2" s="27" t="s">
        <v>28</v>
      </c>
      <c r="D2" s="57">
        <v>42231</v>
      </c>
      <c r="E2" s="28">
        <v>42269</v>
      </c>
      <c r="F2" s="84">
        <f>(E2-D2)/365</f>
        <v>0.10410958904109589</v>
      </c>
      <c r="G2" s="84">
        <f>F2*12</f>
        <v>1.2493150684931507</v>
      </c>
      <c r="H2" s="93" t="s">
        <v>356</v>
      </c>
      <c r="I2" s="9" t="str">
        <f>VLOOKUP(A2,H$2:H$232,1,FALSE)</f>
        <v>ELI-826</v>
      </c>
    </row>
    <row r="3" spans="1:15" s="9" customFormat="1" x14ac:dyDescent="0.25">
      <c r="A3" s="26" t="s">
        <v>760</v>
      </c>
      <c r="B3" s="9" t="s">
        <v>761</v>
      </c>
      <c r="C3" s="27" t="s">
        <v>23</v>
      </c>
      <c r="D3" s="57">
        <v>42231</v>
      </c>
      <c r="E3" s="28">
        <v>42269</v>
      </c>
      <c r="F3" s="84">
        <f t="shared" ref="F3:F66" si="0">(E3-D3)/365</f>
        <v>0.10410958904109589</v>
      </c>
      <c r="G3" s="84">
        <f t="shared" ref="G3:G66" si="1">F3*12</f>
        <v>1.2493150684931507</v>
      </c>
      <c r="H3" s="93" t="s">
        <v>359</v>
      </c>
      <c r="I3" s="9" t="str">
        <f t="shared" ref="I3:I66" si="2">VLOOKUP(A3,H$2:H$232,1,FALSE)</f>
        <v>ELI-827</v>
      </c>
    </row>
    <row r="4" spans="1:15" s="9" customFormat="1" x14ac:dyDescent="0.25">
      <c r="A4" s="26" t="s">
        <v>762</v>
      </c>
      <c r="B4" s="9" t="s">
        <v>763</v>
      </c>
      <c r="C4" s="27" t="s">
        <v>23</v>
      </c>
      <c r="D4" s="57">
        <v>42231</v>
      </c>
      <c r="E4" s="28">
        <v>42269</v>
      </c>
      <c r="F4" s="84">
        <f t="shared" si="0"/>
        <v>0.10410958904109589</v>
      </c>
      <c r="G4" s="84">
        <f t="shared" si="1"/>
        <v>1.2493150684931507</v>
      </c>
      <c r="H4" s="93" t="s">
        <v>361</v>
      </c>
      <c r="I4" s="9" t="str">
        <f t="shared" si="2"/>
        <v>ELI-828</v>
      </c>
    </row>
    <row r="5" spans="1:15" s="9" customFormat="1" x14ac:dyDescent="0.25">
      <c r="A5" s="26" t="s">
        <v>764</v>
      </c>
      <c r="B5" s="9" t="s">
        <v>765</v>
      </c>
      <c r="C5" s="27" t="s">
        <v>28</v>
      </c>
      <c r="D5" s="57">
        <v>42231</v>
      </c>
      <c r="E5" s="28">
        <v>42269</v>
      </c>
      <c r="F5" s="84">
        <f t="shared" si="0"/>
        <v>0.10410958904109589</v>
      </c>
      <c r="G5" s="84">
        <f t="shared" si="1"/>
        <v>1.2493150684931507</v>
      </c>
      <c r="H5" s="93" t="s">
        <v>363</v>
      </c>
      <c r="I5" s="9" t="str">
        <f t="shared" si="2"/>
        <v>ELI-829</v>
      </c>
    </row>
    <row r="6" spans="1:15" s="9" customFormat="1" x14ac:dyDescent="0.25">
      <c r="A6" s="26" t="s">
        <v>766</v>
      </c>
      <c r="B6" s="9" t="s">
        <v>767</v>
      </c>
      <c r="C6" s="27" t="s">
        <v>13</v>
      </c>
      <c r="D6" s="59">
        <v>42200</v>
      </c>
      <c r="E6" s="28">
        <v>42269</v>
      </c>
      <c r="F6" s="84">
        <f t="shared" si="0"/>
        <v>0.18904109589041096</v>
      </c>
      <c r="G6" s="84">
        <f t="shared" si="1"/>
        <v>2.2684931506849315</v>
      </c>
      <c r="H6" s="93" t="s">
        <v>365</v>
      </c>
      <c r="I6" s="9" t="str">
        <f t="shared" si="2"/>
        <v>ELI-830</v>
      </c>
    </row>
    <row r="7" spans="1:15" s="9" customFormat="1" x14ac:dyDescent="0.25">
      <c r="A7" s="26" t="s">
        <v>768</v>
      </c>
      <c r="B7" s="9" t="s">
        <v>769</v>
      </c>
      <c r="C7" s="27" t="s">
        <v>23</v>
      </c>
      <c r="D7" s="59">
        <v>42200</v>
      </c>
      <c r="E7" s="28">
        <v>42269</v>
      </c>
      <c r="F7" s="84">
        <f t="shared" si="0"/>
        <v>0.18904109589041096</v>
      </c>
      <c r="G7" s="84">
        <f t="shared" si="1"/>
        <v>2.2684931506849315</v>
      </c>
      <c r="H7" s="93" t="s">
        <v>388</v>
      </c>
      <c r="I7" s="9" t="str">
        <f t="shared" si="2"/>
        <v>ELI-831</v>
      </c>
    </row>
    <row r="8" spans="1:15" s="9" customFormat="1" x14ac:dyDescent="0.25">
      <c r="A8" s="26" t="s">
        <v>738</v>
      </c>
      <c r="B8" s="9" t="s">
        <v>739</v>
      </c>
      <c r="C8" s="27" t="s">
        <v>13</v>
      </c>
      <c r="D8" s="56">
        <v>42186</v>
      </c>
      <c r="E8" s="28">
        <v>42213</v>
      </c>
      <c r="F8" s="84">
        <f t="shared" si="0"/>
        <v>7.3972602739726029E-2</v>
      </c>
      <c r="G8" s="84">
        <f t="shared" si="1"/>
        <v>0.88767123287671235</v>
      </c>
      <c r="H8" s="93" t="s">
        <v>390</v>
      </c>
      <c r="I8" s="9" t="str">
        <f t="shared" si="2"/>
        <v>ELI-816</v>
      </c>
    </row>
    <row r="9" spans="1:15" s="9" customFormat="1" x14ac:dyDescent="0.25">
      <c r="A9" s="26" t="s">
        <v>740</v>
      </c>
      <c r="B9" s="9" t="s">
        <v>741</v>
      </c>
      <c r="C9" s="27" t="s">
        <v>23</v>
      </c>
      <c r="D9" s="56">
        <v>42186</v>
      </c>
      <c r="E9" s="28">
        <v>42227</v>
      </c>
      <c r="F9" s="84">
        <f t="shared" si="0"/>
        <v>0.11232876712328767</v>
      </c>
      <c r="G9" s="84">
        <f t="shared" si="1"/>
        <v>1.3479452054794521</v>
      </c>
      <c r="H9" s="93" t="s">
        <v>613</v>
      </c>
      <c r="I9" s="9" t="str">
        <f t="shared" si="2"/>
        <v>ELI-817</v>
      </c>
    </row>
    <row r="10" spans="1:15" s="9" customFormat="1" x14ac:dyDescent="0.25">
      <c r="A10" s="26" t="s">
        <v>744</v>
      </c>
      <c r="B10" s="9" t="s">
        <v>745</v>
      </c>
      <c r="C10" s="27" t="s">
        <v>23</v>
      </c>
      <c r="D10" s="56">
        <v>42186</v>
      </c>
      <c r="E10" s="28">
        <v>42227</v>
      </c>
      <c r="F10" s="84">
        <f t="shared" si="0"/>
        <v>0.11232876712328767</v>
      </c>
      <c r="G10" s="84">
        <f t="shared" si="1"/>
        <v>1.3479452054794521</v>
      </c>
      <c r="H10" s="93" t="s">
        <v>11</v>
      </c>
      <c r="I10" s="9" t="str">
        <f t="shared" si="2"/>
        <v>ELI-819</v>
      </c>
    </row>
    <row r="11" spans="1:15" s="9" customFormat="1" x14ac:dyDescent="0.25">
      <c r="A11" s="26" t="s">
        <v>748</v>
      </c>
      <c r="B11" s="9" t="s">
        <v>749</v>
      </c>
      <c r="C11" s="27" t="s">
        <v>13</v>
      </c>
      <c r="D11" s="61">
        <v>42170</v>
      </c>
      <c r="E11" s="28">
        <v>42227</v>
      </c>
      <c r="F11" s="84">
        <f t="shared" si="0"/>
        <v>0.15616438356164383</v>
      </c>
      <c r="G11" s="84">
        <f t="shared" si="1"/>
        <v>1.8739726027397259</v>
      </c>
      <c r="H11" s="93" t="s">
        <v>342</v>
      </c>
      <c r="I11" s="9" t="str">
        <f t="shared" si="2"/>
        <v>ELI-821</v>
      </c>
      <c r="O11" s="9">
        <f>COUNT(D2:D37)</f>
        <v>36</v>
      </c>
    </row>
    <row r="12" spans="1:15" s="9" customFormat="1" x14ac:dyDescent="0.25">
      <c r="A12" s="26" t="s">
        <v>750</v>
      </c>
      <c r="B12" s="9" t="s">
        <v>751</v>
      </c>
      <c r="C12" s="27" t="s">
        <v>13</v>
      </c>
      <c r="D12" s="61">
        <v>42170</v>
      </c>
      <c r="E12" s="28">
        <v>42227</v>
      </c>
      <c r="F12" s="84">
        <f t="shared" si="0"/>
        <v>0.15616438356164383</v>
      </c>
      <c r="G12" s="84">
        <f t="shared" si="1"/>
        <v>1.8739726027397259</v>
      </c>
      <c r="H12" s="93" t="s">
        <v>314</v>
      </c>
      <c r="I12" s="9" t="str">
        <f t="shared" si="2"/>
        <v>ELI-822</v>
      </c>
      <c r="O12" s="9">
        <f>COUNT(D39:D72)</f>
        <v>34</v>
      </c>
    </row>
    <row r="13" spans="1:15" s="9" customFormat="1" x14ac:dyDescent="0.25">
      <c r="A13" s="26" t="s">
        <v>736</v>
      </c>
      <c r="B13" s="9" t="s">
        <v>737</v>
      </c>
      <c r="C13" s="27" t="s">
        <v>23</v>
      </c>
      <c r="D13" s="60">
        <v>42156</v>
      </c>
      <c r="E13" s="28">
        <v>42213</v>
      </c>
      <c r="F13" s="84">
        <f t="shared" si="0"/>
        <v>0.15616438356164383</v>
      </c>
      <c r="G13" s="84">
        <f t="shared" si="1"/>
        <v>1.8739726027397259</v>
      </c>
      <c r="H13" s="93" t="s">
        <v>316</v>
      </c>
      <c r="I13" s="9" t="str">
        <f t="shared" si="2"/>
        <v>ELI-815</v>
      </c>
      <c r="O13" s="9">
        <f>COUNT(D74:D116)</f>
        <v>43</v>
      </c>
    </row>
    <row r="14" spans="1:15" s="9" customFormat="1" x14ac:dyDescent="0.25">
      <c r="A14" s="26" t="s">
        <v>742</v>
      </c>
      <c r="B14" s="9" t="s">
        <v>743</v>
      </c>
      <c r="C14" s="27" t="s">
        <v>13</v>
      </c>
      <c r="D14" s="60">
        <v>42156</v>
      </c>
      <c r="E14" s="28">
        <v>42227</v>
      </c>
      <c r="F14" s="84">
        <f t="shared" si="0"/>
        <v>0.19452054794520549</v>
      </c>
      <c r="G14" s="84">
        <f t="shared" si="1"/>
        <v>2.3342465753424659</v>
      </c>
      <c r="H14" s="93" t="s">
        <v>344</v>
      </c>
      <c r="I14" s="9" t="str">
        <f t="shared" si="2"/>
        <v>ELI-818</v>
      </c>
    </row>
    <row r="15" spans="1:15" s="9" customFormat="1" x14ac:dyDescent="0.25">
      <c r="A15" s="26" t="s">
        <v>746</v>
      </c>
      <c r="B15" s="9" t="s">
        <v>747</v>
      </c>
      <c r="C15" s="27" t="s">
        <v>23</v>
      </c>
      <c r="D15" s="60">
        <v>42156</v>
      </c>
      <c r="E15" s="28">
        <v>42227</v>
      </c>
      <c r="F15" s="84">
        <f t="shared" si="0"/>
        <v>0.19452054794520549</v>
      </c>
      <c r="G15" s="84">
        <f t="shared" si="1"/>
        <v>2.3342465753424659</v>
      </c>
      <c r="H15" s="93" t="s">
        <v>346</v>
      </c>
      <c r="I15" s="9" t="str">
        <f t="shared" si="2"/>
        <v>ELI-820</v>
      </c>
    </row>
    <row r="16" spans="1:15" s="9" customFormat="1" x14ac:dyDescent="0.25">
      <c r="A16" s="26" t="s">
        <v>752</v>
      </c>
      <c r="B16" s="9" t="s">
        <v>753</v>
      </c>
      <c r="C16" s="27" t="s">
        <v>28</v>
      </c>
      <c r="D16" s="61">
        <v>42156</v>
      </c>
      <c r="E16" s="28">
        <v>42241</v>
      </c>
      <c r="F16" s="84">
        <f t="shared" si="0"/>
        <v>0.23287671232876711</v>
      </c>
      <c r="G16" s="84">
        <f t="shared" si="1"/>
        <v>2.7945205479452051</v>
      </c>
      <c r="H16" s="93" t="s">
        <v>348</v>
      </c>
      <c r="I16" s="9" t="str">
        <f t="shared" si="2"/>
        <v>ELI-823</v>
      </c>
    </row>
    <row r="17" spans="1:15" s="9" customFormat="1" x14ac:dyDescent="0.25">
      <c r="A17" s="26" t="s">
        <v>754</v>
      </c>
      <c r="B17" s="9" t="s">
        <v>755</v>
      </c>
      <c r="C17" s="27" t="s">
        <v>28</v>
      </c>
      <c r="D17" s="61">
        <v>42156</v>
      </c>
      <c r="E17" s="28">
        <v>42241</v>
      </c>
      <c r="F17" s="84">
        <f t="shared" si="0"/>
        <v>0.23287671232876711</v>
      </c>
      <c r="G17" s="84">
        <f t="shared" si="1"/>
        <v>2.7945205479452051</v>
      </c>
      <c r="H17" s="93" t="s">
        <v>318</v>
      </c>
      <c r="I17" s="9" t="str">
        <f t="shared" si="2"/>
        <v>ELI-824</v>
      </c>
    </row>
    <row r="18" spans="1:15" s="9" customFormat="1" x14ac:dyDescent="0.25">
      <c r="A18" s="26" t="s">
        <v>756</v>
      </c>
      <c r="B18" s="9" t="s">
        <v>757</v>
      </c>
      <c r="C18" s="27" t="s">
        <v>28</v>
      </c>
      <c r="D18" s="61">
        <v>42156</v>
      </c>
      <c r="E18" s="28">
        <v>42241</v>
      </c>
      <c r="F18" s="84">
        <f t="shared" si="0"/>
        <v>0.23287671232876711</v>
      </c>
      <c r="G18" s="84">
        <f t="shared" si="1"/>
        <v>2.7945205479452051</v>
      </c>
      <c r="H18" s="93" t="s">
        <v>320</v>
      </c>
      <c r="I18" s="9" t="str">
        <f t="shared" si="2"/>
        <v>ELI-825</v>
      </c>
      <c r="N18" s="9">
        <v>2013</v>
      </c>
      <c r="O18" s="9">
        <v>45</v>
      </c>
    </row>
    <row r="19" spans="1:15" s="9" customFormat="1" x14ac:dyDescent="0.25">
      <c r="A19" s="9" t="s">
        <v>777</v>
      </c>
      <c r="B19" s="9" t="s">
        <v>778</v>
      </c>
      <c r="C19" s="27" t="s">
        <v>13</v>
      </c>
      <c r="D19" s="49">
        <v>42139</v>
      </c>
      <c r="E19" s="28">
        <v>42231</v>
      </c>
      <c r="F19" s="84">
        <f t="shared" si="0"/>
        <v>0.25205479452054796</v>
      </c>
      <c r="G19" s="84">
        <f t="shared" si="1"/>
        <v>3.0246575342465754</v>
      </c>
      <c r="H19" s="93" t="s">
        <v>574</v>
      </c>
      <c r="I19" s="9" t="str">
        <f t="shared" si="2"/>
        <v>ELI-966</v>
      </c>
      <c r="N19" s="9">
        <v>2014</v>
      </c>
      <c r="O19" s="9">
        <v>34</v>
      </c>
    </row>
    <row r="20" spans="1:15" s="9" customFormat="1" x14ac:dyDescent="0.25">
      <c r="A20" s="9" t="s">
        <v>779</v>
      </c>
      <c r="B20" s="9" t="s">
        <v>780</v>
      </c>
      <c r="C20" s="27" t="s">
        <v>13</v>
      </c>
      <c r="D20" s="49">
        <v>42139</v>
      </c>
      <c r="E20" s="28">
        <v>42231</v>
      </c>
      <c r="F20" s="84">
        <f t="shared" si="0"/>
        <v>0.25205479452054796</v>
      </c>
      <c r="G20" s="84">
        <f t="shared" si="1"/>
        <v>3.0246575342465754</v>
      </c>
      <c r="H20" s="93" t="s">
        <v>577</v>
      </c>
      <c r="I20" s="9" t="str">
        <f t="shared" si="2"/>
        <v>ELI-967</v>
      </c>
      <c r="N20" s="9">
        <v>2015</v>
      </c>
      <c r="O20" s="9">
        <v>36</v>
      </c>
    </row>
    <row r="21" spans="1:15" s="9" customFormat="1" x14ac:dyDescent="0.25">
      <c r="A21" s="9" t="s">
        <v>785</v>
      </c>
      <c r="B21" s="9" t="s">
        <v>786</v>
      </c>
      <c r="C21" s="27" t="s">
        <v>13</v>
      </c>
      <c r="D21" s="49">
        <v>42139</v>
      </c>
      <c r="E21" s="28">
        <v>42231</v>
      </c>
      <c r="F21" s="84">
        <f t="shared" si="0"/>
        <v>0.25205479452054796</v>
      </c>
      <c r="G21" s="84">
        <f t="shared" si="1"/>
        <v>3.0246575342465754</v>
      </c>
      <c r="H21" s="93" t="s">
        <v>580</v>
      </c>
      <c r="I21" s="9" t="str">
        <f t="shared" si="2"/>
        <v>ELI-970</v>
      </c>
    </row>
    <row r="22" spans="1:15" s="9" customFormat="1" x14ac:dyDescent="0.25">
      <c r="A22" s="27" t="s">
        <v>509</v>
      </c>
      <c r="B22" s="9" t="s">
        <v>510</v>
      </c>
      <c r="C22" s="27" t="s">
        <v>23</v>
      </c>
      <c r="D22" s="57">
        <v>42095</v>
      </c>
      <c r="E22" s="28">
        <v>42225</v>
      </c>
      <c r="F22" s="84">
        <f t="shared" si="0"/>
        <v>0.35616438356164382</v>
      </c>
      <c r="G22" s="84">
        <f t="shared" si="1"/>
        <v>4.2739726027397253</v>
      </c>
      <c r="H22" s="93" t="s">
        <v>540</v>
      </c>
      <c r="I22" s="9" t="str">
        <f t="shared" si="2"/>
        <v>ELI-832</v>
      </c>
    </row>
    <row r="23" spans="1:15" s="9" customFormat="1" x14ac:dyDescent="0.25">
      <c r="A23" s="27" t="s">
        <v>512</v>
      </c>
      <c r="B23" s="9" t="s">
        <v>513</v>
      </c>
      <c r="C23" s="27" t="s">
        <v>13</v>
      </c>
      <c r="D23" s="57">
        <v>42095</v>
      </c>
      <c r="E23" s="28">
        <v>42225</v>
      </c>
      <c r="F23" s="84">
        <f t="shared" si="0"/>
        <v>0.35616438356164382</v>
      </c>
      <c r="G23" s="84">
        <f t="shared" si="1"/>
        <v>4.2739726027397253</v>
      </c>
      <c r="H23" s="93" t="s">
        <v>544</v>
      </c>
      <c r="I23" s="9" t="str">
        <f t="shared" si="2"/>
        <v>ELI-833</v>
      </c>
    </row>
    <row r="24" spans="1:15" s="9" customFormat="1" x14ac:dyDescent="0.25">
      <c r="A24" s="9" t="s">
        <v>783</v>
      </c>
      <c r="B24" s="9" t="s">
        <v>784</v>
      </c>
      <c r="C24" s="27" t="s">
        <v>13</v>
      </c>
      <c r="D24" s="44">
        <v>42095</v>
      </c>
      <c r="E24" s="28">
        <v>42231</v>
      </c>
      <c r="F24" s="84">
        <f t="shared" si="0"/>
        <v>0.37260273972602742</v>
      </c>
      <c r="G24" s="84">
        <f t="shared" si="1"/>
        <v>4.4712328767123291</v>
      </c>
      <c r="H24" s="93" t="s">
        <v>517</v>
      </c>
      <c r="I24" s="9" t="str">
        <f t="shared" si="2"/>
        <v>ELI-969</v>
      </c>
    </row>
    <row r="25" spans="1:15" s="9" customFormat="1" x14ac:dyDescent="0.25">
      <c r="A25" s="9" t="s">
        <v>787</v>
      </c>
      <c r="B25" s="9" t="s">
        <v>788</v>
      </c>
      <c r="C25" s="27" t="s">
        <v>23</v>
      </c>
      <c r="D25" s="44">
        <v>42095</v>
      </c>
      <c r="E25" s="28">
        <v>42231</v>
      </c>
      <c r="F25" s="84">
        <f t="shared" si="0"/>
        <v>0.37260273972602742</v>
      </c>
      <c r="G25" s="84">
        <f t="shared" si="1"/>
        <v>4.4712328767123291</v>
      </c>
      <c r="H25" s="93" t="s">
        <v>519</v>
      </c>
      <c r="I25" s="9" t="str">
        <f t="shared" si="2"/>
        <v>ELI-971</v>
      </c>
    </row>
    <row r="26" spans="1:15" s="9" customFormat="1" x14ac:dyDescent="0.25">
      <c r="A26" s="26" t="s">
        <v>718</v>
      </c>
      <c r="B26" s="9" t="s">
        <v>719</v>
      </c>
      <c r="C26" s="27" t="s">
        <v>23</v>
      </c>
      <c r="D26" s="62">
        <v>42078</v>
      </c>
      <c r="E26" s="28">
        <v>42164</v>
      </c>
      <c r="F26" s="84">
        <f t="shared" si="0"/>
        <v>0.23561643835616439</v>
      </c>
      <c r="G26" s="84">
        <f t="shared" si="1"/>
        <v>2.8273972602739725</v>
      </c>
      <c r="H26" s="93" t="s">
        <v>491</v>
      </c>
      <c r="I26" s="9" t="str">
        <f t="shared" si="2"/>
        <v>ELI-801</v>
      </c>
    </row>
    <row r="27" spans="1:15" s="9" customFormat="1" x14ac:dyDescent="0.25">
      <c r="A27" s="26" t="s">
        <v>720</v>
      </c>
      <c r="B27" s="9" t="s">
        <v>721</v>
      </c>
      <c r="C27" s="27" t="s">
        <v>23</v>
      </c>
      <c r="D27" s="62">
        <v>42078</v>
      </c>
      <c r="E27" s="28">
        <v>42164</v>
      </c>
      <c r="F27" s="84">
        <f t="shared" si="0"/>
        <v>0.23561643835616439</v>
      </c>
      <c r="G27" s="84">
        <f t="shared" si="1"/>
        <v>2.8273972602739725</v>
      </c>
      <c r="H27" s="93" t="s">
        <v>14</v>
      </c>
      <c r="I27" s="9" t="str">
        <f t="shared" si="2"/>
        <v>ELI-802</v>
      </c>
    </row>
    <row r="28" spans="1:15" s="9" customFormat="1" x14ac:dyDescent="0.25">
      <c r="A28" s="26" t="s">
        <v>722</v>
      </c>
      <c r="B28" s="9" t="s">
        <v>723</v>
      </c>
      <c r="C28" s="27" t="s">
        <v>23</v>
      </c>
      <c r="D28" s="62">
        <v>42078</v>
      </c>
      <c r="E28" s="28">
        <v>42164</v>
      </c>
      <c r="F28" s="84">
        <f t="shared" si="0"/>
        <v>0.23561643835616439</v>
      </c>
      <c r="G28" s="84">
        <f t="shared" si="1"/>
        <v>2.8273972602739725</v>
      </c>
      <c r="H28" s="93" t="s">
        <v>17</v>
      </c>
      <c r="I28" s="9" t="str">
        <f t="shared" si="2"/>
        <v>ELI-803</v>
      </c>
    </row>
    <row r="29" spans="1:15" s="9" customFormat="1" x14ac:dyDescent="0.25">
      <c r="A29" s="26" t="s">
        <v>724</v>
      </c>
      <c r="B29" s="9" t="s">
        <v>725</v>
      </c>
      <c r="C29" s="27" t="s">
        <v>13</v>
      </c>
      <c r="D29" s="62">
        <v>42078</v>
      </c>
      <c r="E29" s="28">
        <v>42164</v>
      </c>
      <c r="F29" s="84">
        <f t="shared" si="0"/>
        <v>0.23561643835616439</v>
      </c>
      <c r="G29" s="84">
        <f t="shared" si="1"/>
        <v>2.8273972602739725</v>
      </c>
      <c r="H29" s="93" t="s">
        <v>19</v>
      </c>
      <c r="I29" s="9" t="str">
        <f t="shared" si="2"/>
        <v>ELI-804</v>
      </c>
    </row>
    <row r="30" spans="1:15" s="9" customFormat="1" x14ac:dyDescent="0.25">
      <c r="A30" s="9" t="s">
        <v>775</v>
      </c>
      <c r="B30" s="9" t="s">
        <v>776</v>
      </c>
      <c r="C30" s="27" t="s">
        <v>23</v>
      </c>
      <c r="D30" s="40">
        <v>42078</v>
      </c>
      <c r="E30" s="28">
        <v>42231</v>
      </c>
      <c r="F30" s="84">
        <f t="shared" si="0"/>
        <v>0.41917808219178082</v>
      </c>
      <c r="G30" s="84">
        <f t="shared" si="1"/>
        <v>5.0301369863013701</v>
      </c>
      <c r="H30" s="93" t="s">
        <v>21</v>
      </c>
      <c r="I30" s="9" t="str">
        <f t="shared" si="2"/>
        <v>ELI-965</v>
      </c>
    </row>
    <row r="31" spans="1:15" s="9" customFormat="1" x14ac:dyDescent="0.25">
      <c r="A31" s="9" t="s">
        <v>781</v>
      </c>
      <c r="B31" s="9" t="s">
        <v>782</v>
      </c>
      <c r="C31" s="27" t="s">
        <v>28</v>
      </c>
      <c r="D31" s="40">
        <v>42078</v>
      </c>
      <c r="E31" s="28">
        <v>42231</v>
      </c>
      <c r="F31" s="84">
        <f t="shared" si="0"/>
        <v>0.41917808219178082</v>
      </c>
      <c r="G31" s="84">
        <f t="shared" si="1"/>
        <v>5.0301369863013701</v>
      </c>
      <c r="H31" s="93" t="s">
        <v>24</v>
      </c>
      <c r="I31" s="9" t="str">
        <f t="shared" si="2"/>
        <v>ELI-968</v>
      </c>
    </row>
    <row r="32" spans="1:15" s="9" customFormat="1" x14ac:dyDescent="0.25">
      <c r="A32" s="9" t="s">
        <v>808</v>
      </c>
      <c r="B32" s="9" t="s">
        <v>809</v>
      </c>
      <c r="C32" s="27" t="s">
        <v>13</v>
      </c>
      <c r="D32" s="40">
        <v>42078</v>
      </c>
      <c r="E32" s="28">
        <v>42231</v>
      </c>
      <c r="F32" s="84">
        <f t="shared" si="0"/>
        <v>0.41917808219178082</v>
      </c>
      <c r="G32" s="84">
        <f t="shared" si="1"/>
        <v>5.0301369863013701</v>
      </c>
      <c r="H32" s="93" t="s">
        <v>26</v>
      </c>
      <c r="I32" s="9" t="str">
        <f t="shared" si="2"/>
        <v>ELI-992</v>
      </c>
    </row>
    <row r="33" spans="1:11" s="9" customFormat="1" x14ac:dyDescent="0.25">
      <c r="A33" s="26" t="s">
        <v>732</v>
      </c>
      <c r="B33" s="9" t="s">
        <v>733</v>
      </c>
      <c r="C33" s="27" t="s">
        <v>23</v>
      </c>
      <c r="D33" s="55">
        <v>42064</v>
      </c>
      <c r="E33" s="28">
        <v>42191</v>
      </c>
      <c r="F33" s="84">
        <f t="shared" si="0"/>
        <v>0.34794520547945207</v>
      </c>
      <c r="G33" s="84">
        <f t="shared" si="1"/>
        <v>4.1753424657534248</v>
      </c>
      <c r="H33" s="93" t="s">
        <v>203</v>
      </c>
      <c r="I33" s="9" t="str">
        <f t="shared" si="2"/>
        <v>ELI-813</v>
      </c>
    </row>
    <row r="34" spans="1:11" s="9" customFormat="1" x14ac:dyDescent="0.25">
      <c r="A34" s="26" t="s">
        <v>734</v>
      </c>
      <c r="B34" s="9" t="s">
        <v>735</v>
      </c>
      <c r="C34" s="27" t="s">
        <v>23</v>
      </c>
      <c r="D34" s="55">
        <v>42064</v>
      </c>
      <c r="E34" s="28">
        <v>42191</v>
      </c>
      <c r="F34" s="84">
        <f t="shared" si="0"/>
        <v>0.34794520547945207</v>
      </c>
      <c r="G34" s="84">
        <f t="shared" si="1"/>
        <v>4.1753424657534248</v>
      </c>
      <c r="H34" s="93" t="s">
        <v>205</v>
      </c>
      <c r="I34" s="9" t="str">
        <f t="shared" si="2"/>
        <v>ELI-814</v>
      </c>
    </row>
    <row r="35" spans="1:11" s="9" customFormat="1" x14ac:dyDescent="0.25">
      <c r="A35" s="26" t="s">
        <v>726</v>
      </c>
      <c r="B35" s="9" t="s">
        <v>727</v>
      </c>
      <c r="C35" s="27" t="s">
        <v>23</v>
      </c>
      <c r="D35" s="58">
        <v>42005</v>
      </c>
      <c r="E35" s="28">
        <v>42191</v>
      </c>
      <c r="F35" s="84">
        <f t="shared" si="0"/>
        <v>0.50958904109589043</v>
      </c>
      <c r="G35" s="84">
        <f t="shared" si="1"/>
        <v>6.1150684931506856</v>
      </c>
      <c r="H35" s="93" t="s">
        <v>207</v>
      </c>
      <c r="I35" s="9" t="str">
        <f t="shared" si="2"/>
        <v>ELI-810</v>
      </c>
    </row>
    <row r="36" spans="1:11" s="9" customFormat="1" x14ac:dyDescent="0.25">
      <c r="A36" s="26" t="s">
        <v>728</v>
      </c>
      <c r="B36" s="9" t="s">
        <v>729</v>
      </c>
      <c r="C36" s="27" t="s">
        <v>23</v>
      </c>
      <c r="D36" s="58">
        <v>42005</v>
      </c>
      <c r="E36" s="28">
        <v>42191</v>
      </c>
      <c r="F36" s="84">
        <f t="shared" si="0"/>
        <v>0.50958904109589043</v>
      </c>
      <c r="G36" s="84">
        <f t="shared" si="1"/>
        <v>6.1150684931506856</v>
      </c>
      <c r="H36" s="93" t="s">
        <v>157</v>
      </c>
      <c r="I36" s="9" t="str">
        <f t="shared" si="2"/>
        <v>ELI-811</v>
      </c>
    </row>
    <row r="37" spans="1:11" s="9" customFormat="1" x14ac:dyDescent="0.25">
      <c r="A37" s="26" t="s">
        <v>730</v>
      </c>
      <c r="B37" s="9" t="s">
        <v>731</v>
      </c>
      <c r="C37" s="27" t="s">
        <v>13</v>
      </c>
      <c r="D37" s="58">
        <v>42005</v>
      </c>
      <c r="E37" s="28">
        <v>42191</v>
      </c>
      <c r="F37" s="84">
        <f t="shared" si="0"/>
        <v>0.50958904109589043</v>
      </c>
      <c r="G37" s="84">
        <f t="shared" si="1"/>
        <v>6.1150684931506856</v>
      </c>
      <c r="H37" s="93" t="s">
        <v>39</v>
      </c>
      <c r="I37" s="9" t="str">
        <f t="shared" si="2"/>
        <v>ELI-812</v>
      </c>
    </row>
    <row r="38" spans="1:11" x14ac:dyDescent="0.25">
      <c r="A38" s="6"/>
      <c r="C38" s="2"/>
      <c r="D38" s="3"/>
      <c r="E38" s="5"/>
      <c r="F38" s="85"/>
      <c r="G38" s="85"/>
      <c r="H38" s="93" t="s">
        <v>43</v>
      </c>
      <c r="I38" s="9" t="e">
        <f t="shared" si="2"/>
        <v>#N/A</v>
      </c>
    </row>
    <row r="39" spans="1:11" s="12" customFormat="1" x14ac:dyDescent="0.25">
      <c r="A39" s="12" t="s">
        <v>664</v>
      </c>
      <c r="B39" s="13" t="s">
        <v>429</v>
      </c>
      <c r="C39" s="16" t="s">
        <v>28</v>
      </c>
      <c r="D39" s="37">
        <v>41913</v>
      </c>
      <c r="E39" s="19">
        <v>41939</v>
      </c>
      <c r="F39" s="84">
        <f t="shared" si="0"/>
        <v>7.1232876712328766E-2</v>
      </c>
      <c r="G39" s="84">
        <f t="shared" si="1"/>
        <v>0.85479452054794525</v>
      </c>
      <c r="H39" s="93" t="s">
        <v>440</v>
      </c>
      <c r="I39" s="9" t="str">
        <f t="shared" si="2"/>
        <v>ELI-698</v>
      </c>
      <c r="J39" s="9"/>
      <c r="K39" s="9"/>
    </row>
    <row r="40" spans="1:11" s="12" customFormat="1" x14ac:dyDescent="0.25">
      <c r="A40" s="17" t="s">
        <v>690</v>
      </c>
      <c r="B40" s="13" t="s">
        <v>823</v>
      </c>
      <c r="C40" s="13" t="s">
        <v>28</v>
      </c>
      <c r="D40" s="33">
        <v>41866</v>
      </c>
      <c r="E40" s="19">
        <v>41930</v>
      </c>
      <c r="F40" s="84">
        <f t="shared" si="0"/>
        <v>0.17534246575342466</v>
      </c>
      <c r="G40" s="84">
        <f t="shared" si="1"/>
        <v>2.1041095890410961</v>
      </c>
      <c r="H40" s="93" t="s">
        <v>443</v>
      </c>
      <c r="I40" s="9" t="str">
        <f t="shared" si="2"/>
        <v>ELI-750</v>
      </c>
      <c r="J40" s="9"/>
      <c r="K40" s="9"/>
    </row>
    <row r="41" spans="1:11" s="12" customFormat="1" x14ac:dyDescent="0.25">
      <c r="A41" s="17" t="s">
        <v>691</v>
      </c>
      <c r="B41" s="13" t="s">
        <v>823</v>
      </c>
      <c r="C41" s="13" t="s">
        <v>28</v>
      </c>
      <c r="D41" s="33">
        <v>41866</v>
      </c>
      <c r="E41" s="19">
        <v>41930</v>
      </c>
      <c r="F41" s="84">
        <f t="shared" si="0"/>
        <v>0.17534246575342466</v>
      </c>
      <c r="G41" s="84">
        <f t="shared" si="1"/>
        <v>2.1041095890410961</v>
      </c>
      <c r="H41" s="93" t="s">
        <v>448</v>
      </c>
      <c r="I41" s="9" t="str">
        <f t="shared" si="2"/>
        <v>ELI-751</v>
      </c>
      <c r="J41" s="9"/>
      <c r="K41" s="9"/>
    </row>
    <row r="42" spans="1:11" s="12" customFormat="1" x14ac:dyDescent="0.25">
      <c r="A42" s="17" t="s">
        <v>688</v>
      </c>
      <c r="B42" s="13" t="s">
        <v>821</v>
      </c>
      <c r="C42" s="13" t="s">
        <v>13</v>
      </c>
      <c r="D42" s="57">
        <v>41840</v>
      </c>
      <c r="E42" s="19">
        <v>41912</v>
      </c>
      <c r="F42" s="84">
        <f t="shared" si="0"/>
        <v>0.19726027397260273</v>
      </c>
      <c r="G42" s="84">
        <f t="shared" si="1"/>
        <v>2.3671232876712329</v>
      </c>
      <c r="H42" s="93" t="s">
        <v>450</v>
      </c>
      <c r="I42" s="9" t="str">
        <f t="shared" si="2"/>
        <v>ELI-738</v>
      </c>
      <c r="J42" s="9"/>
      <c r="K42" s="9"/>
    </row>
    <row r="43" spans="1:11" s="12" customFormat="1" x14ac:dyDescent="0.25">
      <c r="A43" s="17" t="s">
        <v>689</v>
      </c>
      <c r="B43" s="13" t="s">
        <v>821</v>
      </c>
      <c r="C43" s="13" t="s">
        <v>13</v>
      </c>
      <c r="D43" s="57">
        <v>41840</v>
      </c>
      <c r="E43" s="19">
        <v>41912</v>
      </c>
      <c r="F43" s="84">
        <f t="shared" si="0"/>
        <v>0.19726027397260273</v>
      </c>
      <c r="G43" s="84">
        <f t="shared" si="1"/>
        <v>2.3671232876712329</v>
      </c>
      <c r="H43" s="93" t="s">
        <v>548</v>
      </c>
      <c r="I43" s="9" t="str">
        <f t="shared" si="2"/>
        <v>ELI-739</v>
      </c>
      <c r="J43" s="9"/>
      <c r="K43" s="9"/>
    </row>
    <row r="44" spans="1:11" s="12" customFormat="1" x14ac:dyDescent="0.25">
      <c r="A44" s="17" t="s">
        <v>679</v>
      </c>
      <c r="B44" s="13" t="s">
        <v>429</v>
      </c>
      <c r="C44" s="13" t="s">
        <v>23</v>
      </c>
      <c r="D44" s="59">
        <v>41774</v>
      </c>
      <c r="E44" s="19">
        <v>41835</v>
      </c>
      <c r="F44" s="84">
        <f t="shared" si="0"/>
        <v>0.16712328767123288</v>
      </c>
      <c r="G44" s="84">
        <f t="shared" si="1"/>
        <v>2.0054794520547947</v>
      </c>
      <c r="H44" s="93" t="s">
        <v>595</v>
      </c>
      <c r="I44" s="9" t="str">
        <f t="shared" si="2"/>
        <v>ELI-717</v>
      </c>
      <c r="J44" s="9"/>
      <c r="K44" s="9"/>
    </row>
    <row r="45" spans="1:11" s="12" customFormat="1" x14ac:dyDescent="0.25">
      <c r="A45" s="17" t="s">
        <v>680</v>
      </c>
      <c r="B45" s="13" t="s">
        <v>429</v>
      </c>
      <c r="C45" s="13" t="s">
        <v>23</v>
      </c>
      <c r="D45" s="59">
        <v>41774</v>
      </c>
      <c r="E45" s="19">
        <v>41835</v>
      </c>
      <c r="F45" s="84">
        <f t="shared" si="0"/>
        <v>0.16712328767123288</v>
      </c>
      <c r="G45" s="84">
        <f t="shared" si="1"/>
        <v>2.0054794520547947</v>
      </c>
      <c r="H45" s="93" t="s">
        <v>553</v>
      </c>
      <c r="I45" s="9" t="str">
        <f t="shared" si="2"/>
        <v>ELI-718</v>
      </c>
      <c r="J45" s="9"/>
      <c r="K45" s="9"/>
    </row>
    <row r="46" spans="1:11" s="12" customFormat="1" x14ac:dyDescent="0.25">
      <c r="A46" s="17" t="s">
        <v>675</v>
      </c>
      <c r="B46" s="13" t="s">
        <v>429</v>
      </c>
      <c r="C46" s="13" t="s">
        <v>23</v>
      </c>
      <c r="D46" s="58">
        <v>41760</v>
      </c>
      <c r="E46" s="19">
        <v>41835</v>
      </c>
      <c r="F46" s="84">
        <f t="shared" si="0"/>
        <v>0.20547945205479451</v>
      </c>
      <c r="G46" s="84">
        <f t="shared" si="1"/>
        <v>2.4657534246575343</v>
      </c>
      <c r="H46" s="93" t="s">
        <v>529</v>
      </c>
      <c r="I46" s="9" t="str">
        <f t="shared" si="2"/>
        <v>ELI-713</v>
      </c>
      <c r="J46" s="9"/>
      <c r="K46" s="9"/>
    </row>
    <row r="47" spans="1:11" s="12" customFormat="1" x14ac:dyDescent="0.25">
      <c r="A47" s="17" t="s">
        <v>676</v>
      </c>
      <c r="B47" s="13" t="s">
        <v>429</v>
      </c>
      <c r="C47" s="13" t="s">
        <v>13</v>
      </c>
      <c r="D47" s="58">
        <v>41760</v>
      </c>
      <c r="E47" s="19">
        <v>41835</v>
      </c>
      <c r="F47" s="84">
        <f t="shared" si="0"/>
        <v>0.20547945205479451</v>
      </c>
      <c r="G47" s="84">
        <f t="shared" si="1"/>
        <v>2.4657534246575343</v>
      </c>
      <c r="H47" s="93" t="s">
        <v>325</v>
      </c>
      <c r="I47" s="9" t="str">
        <f t="shared" si="2"/>
        <v>ELI-714</v>
      </c>
      <c r="J47" s="9"/>
      <c r="K47" s="9"/>
    </row>
    <row r="48" spans="1:11" s="12" customFormat="1" x14ac:dyDescent="0.25">
      <c r="A48" s="17" t="s">
        <v>677</v>
      </c>
      <c r="B48" s="13" t="s">
        <v>429</v>
      </c>
      <c r="C48" s="13" t="s">
        <v>23</v>
      </c>
      <c r="D48" s="58">
        <v>41760</v>
      </c>
      <c r="E48" s="19">
        <v>41835</v>
      </c>
      <c r="F48" s="84">
        <f t="shared" si="0"/>
        <v>0.20547945205479451</v>
      </c>
      <c r="G48" s="84">
        <f t="shared" si="1"/>
        <v>2.4657534246575343</v>
      </c>
      <c r="H48" s="93" t="s">
        <v>328</v>
      </c>
      <c r="I48" s="9" t="str">
        <f t="shared" si="2"/>
        <v>ELI-715</v>
      </c>
      <c r="J48" s="9"/>
      <c r="K48" s="9"/>
    </row>
    <row r="49" spans="1:11" s="12" customFormat="1" x14ac:dyDescent="0.25">
      <c r="A49" s="17" t="s">
        <v>678</v>
      </c>
      <c r="B49" s="13" t="s">
        <v>429</v>
      </c>
      <c r="C49" s="13" t="s">
        <v>23</v>
      </c>
      <c r="D49" s="58">
        <v>41760</v>
      </c>
      <c r="E49" s="19">
        <v>41835</v>
      </c>
      <c r="F49" s="84">
        <f t="shared" si="0"/>
        <v>0.20547945205479451</v>
      </c>
      <c r="G49" s="84">
        <f t="shared" si="1"/>
        <v>2.4657534246575343</v>
      </c>
      <c r="H49" s="93" t="s">
        <v>330</v>
      </c>
      <c r="I49" s="9" t="str">
        <f t="shared" si="2"/>
        <v>ELI-716</v>
      </c>
      <c r="J49" s="9"/>
      <c r="K49" s="9"/>
    </row>
    <row r="50" spans="1:11" s="12" customFormat="1" x14ac:dyDescent="0.25">
      <c r="A50" s="17" t="s">
        <v>683</v>
      </c>
      <c r="B50" s="13" t="s">
        <v>379</v>
      </c>
      <c r="C50" s="13" t="s">
        <v>28</v>
      </c>
      <c r="D50" s="57">
        <v>41760</v>
      </c>
      <c r="E50" s="19">
        <v>41829</v>
      </c>
      <c r="F50" s="84">
        <f t="shared" si="0"/>
        <v>0.18904109589041096</v>
      </c>
      <c r="G50" s="84">
        <f t="shared" si="1"/>
        <v>2.2684931506849315</v>
      </c>
      <c r="H50" s="93" t="s">
        <v>333</v>
      </c>
      <c r="I50" s="9" t="str">
        <f t="shared" si="2"/>
        <v>ELI-721</v>
      </c>
      <c r="J50" s="9"/>
      <c r="K50" s="9"/>
    </row>
    <row r="51" spans="1:11" s="12" customFormat="1" x14ac:dyDescent="0.25">
      <c r="A51" s="17" t="s">
        <v>684</v>
      </c>
      <c r="B51" s="13" t="s">
        <v>379</v>
      </c>
      <c r="C51" s="13" t="s">
        <v>28</v>
      </c>
      <c r="D51" s="57">
        <v>41760</v>
      </c>
      <c r="E51" s="19">
        <v>41829</v>
      </c>
      <c r="F51" s="84">
        <f t="shared" si="0"/>
        <v>0.18904109589041096</v>
      </c>
      <c r="G51" s="84">
        <f t="shared" si="1"/>
        <v>2.2684931506849315</v>
      </c>
      <c r="H51" s="93" t="s">
        <v>452</v>
      </c>
      <c r="I51" s="9" t="str">
        <f t="shared" si="2"/>
        <v>ELI-722</v>
      </c>
      <c r="J51" s="9"/>
      <c r="K51" s="9"/>
    </row>
    <row r="52" spans="1:11" s="12" customFormat="1" x14ac:dyDescent="0.25">
      <c r="A52" s="17" t="s">
        <v>708</v>
      </c>
      <c r="B52" s="13" t="e">
        <f>VLOOKUP(#REF!,[1]allprides!$A$2:$Y$170,3,FALSE)</f>
        <v>#REF!</v>
      </c>
      <c r="C52" s="13" t="s">
        <v>13</v>
      </c>
      <c r="D52" s="33">
        <v>41760</v>
      </c>
      <c r="E52" s="19">
        <v>42262</v>
      </c>
      <c r="F52" s="84">
        <f t="shared" si="0"/>
        <v>1.3753424657534246</v>
      </c>
      <c r="G52" s="84">
        <f t="shared" si="1"/>
        <v>16.504109589041093</v>
      </c>
      <c r="H52" s="93" t="s">
        <v>453</v>
      </c>
      <c r="I52" s="9" t="str">
        <f t="shared" si="2"/>
        <v>ELI-773</v>
      </c>
      <c r="J52" s="9"/>
      <c r="K52" s="9"/>
    </row>
    <row r="53" spans="1:11" s="12" customFormat="1" x14ac:dyDescent="0.25">
      <c r="A53" s="17" t="s">
        <v>682</v>
      </c>
      <c r="B53" s="13" t="s">
        <v>823</v>
      </c>
      <c r="C53" s="13" t="s">
        <v>13</v>
      </c>
      <c r="D53" s="49">
        <v>41744</v>
      </c>
      <c r="E53" s="19">
        <v>41831</v>
      </c>
      <c r="F53" s="84">
        <f t="shared" si="0"/>
        <v>0.23835616438356164</v>
      </c>
      <c r="G53" s="84">
        <f t="shared" si="1"/>
        <v>2.8602739726027395</v>
      </c>
      <c r="H53" s="93" t="s">
        <v>456</v>
      </c>
      <c r="I53" s="9" t="str">
        <f t="shared" si="2"/>
        <v>ELI-720</v>
      </c>
      <c r="J53" s="9"/>
      <c r="K53" s="9"/>
    </row>
    <row r="54" spans="1:11" s="12" customFormat="1" x14ac:dyDescent="0.25">
      <c r="A54" s="17" t="s">
        <v>681</v>
      </c>
      <c r="B54" s="13" t="s">
        <v>429</v>
      </c>
      <c r="C54" s="13" t="s">
        <v>23</v>
      </c>
      <c r="D54" s="15">
        <v>41730</v>
      </c>
      <c r="E54" s="19">
        <v>41835</v>
      </c>
      <c r="F54" s="84">
        <f t="shared" si="0"/>
        <v>0.28767123287671231</v>
      </c>
      <c r="G54" s="84">
        <f t="shared" si="1"/>
        <v>3.4520547945205475</v>
      </c>
      <c r="H54" s="93" t="s">
        <v>458</v>
      </c>
      <c r="I54" s="9" t="str">
        <f t="shared" si="2"/>
        <v>ELI-719</v>
      </c>
      <c r="J54" s="9"/>
      <c r="K54" s="9"/>
    </row>
    <row r="55" spans="1:11" s="12" customFormat="1" x14ac:dyDescent="0.25">
      <c r="A55" s="17" t="s">
        <v>706</v>
      </c>
      <c r="B55" s="13" t="e">
        <f>VLOOKUP(#REF!,[1]allprides!$A$2:$Y$170,3,FALSE)</f>
        <v>#REF!</v>
      </c>
      <c r="C55" s="13" t="s">
        <v>13</v>
      </c>
      <c r="D55" s="33">
        <v>41699</v>
      </c>
      <c r="E55" s="19">
        <v>42262</v>
      </c>
      <c r="F55" s="84">
        <f t="shared" si="0"/>
        <v>1.5424657534246575</v>
      </c>
      <c r="G55" s="84">
        <f t="shared" si="1"/>
        <v>18.509589041095889</v>
      </c>
      <c r="H55" s="93" t="s">
        <v>460</v>
      </c>
      <c r="I55" s="9" t="str">
        <f t="shared" si="2"/>
        <v>ELI-771</v>
      </c>
      <c r="J55" s="9"/>
      <c r="K55" s="9"/>
    </row>
    <row r="56" spans="1:11" s="12" customFormat="1" x14ac:dyDescent="0.25">
      <c r="A56" s="17" t="s">
        <v>707</v>
      </c>
      <c r="B56" s="13" t="e">
        <f>VLOOKUP(#REF!,[1]allprides!$A$2:$Y$170,3,FALSE)</f>
        <v>#REF!</v>
      </c>
      <c r="C56" s="13" t="s">
        <v>13</v>
      </c>
      <c r="D56" s="33">
        <v>41699</v>
      </c>
      <c r="E56" s="19">
        <v>42262</v>
      </c>
      <c r="F56" s="84">
        <f t="shared" si="0"/>
        <v>1.5424657534246575</v>
      </c>
      <c r="G56" s="84">
        <f t="shared" si="1"/>
        <v>18.509589041095889</v>
      </c>
      <c r="H56" s="93" t="s">
        <v>462</v>
      </c>
      <c r="I56" s="9" t="str">
        <f t="shared" si="2"/>
        <v>ELI-772</v>
      </c>
      <c r="J56" s="9"/>
      <c r="K56" s="9"/>
    </row>
    <row r="57" spans="1:11" s="12" customFormat="1" x14ac:dyDescent="0.25">
      <c r="A57" s="17" t="s">
        <v>700</v>
      </c>
      <c r="B57" s="13" t="s">
        <v>824</v>
      </c>
      <c r="C57" s="13" t="s">
        <v>13</v>
      </c>
      <c r="D57" s="43">
        <v>41662</v>
      </c>
      <c r="E57" s="19">
        <v>41753</v>
      </c>
      <c r="F57" s="84">
        <f t="shared" si="0"/>
        <v>0.24931506849315069</v>
      </c>
      <c r="G57" s="84">
        <f t="shared" si="1"/>
        <v>2.9917808219178084</v>
      </c>
      <c r="H57" s="93" t="s">
        <v>227</v>
      </c>
      <c r="I57" s="9" t="str">
        <f t="shared" si="2"/>
        <v>ELI-765</v>
      </c>
      <c r="J57" s="9"/>
      <c r="K57" s="9"/>
    </row>
    <row r="58" spans="1:11" s="12" customFormat="1" x14ac:dyDescent="0.25">
      <c r="A58" s="17" t="s">
        <v>701</v>
      </c>
      <c r="B58" s="13" t="s">
        <v>824</v>
      </c>
      <c r="C58" s="13" t="s">
        <v>13</v>
      </c>
      <c r="D58" s="43">
        <v>41662</v>
      </c>
      <c r="E58" s="19">
        <v>41753</v>
      </c>
      <c r="F58" s="84">
        <f t="shared" si="0"/>
        <v>0.24931506849315069</v>
      </c>
      <c r="G58" s="84">
        <f t="shared" si="1"/>
        <v>2.9917808219178084</v>
      </c>
      <c r="H58" s="93" t="s">
        <v>229</v>
      </c>
      <c r="I58" s="9" t="str">
        <f t="shared" si="2"/>
        <v>ELI-766</v>
      </c>
      <c r="J58" s="9"/>
      <c r="K58" s="9"/>
    </row>
    <row r="59" spans="1:11" s="12" customFormat="1" x14ac:dyDescent="0.25">
      <c r="A59" s="17" t="s">
        <v>702</v>
      </c>
      <c r="B59" s="13" t="s">
        <v>824</v>
      </c>
      <c r="C59" s="13" t="s">
        <v>13</v>
      </c>
      <c r="D59" s="43">
        <v>41662</v>
      </c>
      <c r="E59" s="19">
        <v>41753</v>
      </c>
      <c r="F59" s="84">
        <f t="shared" si="0"/>
        <v>0.24931506849315069</v>
      </c>
      <c r="G59" s="84">
        <f t="shared" si="1"/>
        <v>2.9917808219178084</v>
      </c>
      <c r="H59" s="93" t="s">
        <v>45</v>
      </c>
      <c r="I59" s="9" t="str">
        <f t="shared" si="2"/>
        <v>ELI-767</v>
      </c>
      <c r="J59" s="9"/>
      <c r="K59" s="9"/>
    </row>
    <row r="60" spans="1:11" s="12" customFormat="1" x14ac:dyDescent="0.25">
      <c r="A60" s="17" t="s">
        <v>703</v>
      </c>
      <c r="B60" s="13" t="s">
        <v>824</v>
      </c>
      <c r="C60" s="13" t="s">
        <v>13</v>
      </c>
      <c r="D60" s="43">
        <v>41662</v>
      </c>
      <c r="E60" s="19">
        <v>41753</v>
      </c>
      <c r="F60" s="84">
        <f t="shared" si="0"/>
        <v>0.24931506849315069</v>
      </c>
      <c r="G60" s="84">
        <f t="shared" si="1"/>
        <v>2.9917808219178084</v>
      </c>
      <c r="H60" s="93" t="s">
        <v>49</v>
      </c>
      <c r="I60" s="9" t="str">
        <f t="shared" si="2"/>
        <v>ELI-768</v>
      </c>
      <c r="J60" s="9"/>
      <c r="K60" s="9"/>
    </row>
    <row r="61" spans="1:11" s="12" customFormat="1" x14ac:dyDescent="0.25">
      <c r="A61" s="17" t="s">
        <v>704</v>
      </c>
      <c r="B61" s="13" t="s">
        <v>824</v>
      </c>
      <c r="C61" s="13" t="s">
        <v>13</v>
      </c>
      <c r="D61" s="43">
        <v>41662</v>
      </c>
      <c r="E61" s="19">
        <v>41753</v>
      </c>
      <c r="F61" s="84">
        <f t="shared" si="0"/>
        <v>0.24931506849315069</v>
      </c>
      <c r="G61" s="84">
        <f t="shared" si="1"/>
        <v>2.9917808219178084</v>
      </c>
      <c r="H61" s="93" t="s">
        <v>51</v>
      </c>
      <c r="I61" s="9" t="str">
        <f t="shared" si="2"/>
        <v>ELI-769</v>
      </c>
      <c r="J61" s="9"/>
      <c r="K61" s="9"/>
    </row>
    <row r="62" spans="1:11" s="12" customFormat="1" x14ac:dyDescent="0.25">
      <c r="A62" s="17" t="s">
        <v>692</v>
      </c>
      <c r="B62" s="13" t="s">
        <v>826</v>
      </c>
      <c r="C62" s="13" t="s">
        <v>23</v>
      </c>
      <c r="D62" s="58">
        <v>41659</v>
      </c>
      <c r="E62" s="19">
        <v>41813</v>
      </c>
      <c r="F62" s="84">
        <f t="shared" si="0"/>
        <v>0.42191780821917807</v>
      </c>
      <c r="G62" s="84">
        <f t="shared" si="1"/>
        <v>5.0630136986301366</v>
      </c>
      <c r="H62" s="93" t="s">
        <v>159</v>
      </c>
      <c r="I62" s="9" t="str">
        <f t="shared" si="2"/>
        <v>ELI-752</v>
      </c>
      <c r="J62" s="9"/>
      <c r="K62" s="9"/>
    </row>
    <row r="63" spans="1:11" s="12" customFormat="1" x14ac:dyDescent="0.25">
      <c r="A63" s="17" t="s">
        <v>693</v>
      </c>
      <c r="B63" s="13" t="s">
        <v>826</v>
      </c>
      <c r="C63" s="13" t="s">
        <v>13</v>
      </c>
      <c r="D63" s="58">
        <v>41659</v>
      </c>
      <c r="E63" s="19">
        <v>41813</v>
      </c>
      <c r="F63" s="84">
        <f t="shared" si="0"/>
        <v>0.42191780821917807</v>
      </c>
      <c r="G63" s="84">
        <f t="shared" si="1"/>
        <v>5.0630136986301366</v>
      </c>
      <c r="H63" s="93" t="s">
        <v>53</v>
      </c>
      <c r="I63" s="9" t="str">
        <f t="shared" si="2"/>
        <v>ELI-753</v>
      </c>
      <c r="J63" s="9"/>
      <c r="K63" s="9"/>
    </row>
    <row r="64" spans="1:11" s="12" customFormat="1" x14ac:dyDescent="0.25">
      <c r="A64" s="17" t="s">
        <v>694</v>
      </c>
      <c r="B64" s="13" t="s">
        <v>826</v>
      </c>
      <c r="C64" s="13" t="s">
        <v>28</v>
      </c>
      <c r="D64" s="58">
        <v>41659</v>
      </c>
      <c r="E64" s="19">
        <v>41813</v>
      </c>
      <c r="F64" s="84">
        <f t="shared" si="0"/>
        <v>0.42191780821917807</v>
      </c>
      <c r="G64" s="84">
        <f t="shared" si="1"/>
        <v>5.0630136986301366</v>
      </c>
      <c r="H64" s="93" t="s">
        <v>209</v>
      </c>
      <c r="I64" s="9" t="str">
        <f t="shared" si="2"/>
        <v>ELI-754</v>
      </c>
      <c r="J64" s="9"/>
      <c r="K64" s="9"/>
    </row>
    <row r="65" spans="1:11" s="12" customFormat="1" x14ac:dyDescent="0.25">
      <c r="A65" s="17" t="s">
        <v>631</v>
      </c>
      <c r="B65" s="13" t="s">
        <v>150</v>
      </c>
      <c r="C65" s="16" t="s">
        <v>23</v>
      </c>
      <c r="D65" s="64">
        <v>41654</v>
      </c>
      <c r="E65" s="19">
        <v>41724</v>
      </c>
      <c r="F65" s="84">
        <f t="shared" si="0"/>
        <v>0.19178082191780821</v>
      </c>
      <c r="G65" s="84">
        <f t="shared" si="1"/>
        <v>2.3013698630136985</v>
      </c>
      <c r="H65" s="93" t="s">
        <v>211</v>
      </c>
      <c r="I65" s="9" t="str">
        <f t="shared" si="2"/>
        <v>ELI-604</v>
      </c>
      <c r="J65" s="9"/>
      <c r="K65" s="9"/>
    </row>
    <row r="66" spans="1:11" s="12" customFormat="1" x14ac:dyDescent="0.25">
      <c r="A66" s="17" t="s">
        <v>632</v>
      </c>
      <c r="B66" s="13" t="s">
        <v>150</v>
      </c>
      <c r="C66" s="16" t="s">
        <v>13</v>
      </c>
      <c r="D66" s="64">
        <v>41654</v>
      </c>
      <c r="E66" s="19">
        <v>41724</v>
      </c>
      <c r="F66" s="84">
        <f t="shared" si="0"/>
        <v>0.19178082191780821</v>
      </c>
      <c r="G66" s="84">
        <f t="shared" si="1"/>
        <v>2.3013698630136985</v>
      </c>
      <c r="H66" s="93" t="s">
        <v>124</v>
      </c>
      <c r="I66" s="9" t="str">
        <f t="shared" si="2"/>
        <v>ELI-606</v>
      </c>
      <c r="J66" s="9"/>
      <c r="K66" s="9"/>
    </row>
    <row r="67" spans="1:11" s="12" customFormat="1" x14ac:dyDescent="0.25">
      <c r="A67" s="17" t="s">
        <v>633</v>
      </c>
      <c r="B67" s="13" t="s">
        <v>150</v>
      </c>
      <c r="C67" s="16" t="s">
        <v>13</v>
      </c>
      <c r="D67" s="64">
        <v>41654</v>
      </c>
      <c r="E67" s="19">
        <v>41724</v>
      </c>
      <c r="F67" s="84">
        <f t="shared" ref="F67:F116" si="3">(E67-D67)/365</f>
        <v>0.19178082191780821</v>
      </c>
      <c r="G67" s="84">
        <f t="shared" ref="G67:G116" si="4">F67*12</f>
        <v>2.3013698630136985</v>
      </c>
      <c r="H67" s="93" t="s">
        <v>57</v>
      </c>
      <c r="I67" s="9" t="str">
        <f t="shared" ref="I67:I130" si="5">VLOOKUP(A67,H$2:H$232,1,FALSE)</f>
        <v>ELI-607</v>
      </c>
      <c r="J67" s="9"/>
      <c r="K67" s="9"/>
    </row>
    <row r="68" spans="1:11" s="12" customFormat="1" x14ac:dyDescent="0.25">
      <c r="A68" s="17" t="s">
        <v>686</v>
      </c>
      <c r="B68" s="13" t="s">
        <v>821</v>
      </c>
      <c r="C68" s="13" t="s">
        <v>13</v>
      </c>
      <c r="D68" s="15">
        <v>41654</v>
      </c>
      <c r="E68" s="19">
        <v>41821</v>
      </c>
      <c r="F68" s="84">
        <f t="shared" si="3"/>
        <v>0.45753424657534247</v>
      </c>
      <c r="G68" s="84">
        <f t="shared" si="4"/>
        <v>5.4904109589041097</v>
      </c>
      <c r="H68" s="93" t="s">
        <v>59</v>
      </c>
      <c r="I68" s="9" t="str">
        <f t="shared" si="5"/>
        <v>ELI-736</v>
      </c>
      <c r="J68" s="9"/>
      <c r="K68" s="9"/>
    </row>
    <row r="69" spans="1:11" s="12" customFormat="1" x14ac:dyDescent="0.25">
      <c r="A69" s="29" t="s">
        <v>669</v>
      </c>
      <c r="B69" s="30" t="s">
        <v>820</v>
      </c>
      <c r="C69" s="30" t="s">
        <v>13</v>
      </c>
      <c r="D69" s="65">
        <v>41650</v>
      </c>
      <c r="E69" s="31">
        <v>41794</v>
      </c>
      <c r="F69" s="84">
        <f t="shared" si="3"/>
        <v>0.39452054794520547</v>
      </c>
      <c r="G69" s="84">
        <f t="shared" si="4"/>
        <v>4.7342465753424658</v>
      </c>
      <c r="H69" s="93" t="s">
        <v>126</v>
      </c>
      <c r="I69" s="9" t="str">
        <f t="shared" si="5"/>
        <v>ELI-708</v>
      </c>
      <c r="J69" s="9"/>
      <c r="K69" s="9"/>
    </row>
    <row r="70" spans="1:11" s="12" customFormat="1" x14ac:dyDescent="0.25">
      <c r="A70" s="29" t="s">
        <v>672</v>
      </c>
      <c r="B70" s="30" t="s">
        <v>820</v>
      </c>
      <c r="C70" s="30" t="s">
        <v>13</v>
      </c>
      <c r="D70" s="65">
        <v>41650</v>
      </c>
      <c r="E70" s="31">
        <v>41794</v>
      </c>
      <c r="F70" s="84">
        <f t="shared" si="3"/>
        <v>0.39452054794520547</v>
      </c>
      <c r="G70" s="84">
        <f t="shared" si="4"/>
        <v>4.7342465753424658</v>
      </c>
      <c r="H70" s="93" t="s">
        <v>128</v>
      </c>
      <c r="I70" s="9" t="str">
        <f t="shared" si="5"/>
        <v>ELI-709</v>
      </c>
      <c r="J70" s="9"/>
      <c r="K70" s="9"/>
    </row>
    <row r="71" spans="1:11" s="12" customFormat="1" x14ac:dyDescent="0.25">
      <c r="A71" s="29" t="s">
        <v>673</v>
      </c>
      <c r="B71" s="30" t="s">
        <v>820</v>
      </c>
      <c r="C71" s="30" t="s">
        <v>13</v>
      </c>
      <c r="D71" s="65">
        <v>41650</v>
      </c>
      <c r="E71" s="31">
        <v>41794</v>
      </c>
      <c r="F71" s="84">
        <f t="shared" si="3"/>
        <v>0.39452054794520547</v>
      </c>
      <c r="G71" s="84">
        <f t="shared" si="4"/>
        <v>4.7342465753424658</v>
      </c>
      <c r="H71" s="93" t="s">
        <v>130</v>
      </c>
      <c r="I71" s="9" t="str">
        <f t="shared" si="5"/>
        <v>ELI-710</v>
      </c>
      <c r="J71" s="9"/>
      <c r="K71" s="9"/>
    </row>
    <row r="72" spans="1:11" s="12" customFormat="1" x14ac:dyDescent="0.25">
      <c r="A72" s="29" t="s">
        <v>674</v>
      </c>
      <c r="B72" s="30" t="s">
        <v>820</v>
      </c>
      <c r="C72" s="30" t="s">
        <v>13</v>
      </c>
      <c r="D72" s="65">
        <v>41650</v>
      </c>
      <c r="E72" s="31">
        <v>41794</v>
      </c>
      <c r="F72" s="84">
        <f t="shared" si="3"/>
        <v>0.39452054794520547</v>
      </c>
      <c r="G72" s="84">
        <f t="shared" si="4"/>
        <v>4.7342465753424658</v>
      </c>
      <c r="H72" s="93" t="s">
        <v>132</v>
      </c>
      <c r="I72" s="9" t="str">
        <f t="shared" si="5"/>
        <v>ELI-711</v>
      </c>
      <c r="J72" s="9"/>
      <c r="K72" s="9"/>
    </row>
    <row r="73" spans="1:11" x14ac:dyDescent="0.25">
      <c r="A73" s="20"/>
      <c r="B73" s="21"/>
      <c r="C73" s="21"/>
      <c r="D73" s="22"/>
      <c r="E73" s="23"/>
      <c r="G73" s="85"/>
      <c r="H73" s="93" t="s">
        <v>134</v>
      </c>
      <c r="I73" s="9" t="e">
        <f t="shared" si="5"/>
        <v>#N/A</v>
      </c>
    </row>
    <row r="74" spans="1:11" s="10" customFormat="1" x14ac:dyDescent="0.25">
      <c r="A74" s="11" t="s">
        <v>685</v>
      </c>
      <c r="B74" s="32" t="s">
        <v>821</v>
      </c>
      <c r="C74" s="32" t="s">
        <v>13</v>
      </c>
      <c r="D74" s="63">
        <v>41609</v>
      </c>
      <c r="E74" s="34">
        <v>41821</v>
      </c>
      <c r="F74" s="84">
        <f t="shared" si="3"/>
        <v>0.58082191780821912</v>
      </c>
      <c r="G74" s="84">
        <f t="shared" si="4"/>
        <v>6.9698630136986299</v>
      </c>
      <c r="H74" s="93" t="s">
        <v>137</v>
      </c>
      <c r="I74" s="9" t="str">
        <f t="shared" si="5"/>
        <v>ELI-735</v>
      </c>
      <c r="J74" s="9"/>
      <c r="K74" s="9"/>
    </row>
    <row r="75" spans="1:11" s="10" customFormat="1" x14ac:dyDescent="0.25">
      <c r="A75" s="11" t="s">
        <v>687</v>
      </c>
      <c r="B75" s="32" t="s">
        <v>821</v>
      </c>
      <c r="C75" s="32" t="s">
        <v>23</v>
      </c>
      <c r="D75" s="63">
        <v>41609</v>
      </c>
      <c r="E75" s="34">
        <v>41821</v>
      </c>
      <c r="F75" s="84">
        <f t="shared" si="3"/>
        <v>0.58082191780821912</v>
      </c>
      <c r="G75" s="84">
        <f t="shared" si="4"/>
        <v>6.9698630136986299</v>
      </c>
      <c r="H75" s="93" t="s">
        <v>139</v>
      </c>
      <c r="I75" s="9" t="str">
        <f t="shared" si="5"/>
        <v>ELI-737</v>
      </c>
      <c r="J75" s="9"/>
      <c r="K75" s="9"/>
    </row>
    <row r="76" spans="1:11" s="10" customFormat="1" x14ac:dyDescent="0.25">
      <c r="A76" s="11" t="s">
        <v>695</v>
      </c>
      <c r="B76" s="32" t="s">
        <v>826</v>
      </c>
      <c r="C76" s="32" t="s">
        <v>28</v>
      </c>
      <c r="D76" s="61">
        <v>41593</v>
      </c>
      <c r="E76" s="34">
        <v>41813</v>
      </c>
      <c r="F76" s="84">
        <f t="shared" si="3"/>
        <v>0.60273972602739723</v>
      </c>
      <c r="G76" s="84">
        <f t="shared" si="4"/>
        <v>7.2328767123287667</v>
      </c>
      <c r="H76" s="93" t="s">
        <v>493</v>
      </c>
      <c r="I76" s="9" t="str">
        <f t="shared" si="5"/>
        <v>ELI-755</v>
      </c>
      <c r="J76" s="9"/>
      <c r="K76" s="9"/>
    </row>
    <row r="77" spans="1:11" s="10" customFormat="1" x14ac:dyDescent="0.25">
      <c r="A77" s="11" t="s">
        <v>696</v>
      </c>
      <c r="B77" s="32" t="s">
        <v>826</v>
      </c>
      <c r="C77" s="32" t="s">
        <v>28</v>
      </c>
      <c r="D77" s="61">
        <v>41593</v>
      </c>
      <c r="E77" s="34">
        <v>41813</v>
      </c>
      <c r="F77" s="84">
        <f t="shared" si="3"/>
        <v>0.60273972602739723</v>
      </c>
      <c r="G77" s="84">
        <f t="shared" si="4"/>
        <v>7.2328767123287667</v>
      </c>
      <c r="H77" s="93" t="s">
        <v>495</v>
      </c>
      <c r="I77" s="9" t="str">
        <f t="shared" si="5"/>
        <v>ELI-756</v>
      </c>
      <c r="J77" s="9"/>
      <c r="K77" s="9"/>
    </row>
    <row r="78" spans="1:11" s="10" customFormat="1" x14ac:dyDescent="0.25">
      <c r="A78" s="11" t="s">
        <v>697</v>
      </c>
      <c r="B78" s="32" t="s">
        <v>826</v>
      </c>
      <c r="C78" s="32" t="s">
        <v>28</v>
      </c>
      <c r="D78" s="61">
        <v>41593</v>
      </c>
      <c r="E78" s="34">
        <v>41813</v>
      </c>
      <c r="F78" s="84">
        <f t="shared" si="3"/>
        <v>0.60273972602739723</v>
      </c>
      <c r="G78" s="84">
        <f t="shared" si="4"/>
        <v>7.2328767123287667</v>
      </c>
      <c r="H78" s="93" t="s">
        <v>497</v>
      </c>
      <c r="I78" s="9" t="str">
        <f t="shared" si="5"/>
        <v>ELI-757</v>
      </c>
      <c r="J78" s="9"/>
      <c r="K78" s="9"/>
    </row>
    <row r="79" spans="1:11" s="10" customFormat="1" x14ac:dyDescent="0.25">
      <c r="A79" s="11" t="s">
        <v>698</v>
      </c>
      <c r="B79" s="32" t="s">
        <v>826</v>
      </c>
      <c r="C79" s="32" t="s">
        <v>28</v>
      </c>
      <c r="D79" s="66">
        <v>41562</v>
      </c>
      <c r="E79" s="34">
        <v>41813</v>
      </c>
      <c r="F79" s="84">
        <f t="shared" si="3"/>
        <v>0.68767123287671228</v>
      </c>
      <c r="G79" s="84">
        <f t="shared" si="4"/>
        <v>8.2520547945205465</v>
      </c>
      <c r="H79" s="93" t="s">
        <v>499</v>
      </c>
      <c r="I79" s="9" t="str">
        <f t="shared" si="5"/>
        <v>ELI-758</v>
      </c>
      <c r="J79" s="9"/>
      <c r="K79" s="9"/>
    </row>
    <row r="80" spans="1:11" s="10" customFormat="1" x14ac:dyDescent="0.25">
      <c r="A80" s="11" t="s">
        <v>699</v>
      </c>
      <c r="B80" s="32" t="s">
        <v>826</v>
      </c>
      <c r="C80" s="32" t="s">
        <v>28</v>
      </c>
      <c r="D80" s="66">
        <v>41562</v>
      </c>
      <c r="E80" s="34">
        <v>41813</v>
      </c>
      <c r="F80" s="84">
        <f t="shared" si="3"/>
        <v>0.68767123287671228</v>
      </c>
      <c r="G80" s="84">
        <f t="shared" si="4"/>
        <v>8.2520547945205465</v>
      </c>
      <c r="H80" s="93" t="s">
        <v>501</v>
      </c>
      <c r="I80" s="9" t="str">
        <f t="shared" si="5"/>
        <v>ELI-759</v>
      </c>
      <c r="J80" s="9"/>
      <c r="K80" s="9"/>
    </row>
    <row r="81" spans="1:11" s="91" customFormat="1" x14ac:dyDescent="0.25">
      <c r="A81" s="87" t="s">
        <v>286</v>
      </c>
      <c r="B81" s="91" t="s">
        <v>287</v>
      </c>
      <c r="C81" s="87" t="s">
        <v>13</v>
      </c>
      <c r="D81" s="92">
        <v>41548</v>
      </c>
      <c r="E81" s="89">
        <v>42292</v>
      </c>
      <c r="F81" s="90">
        <f t="shared" si="3"/>
        <v>2.0383561643835617</v>
      </c>
      <c r="G81" s="90">
        <f t="shared" si="4"/>
        <v>24.460273972602742</v>
      </c>
      <c r="H81" s="93" t="s">
        <v>503</v>
      </c>
      <c r="I81" s="9" t="e">
        <f t="shared" si="5"/>
        <v>#N/A</v>
      </c>
    </row>
    <row r="82" spans="1:11" s="10" customFormat="1" x14ac:dyDescent="0.25">
      <c r="A82" s="10" t="s">
        <v>642</v>
      </c>
      <c r="B82" s="32" t="s">
        <v>821</v>
      </c>
      <c r="C82" s="35" t="s">
        <v>13</v>
      </c>
      <c r="D82" s="67">
        <v>41527</v>
      </c>
      <c r="E82" s="34">
        <v>41556</v>
      </c>
      <c r="F82" s="84">
        <f t="shared" si="3"/>
        <v>7.9452054794520555E-2</v>
      </c>
      <c r="G82" s="84">
        <f t="shared" si="4"/>
        <v>0.95342465753424666</v>
      </c>
      <c r="H82" s="93" t="s">
        <v>505</v>
      </c>
      <c r="I82" s="9" t="str">
        <f t="shared" si="5"/>
        <v>ELI-618</v>
      </c>
      <c r="J82" s="9"/>
      <c r="K82" s="9"/>
    </row>
    <row r="83" spans="1:11" s="10" customFormat="1" x14ac:dyDescent="0.25">
      <c r="A83" s="10" t="s">
        <v>643</v>
      </c>
      <c r="B83" s="32" t="s">
        <v>821</v>
      </c>
      <c r="C83" s="35" t="s">
        <v>28</v>
      </c>
      <c r="D83" s="67">
        <v>41527</v>
      </c>
      <c r="E83" s="34">
        <v>41556</v>
      </c>
      <c r="F83" s="84">
        <f t="shared" si="3"/>
        <v>7.9452054794520555E-2</v>
      </c>
      <c r="G83" s="84">
        <f t="shared" si="4"/>
        <v>0.95342465753424666</v>
      </c>
      <c r="H83" s="93" t="s">
        <v>507</v>
      </c>
      <c r="I83" s="9" t="str">
        <f t="shared" si="5"/>
        <v>ELI-619</v>
      </c>
      <c r="J83" s="9"/>
      <c r="K83" s="9"/>
    </row>
    <row r="84" spans="1:11" s="10" customFormat="1" x14ac:dyDescent="0.25">
      <c r="A84" s="11" t="s">
        <v>710</v>
      </c>
      <c r="B84" s="32" t="s">
        <v>807</v>
      </c>
      <c r="C84" s="32" t="s">
        <v>13</v>
      </c>
      <c r="D84" s="44">
        <v>41518</v>
      </c>
      <c r="E84" s="34">
        <v>41887</v>
      </c>
      <c r="F84" s="84">
        <f t="shared" si="3"/>
        <v>1.010958904109589</v>
      </c>
      <c r="G84" s="84">
        <f t="shared" si="4"/>
        <v>12.131506849315068</v>
      </c>
      <c r="H84" s="93" t="s">
        <v>466</v>
      </c>
      <c r="I84" s="9" t="str">
        <f t="shared" si="5"/>
        <v>ELI-775</v>
      </c>
      <c r="J84" s="9"/>
      <c r="K84" s="9"/>
    </row>
    <row r="85" spans="1:11" s="10" customFormat="1" x14ac:dyDescent="0.25">
      <c r="A85" s="11" t="s">
        <v>711</v>
      </c>
      <c r="B85" s="32" t="s">
        <v>807</v>
      </c>
      <c r="C85" s="32" t="s">
        <v>13</v>
      </c>
      <c r="D85" s="44">
        <v>41518</v>
      </c>
      <c r="E85" s="34">
        <v>41887</v>
      </c>
      <c r="F85" s="84">
        <f t="shared" si="3"/>
        <v>1.010958904109589</v>
      </c>
      <c r="G85" s="84">
        <f t="shared" si="4"/>
        <v>12.131506849315068</v>
      </c>
      <c r="H85" s="93" t="s">
        <v>468</v>
      </c>
      <c r="I85" s="9" t="str">
        <f t="shared" si="5"/>
        <v>ELI-776</v>
      </c>
      <c r="J85" s="9"/>
      <c r="K85" s="9"/>
    </row>
    <row r="86" spans="1:11" s="10" customFormat="1" x14ac:dyDescent="0.25">
      <c r="A86" s="11" t="s">
        <v>712</v>
      </c>
      <c r="B86" s="32" t="s">
        <v>807</v>
      </c>
      <c r="C86" s="32" t="s">
        <v>13</v>
      </c>
      <c r="D86" s="44">
        <v>41518</v>
      </c>
      <c r="E86" s="34">
        <v>41887</v>
      </c>
      <c r="F86" s="84">
        <f t="shared" si="3"/>
        <v>1.010958904109589</v>
      </c>
      <c r="G86" s="84">
        <f t="shared" si="4"/>
        <v>12.131506849315068</v>
      </c>
      <c r="H86" s="93" t="s">
        <v>232</v>
      </c>
      <c r="I86" s="9" t="str">
        <f t="shared" si="5"/>
        <v>ELI-777</v>
      </c>
      <c r="J86" s="9"/>
      <c r="K86" s="9"/>
    </row>
    <row r="87" spans="1:11" s="10" customFormat="1" x14ac:dyDescent="0.25">
      <c r="A87" s="11" t="s">
        <v>713</v>
      </c>
      <c r="B87" s="32" t="s">
        <v>807</v>
      </c>
      <c r="C87" s="32" t="s">
        <v>13</v>
      </c>
      <c r="D87" s="44">
        <v>41518</v>
      </c>
      <c r="E87" s="34">
        <v>41887</v>
      </c>
      <c r="F87" s="84">
        <f t="shared" si="3"/>
        <v>1.010958904109589</v>
      </c>
      <c r="G87" s="84">
        <f t="shared" si="4"/>
        <v>12.131506849315068</v>
      </c>
      <c r="H87" s="93" t="s">
        <v>558</v>
      </c>
      <c r="I87" s="9" t="str">
        <f t="shared" si="5"/>
        <v>ELI-778</v>
      </c>
      <c r="J87" s="9"/>
      <c r="K87" s="9"/>
    </row>
    <row r="88" spans="1:11" s="10" customFormat="1" x14ac:dyDescent="0.25">
      <c r="A88" s="10" t="s">
        <v>639</v>
      </c>
      <c r="B88" s="32" t="s">
        <v>821</v>
      </c>
      <c r="C88" s="35" t="s">
        <v>23</v>
      </c>
      <c r="D88" s="39">
        <v>41501</v>
      </c>
      <c r="E88" s="34">
        <v>41518</v>
      </c>
      <c r="F88" s="84">
        <f t="shared" si="3"/>
        <v>4.6575342465753428E-2</v>
      </c>
      <c r="G88" s="84">
        <f t="shared" si="4"/>
        <v>0.55890410958904113</v>
      </c>
      <c r="H88" s="93" t="s">
        <v>560</v>
      </c>
      <c r="I88" s="9" t="str">
        <f t="shared" si="5"/>
        <v>ELI-615</v>
      </c>
      <c r="J88" s="9"/>
      <c r="K88" s="9"/>
    </row>
    <row r="89" spans="1:11" s="10" customFormat="1" x14ac:dyDescent="0.25">
      <c r="A89" s="10" t="s">
        <v>640</v>
      </c>
      <c r="B89" s="32" t="s">
        <v>821</v>
      </c>
      <c r="C89" s="35" t="s">
        <v>13</v>
      </c>
      <c r="D89" s="39">
        <v>41501</v>
      </c>
      <c r="E89" s="34">
        <v>41518</v>
      </c>
      <c r="F89" s="84">
        <f t="shared" si="3"/>
        <v>4.6575342465753428E-2</v>
      </c>
      <c r="G89" s="84">
        <f t="shared" si="4"/>
        <v>0.55890410958904113</v>
      </c>
      <c r="H89" s="93" t="s">
        <v>189</v>
      </c>
      <c r="I89" s="9" t="str">
        <f t="shared" si="5"/>
        <v>ELI-616</v>
      </c>
      <c r="J89" s="9"/>
      <c r="K89" s="9"/>
    </row>
    <row r="90" spans="1:11" s="10" customFormat="1" ht="15" customHeight="1" x14ac:dyDescent="0.25">
      <c r="A90" s="10" t="s">
        <v>641</v>
      </c>
      <c r="B90" s="32" t="s">
        <v>821</v>
      </c>
      <c r="C90" s="35" t="s">
        <v>23</v>
      </c>
      <c r="D90" s="39">
        <v>41501</v>
      </c>
      <c r="E90" s="34">
        <v>41518</v>
      </c>
      <c r="F90" s="84">
        <f t="shared" si="3"/>
        <v>4.6575342465753428E-2</v>
      </c>
      <c r="G90" s="84">
        <f t="shared" si="4"/>
        <v>0.55890410958904113</v>
      </c>
      <c r="H90" s="93" t="s">
        <v>470</v>
      </c>
      <c r="I90" s="9" t="str">
        <f t="shared" si="5"/>
        <v>ELI-617</v>
      </c>
      <c r="J90" s="9"/>
      <c r="K90" s="9"/>
    </row>
    <row r="91" spans="1:11" s="10" customFormat="1" x14ac:dyDescent="0.25">
      <c r="A91" s="10" t="s">
        <v>629</v>
      </c>
      <c r="B91" s="32" t="s">
        <v>429</v>
      </c>
      <c r="C91" s="35" t="s">
        <v>28</v>
      </c>
      <c r="D91" s="68">
        <v>41470</v>
      </c>
      <c r="E91" s="34">
        <v>41563</v>
      </c>
      <c r="F91" s="84">
        <f t="shared" si="3"/>
        <v>0.25479452054794521</v>
      </c>
      <c r="G91" s="84">
        <f t="shared" si="4"/>
        <v>3.0575342465753428</v>
      </c>
      <c r="H91" s="93" t="s">
        <v>191</v>
      </c>
      <c r="I91" s="9" t="str">
        <f t="shared" si="5"/>
        <v>ELI-600</v>
      </c>
      <c r="J91" s="9"/>
      <c r="K91" s="9"/>
    </row>
    <row r="92" spans="1:11" s="10" customFormat="1" x14ac:dyDescent="0.25">
      <c r="A92" s="10" t="s">
        <v>630</v>
      </c>
      <c r="B92" s="32" t="s">
        <v>429</v>
      </c>
      <c r="C92" s="35" t="s">
        <v>28</v>
      </c>
      <c r="D92" s="68">
        <v>41470</v>
      </c>
      <c r="E92" s="34">
        <v>41563</v>
      </c>
      <c r="F92" s="84">
        <f t="shared" si="3"/>
        <v>0.25479452054794521</v>
      </c>
      <c r="G92" s="84">
        <f t="shared" si="4"/>
        <v>3.0575342465753428</v>
      </c>
      <c r="H92" s="93" t="s">
        <v>193</v>
      </c>
      <c r="I92" s="9" t="str">
        <f t="shared" si="5"/>
        <v>ELI-601</v>
      </c>
      <c r="J92" s="9"/>
      <c r="K92" s="9"/>
    </row>
    <row r="93" spans="1:11" s="10" customFormat="1" x14ac:dyDescent="0.25">
      <c r="A93" s="10" t="s">
        <v>637</v>
      </c>
      <c r="B93" s="32" t="s">
        <v>821</v>
      </c>
      <c r="C93" s="35" t="s">
        <v>13</v>
      </c>
      <c r="D93" s="14">
        <v>41470</v>
      </c>
      <c r="E93" s="34">
        <v>41518</v>
      </c>
      <c r="F93" s="84">
        <f t="shared" si="3"/>
        <v>0.13150684931506848</v>
      </c>
      <c r="G93" s="84">
        <f t="shared" si="4"/>
        <v>1.5780821917808217</v>
      </c>
      <c r="H93" s="93" t="s">
        <v>195</v>
      </c>
      <c r="I93" s="9" t="str">
        <f t="shared" si="5"/>
        <v>ELI-612</v>
      </c>
      <c r="J93" s="9"/>
      <c r="K93" s="9"/>
    </row>
    <row r="94" spans="1:11" s="10" customFormat="1" x14ac:dyDescent="0.25">
      <c r="A94" s="10" t="s">
        <v>638</v>
      </c>
      <c r="B94" s="32" t="s">
        <v>821</v>
      </c>
      <c r="C94" s="35" t="s">
        <v>13</v>
      </c>
      <c r="D94" s="14">
        <v>41470</v>
      </c>
      <c r="E94" s="34">
        <v>41518</v>
      </c>
      <c r="F94" s="84">
        <f t="shared" si="3"/>
        <v>0.13150684931506848</v>
      </c>
      <c r="G94" s="84">
        <f t="shared" si="4"/>
        <v>1.5780821917808217</v>
      </c>
      <c r="H94" s="93" t="s">
        <v>259</v>
      </c>
      <c r="I94" s="9" t="str">
        <f t="shared" si="5"/>
        <v>ELI-613</v>
      </c>
      <c r="J94" s="9"/>
      <c r="K94" s="9"/>
    </row>
    <row r="95" spans="1:11" s="10" customFormat="1" x14ac:dyDescent="0.25">
      <c r="A95" s="10" t="s">
        <v>653</v>
      </c>
      <c r="B95" s="32" t="s">
        <v>379</v>
      </c>
      <c r="C95" s="35" t="s">
        <v>23</v>
      </c>
      <c r="D95" s="33">
        <v>41395</v>
      </c>
      <c r="E95" s="34">
        <v>41516</v>
      </c>
      <c r="F95" s="84">
        <f t="shared" si="3"/>
        <v>0.33150684931506852</v>
      </c>
      <c r="G95" s="84">
        <f t="shared" si="4"/>
        <v>3.978082191780822</v>
      </c>
      <c r="H95" s="93" t="s">
        <v>261</v>
      </c>
      <c r="I95" s="9" t="str">
        <f t="shared" si="5"/>
        <v>ELI-657</v>
      </c>
      <c r="J95" s="9"/>
      <c r="K95" s="9"/>
    </row>
    <row r="96" spans="1:11" s="10" customFormat="1" x14ac:dyDescent="0.25">
      <c r="A96" s="32" t="s">
        <v>94</v>
      </c>
      <c r="B96" s="32" t="s">
        <v>95</v>
      </c>
      <c r="C96" s="32" t="s">
        <v>13</v>
      </c>
      <c r="D96" s="46">
        <v>41379</v>
      </c>
      <c r="E96" s="34">
        <v>41391</v>
      </c>
      <c r="F96" s="84">
        <f t="shared" si="3"/>
        <v>3.287671232876712E-2</v>
      </c>
      <c r="G96" s="84">
        <f t="shared" si="4"/>
        <v>0.39452054794520541</v>
      </c>
      <c r="H96" s="93" t="s">
        <v>263</v>
      </c>
      <c r="I96" s="9" t="str">
        <f t="shared" si="5"/>
        <v>ELI-590</v>
      </c>
      <c r="J96" s="9"/>
      <c r="K96" s="9"/>
    </row>
    <row r="97" spans="1:11" s="10" customFormat="1" x14ac:dyDescent="0.25">
      <c r="A97" s="32" t="s">
        <v>96</v>
      </c>
      <c r="B97" s="32" t="s">
        <v>97</v>
      </c>
      <c r="C97" s="32" t="s">
        <v>28</v>
      </c>
      <c r="D97" s="46">
        <v>41379</v>
      </c>
      <c r="E97" s="34">
        <v>41391</v>
      </c>
      <c r="F97" s="84">
        <f t="shared" si="3"/>
        <v>3.287671232876712E-2</v>
      </c>
      <c r="G97" s="84">
        <f t="shared" si="4"/>
        <v>0.39452054794520541</v>
      </c>
      <c r="H97" s="93" t="s">
        <v>265</v>
      </c>
      <c r="I97" s="9" t="str">
        <f t="shared" si="5"/>
        <v>ELI-591</v>
      </c>
      <c r="J97" s="9"/>
      <c r="K97" s="9"/>
    </row>
    <row r="98" spans="1:11" s="10" customFormat="1" x14ac:dyDescent="0.25">
      <c r="A98" s="32" t="s">
        <v>98</v>
      </c>
      <c r="B98" s="32" t="s">
        <v>99</v>
      </c>
      <c r="C98" s="32" t="s">
        <v>13</v>
      </c>
      <c r="D98" s="46">
        <v>41379</v>
      </c>
      <c r="E98" s="34">
        <v>41391</v>
      </c>
      <c r="F98" s="84">
        <f t="shared" si="3"/>
        <v>3.287671232876712E-2</v>
      </c>
      <c r="G98" s="84">
        <f t="shared" si="4"/>
        <v>0.39452054794520541</v>
      </c>
      <c r="H98" s="93" t="s">
        <v>267</v>
      </c>
      <c r="I98" s="9" t="str">
        <f t="shared" si="5"/>
        <v>ELI-592</v>
      </c>
      <c r="J98" s="9"/>
      <c r="K98" s="9"/>
    </row>
    <row r="99" spans="1:11" s="10" customFormat="1" x14ac:dyDescent="0.25">
      <c r="A99" s="10" t="s">
        <v>634</v>
      </c>
      <c r="B99" s="32" t="s">
        <v>822</v>
      </c>
      <c r="C99" s="35" t="s">
        <v>13</v>
      </c>
      <c r="D99" s="39">
        <v>41365</v>
      </c>
      <c r="E99" s="34">
        <v>41466</v>
      </c>
      <c r="F99" s="84">
        <f t="shared" si="3"/>
        <v>0.27671232876712326</v>
      </c>
      <c r="G99" s="84">
        <f t="shared" si="4"/>
        <v>3.3205479452054791</v>
      </c>
      <c r="H99" s="93" t="s">
        <v>474</v>
      </c>
      <c r="I99" s="9" t="str">
        <f t="shared" si="5"/>
        <v>ELI-608</v>
      </c>
      <c r="J99" s="9"/>
      <c r="K99" s="9"/>
    </row>
    <row r="100" spans="1:11" s="10" customFormat="1" x14ac:dyDescent="0.25">
      <c r="A100" s="10" t="s">
        <v>635</v>
      </c>
      <c r="B100" s="32" t="s">
        <v>822</v>
      </c>
      <c r="C100" s="35" t="s">
        <v>23</v>
      </c>
      <c r="D100" s="39">
        <v>41365</v>
      </c>
      <c r="E100" s="34">
        <v>41466</v>
      </c>
      <c r="F100" s="84">
        <f t="shared" si="3"/>
        <v>0.27671232876712326</v>
      </c>
      <c r="G100" s="84">
        <f t="shared" si="4"/>
        <v>3.3205479452054791</v>
      </c>
      <c r="H100" s="93" t="s">
        <v>161</v>
      </c>
      <c r="I100" s="9" t="str">
        <f t="shared" si="5"/>
        <v>ELI-609</v>
      </c>
      <c r="J100" s="9"/>
      <c r="K100" s="9"/>
    </row>
    <row r="101" spans="1:11" s="10" customFormat="1" x14ac:dyDescent="0.25">
      <c r="A101" s="10" t="s">
        <v>636</v>
      </c>
      <c r="B101" s="32" t="s">
        <v>822</v>
      </c>
      <c r="C101" s="35" t="s">
        <v>23</v>
      </c>
      <c r="D101" s="39">
        <v>41365</v>
      </c>
      <c r="E101" s="34">
        <v>41466</v>
      </c>
      <c r="F101" s="84">
        <f t="shared" si="3"/>
        <v>0.27671232876712326</v>
      </c>
      <c r="G101" s="84">
        <f t="shared" si="4"/>
        <v>3.3205479452054791</v>
      </c>
      <c r="H101" s="93" t="s">
        <v>164</v>
      </c>
      <c r="I101" s="9" t="str">
        <f t="shared" si="5"/>
        <v>ELI-611</v>
      </c>
      <c r="J101" s="9"/>
      <c r="K101" s="9"/>
    </row>
    <row r="102" spans="1:11" s="10" customFormat="1" x14ac:dyDescent="0.25">
      <c r="A102" s="10" t="s">
        <v>648</v>
      </c>
      <c r="B102" s="32" t="s">
        <v>404</v>
      </c>
      <c r="C102" s="35" t="s">
        <v>28</v>
      </c>
      <c r="D102" s="14">
        <v>41357</v>
      </c>
      <c r="E102" s="34">
        <v>41487</v>
      </c>
      <c r="F102" s="84">
        <f t="shared" si="3"/>
        <v>0.35616438356164382</v>
      </c>
      <c r="G102" s="84">
        <f t="shared" si="4"/>
        <v>4.2739726027397253</v>
      </c>
      <c r="H102" s="93" t="s">
        <v>166</v>
      </c>
      <c r="I102" s="9" t="str">
        <f t="shared" si="5"/>
        <v>ELI-649</v>
      </c>
      <c r="J102" s="9"/>
      <c r="K102" s="9"/>
    </row>
    <row r="103" spans="1:11" s="10" customFormat="1" x14ac:dyDescent="0.25">
      <c r="A103" s="10" t="s">
        <v>649</v>
      </c>
      <c r="B103" s="32" t="s">
        <v>404</v>
      </c>
      <c r="C103" s="35" t="s">
        <v>28</v>
      </c>
      <c r="D103" s="15">
        <v>41357</v>
      </c>
      <c r="E103" s="34">
        <v>41487</v>
      </c>
      <c r="F103" s="84">
        <f t="shared" si="3"/>
        <v>0.35616438356164382</v>
      </c>
      <c r="G103" s="84">
        <f t="shared" si="4"/>
        <v>4.2739726027397253</v>
      </c>
      <c r="H103" s="93" t="s">
        <v>562</v>
      </c>
      <c r="I103" s="9" t="str">
        <f t="shared" si="5"/>
        <v>ELI-650</v>
      </c>
      <c r="J103" s="9"/>
      <c r="K103" s="9"/>
    </row>
    <row r="104" spans="1:11" s="10" customFormat="1" x14ac:dyDescent="0.25">
      <c r="A104" s="10" t="s">
        <v>650</v>
      </c>
      <c r="B104" s="32" t="s">
        <v>404</v>
      </c>
      <c r="C104" s="35" t="s">
        <v>28</v>
      </c>
      <c r="D104" s="15">
        <v>41357</v>
      </c>
      <c r="E104" s="34">
        <v>41487</v>
      </c>
      <c r="F104" s="84">
        <f t="shared" si="3"/>
        <v>0.35616438356164382</v>
      </c>
      <c r="G104" s="84">
        <f t="shared" si="4"/>
        <v>4.2739726027397253</v>
      </c>
      <c r="H104" s="93" t="s">
        <v>563</v>
      </c>
      <c r="I104" s="9" t="str">
        <f t="shared" si="5"/>
        <v>ELI-651</v>
      </c>
      <c r="J104" s="9"/>
      <c r="K104" s="9"/>
    </row>
    <row r="105" spans="1:11" s="10" customFormat="1" x14ac:dyDescent="0.25">
      <c r="A105" s="10" t="s">
        <v>651</v>
      </c>
      <c r="B105" s="32" t="s">
        <v>404</v>
      </c>
      <c r="C105" s="35" t="s">
        <v>28</v>
      </c>
      <c r="D105" s="15">
        <v>41357</v>
      </c>
      <c r="E105" s="34">
        <v>41487</v>
      </c>
      <c r="F105" s="84">
        <f t="shared" si="3"/>
        <v>0.35616438356164382</v>
      </c>
      <c r="G105" s="84">
        <f t="shared" si="4"/>
        <v>4.2739726027397253</v>
      </c>
      <c r="H105" s="93" t="s">
        <v>81</v>
      </c>
      <c r="I105" s="9" t="str">
        <f t="shared" si="5"/>
        <v>ELI-652</v>
      </c>
      <c r="J105" s="9"/>
      <c r="K105" s="9"/>
    </row>
    <row r="106" spans="1:11" s="10" customFormat="1" x14ac:dyDescent="0.25">
      <c r="A106" s="10" t="s">
        <v>652</v>
      </c>
      <c r="B106" s="32" t="s">
        <v>404</v>
      </c>
      <c r="C106" s="35" t="s">
        <v>28</v>
      </c>
      <c r="D106" s="15">
        <v>41357</v>
      </c>
      <c r="E106" s="34">
        <v>41487</v>
      </c>
      <c r="F106" s="84">
        <f t="shared" si="3"/>
        <v>0.35616438356164382</v>
      </c>
      <c r="G106" s="84">
        <f t="shared" si="4"/>
        <v>4.2739726027397253</v>
      </c>
      <c r="H106" s="93" t="s">
        <v>83</v>
      </c>
      <c r="I106" s="9" t="str">
        <f t="shared" si="5"/>
        <v>ELI-653</v>
      </c>
      <c r="J106" s="9"/>
      <c r="K106" s="9"/>
    </row>
    <row r="107" spans="1:11" s="10" customFormat="1" x14ac:dyDescent="0.25">
      <c r="A107" s="32" t="s">
        <v>476</v>
      </c>
      <c r="B107" s="32" t="s">
        <v>477</v>
      </c>
      <c r="C107" s="32" t="s">
        <v>23</v>
      </c>
      <c r="D107" s="73">
        <v>41342</v>
      </c>
      <c r="E107" s="34">
        <v>41409</v>
      </c>
      <c r="F107" s="84">
        <f t="shared" si="3"/>
        <v>0.18356164383561643</v>
      </c>
      <c r="G107" s="84">
        <f t="shared" si="4"/>
        <v>2.2027397260273971</v>
      </c>
      <c r="H107" s="93" t="s">
        <v>86</v>
      </c>
      <c r="I107" s="9" t="str">
        <f t="shared" si="5"/>
        <v>ELI-588</v>
      </c>
      <c r="J107" s="9"/>
      <c r="K107" s="9"/>
    </row>
    <row r="108" spans="1:11" s="10" customFormat="1" x14ac:dyDescent="0.25">
      <c r="A108" s="32" t="s">
        <v>478</v>
      </c>
      <c r="B108" s="32" t="s">
        <v>479</v>
      </c>
      <c r="C108" s="32" t="s">
        <v>13</v>
      </c>
      <c r="D108" s="73">
        <v>41342</v>
      </c>
      <c r="E108" s="34">
        <v>41409</v>
      </c>
      <c r="F108" s="84">
        <f t="shared" si="3"/>
        <v>0.18356164383561643</v>
      </c>
      <c r="G108" s="84">
        <f t="shared" si="4"/>
        <v>2.2027397260273971</v>
      </c>
      <c r="H108" s="93" t="s">
        <v>88</v>
      </c>
      <c r="I108" s="9" t="str">
        <f t="shared" si="5"/>
        <v>ELI-589</v>
      </c>
      <c r="J108" s="9"/>
      <c r="K108" s="9"/>
    </row>
    <row r="109" spans="1:11" s="10" customFormat="1" x14ac:dyDescent="0.25">
      <c r="A109" s="32" t="s">
        <v>83</v>
      </c>
      <c r="B109" s="32" t="s">
        <v>84</v>
      </c>
      <c r="C109" s="32" t="s">
        <v>28</v>
      </c>
      <c r="D109" s="41">
        <v>41310</v>
      </c>
      <c r="E109" s="34">
        <v>41470</v>
      </c>
      <c r="F109" s="84">
        <f t="shared" si="3"/>
        <v>0.43835616438356162</v>
      </c>
      <c r="G109" s="84">
        <f t="shared" si="4"/>
        <v>5.2602739726027394</v>
      </c>
      <c r="H109" s="93" t="s">
        <v>90</v>
      </c>
      <c r="I109" s="9" t="str">
        <f t="shared" si="5"/>
        <v>ELI-583</v>
      </c>
      <c r="J109" s="9"/>
      <c r="K109" s="9"/>
    </row>
    <row r="110" spans="1:11" s="10" customFormat="1" x14ac:dyDescent="0.25">
      <c r="A110" s="32" t="s">
        <v>86</v>
      </c>
      <c r="B110" s="32" t="s">
        <v>87</v>
      </c>
      <c r="C110" s="32" t="s">
        <v>13</v>
      </c>
      <c r="D110" s="41">
        <v>41310</v>
      </c>
      <c r="E110" s="34">
        <v>41470</v>
      </c>
      <c r="F110" s="84">
        <f t="shared" si="3"/>
        <v>0.43835616438356162</v>
      </c>
      <c r="G110" s="84">
        <f t="shared" si="4"/>
        <v>5.2602739726027394</v>
      </c>
      <c r="H110" s="93" t="s">
        <v>92</v>
      </c>
      <c r="I110" s="9" t="str">
        <f t="shared" si="5"/>
        <v>ELI-584</v>
      </c>
      <c r="J110" s="9"/>
      <c r="K110" s="9"/>
    </row>
    <row r="111" spans="1:11" s="10" customFormat="1" x14ac:dyDescent="0.25">
      <c r="A111" s="32" t="s">
        <v>88</v>
      </c>
      <c r="B111" s="32" t="s">
        <v>89</v>
      </c>
      <c r="C111" s="32" t="s">
        <v>23</v>
      </c>
      <c r="D111" s="41">
        <v>41310</v>
      </c>
      <c r="E111" s="34">
        <v>41470</v>
      </c>
      <c r="F111" s="84">
        <f t="shared" si="3"/>
        <v>0.43835616438356162</v>
      </c>
      <c r="G111" s="84">
        <f t="shared" si="4"/>
        <v>5.2602739726027394</v>
      </c>
      <c r="H111" s="93" t="s">
        <v>476</v>
      </c>
      <c r="I111" s="9" t="str">
        <f t="shared" si="5"/>
        <v>ELI-585</v>
      </c>
      <c r="J111" s="9"/>
      <c r="K111" s="9"/>
    </row>
    <row r="112" spans="1:11" s="10" customFormat="1" x14ac:dyDescent="0.25">
      <c r="A112" s="32" t="s">
        <v>90</v>
      </c>
      <c r="B112" s="32" t="s">
        <v>91</v>
      </c>
      <c r="C112" s="32" t="s">
        <v>13</v>
      </c>
      <c r="D112" s="41">
        <v>41310</v>
      </c>
      <c r="E112" s="34">
        <v>41470</v>
      </c>
      <c r="F112" s="84">
        <f t="shared" si="3"/>
        <v>0.43835616438356162</v>
      </c>
      <c r="G112" s="84">
        <f t="shared" si="4"/>
        <v>5.2602739726027394</v>
      </c>
      <c r="H112" s="93" t="s">
        <v>478</v>
      </c>
      <c r="I112" s="9" t="str">
        <f t="shared" si="5"/>
        <v>ELI-586</v>
      </c>
      <c r="J112" s="9"/>
      <c r="K112" s="9"/>
    </row>
    <row r="113" spans="1:11" s="10" customFormat="1" x14ac:dyDescent="0.25">
      <c r="A113" s="32" t="s">
        <v>92</v>
      </c>
      <c r="B113" s="32" t="s">
        <v>93</v>
      </c>
      <c r="C113" s="32" t="s">
        <v>13</v>
      </c>
      <c r="D113" s="41">
        <v>41310</v>
      </c>
      <c r="E113" s="34">
        <v>41470</v>
      </c>
      <c r="F113" s="84">
        <f t="shared" si="3"/>
        <v>0.43835616438356162</v>
      </c>
      <c r="G113" s="84">
        <f t="shared" si="4"/>
        <v>5.2602739726027394</v>
      </c>
      <c r="H113" s="93" t="s">
        <v>94</v>
      </c>
      <c r="I113" s="9" t="str">
        <f t="shared" si="5"/>
        <v>ELI-587</v>
      </c>
      <c r="J113" s="9"/>
      <c r="K113" s="9"/>
    </row>
    <row r="114" spans="1:11" s="10" customFormat="1" x14ac:dyDescent="0.25">
      <c r="A114" s="10" t="s">
        <v>646</v>
      </c>
      <c r="B114" s="32" t="s">
        <v>404</v>
      </c>
      <c r="C114" s="35" t="s">
        <v>13</v>
      </c>
      <c r="D114" s="74">
        <v>41305</v>
      </c>
      <c r="E114" s="34">
        <v>41487</v>
      </c>
      <c r="F114" s="84">
        <f t="shared" si="3"/>
        <v>0.49863013698630138</v>
      </c>
      <c r="G114" s="84">
        <f t="shared" si="4"/>
        <v>5.9835616438356167</v>
      </c>
      <c r="H114" s="93" t="s">
        <v>96</v>
      </c>
      <c r="I114" s="9" t="str">
        <f t="shared" si="5"/>
        <v>ELI-647</v>
      </c>
      <c r="J114" s="9"/>
      <c r="K114" s="9"/>
    </row>
    <row r="115" spans="1:11" s="10" customFormat="1" x14ac:dyDescent="0.25">
      <c r="A115" s="10" t="s">
        <v>647</v>
      </c>
      <c r="B115" s="32" t="s">
        <v>404</v>
      </c>
      <c r="C115" s="35" t="s">
        <v>28</v>
      </c>
      <c r="D115" s="74">
        <v>41305</v>
      </c>
      <c r="E115" s="34">
        <v>41487</v>
      </c>
      <c r="F115" s="84">
        <f t="shared" si="3"/>
        <v>0.49863013698630138</v>
      </c>
      <c r="G115" s="84">
        <f t="shared" si="4"/>
        <v>5.9835616438356167</v>
      </c>
      <c r="H115" s="93" t="s">
        <v>98</v>
      </c>
      <c r="I115" s="9" t="str">
        <f t="shared" si="5"/>
        <v>ELI-648</v>
      </c>
      <c r="J115" s="9"/>
      <c r="K115" s="9"/>
    </row>
    <row r="116" spans="1:11" s="91" customFormat="1" x14ac:dyDescent="0.25">
      <c r="A116" s="86" t="s">
        <v>709</v>
      </c>
      <c r="B116" s="87" t="s">
        <v>814</v>
      </c>
      <c r="C116" s="87" t="s">
        <v>13</v>
      </c>
      <c r="D116" s="88">
        <v>41275</v>
      </c>
      <c r="E116" s="89">
        <v>42262</v>
      </c>
      <c r="F116" s="90">
        <f t="shared" si="3"/>
        <v>2.7041095890410958</v>
      </c>
      <c r="G116" s="90">
        <f t="shared" si="4"/>
        <v>32.449315068493149</v>
      </c>
      <c r="H116" s="93" t="s">
        <v>100</v>
      </c>
      <c r="I116" s="9" t="str">
        <f t="shared" si="5"/>
        <v>ELI-774</v>
      </c>
    </row>
    <row r="117" spans="1:11" x14ac:dyDescent="0.25">
      <c r="H117" s="93" t="s">
        <v>102</v>
      </c>
      <c r="I117" s="9" t="e">
        <f t="shared" si="5"/>
        <v>#N/A</v>
      </c>
    </row>
    <row r="118" spans="1:11" x14ac:dyDescent="0.25">
      <c r="H118" s="93" t="s">
        <v>104</v>
      </c>
      <c r="I118" s="9" t="e">
        <f t="shared" si="5"/>
        <v>#N/A</v>
      </c>
    </row>
    <row r="119" spans="1:11" s="10" customFormat="1" x14ac:dyDescent="0.25">
      <c r="A119" s="11" t="s">
        <v>668</v>
      </c>
      <c r="B119" s="32" t="s">
        <v>825</v>
      </c>
      <c r="C119" s="35" t="s">
        <v>13</v>
      </c>
      <c r="D119" s="33">
        <v>41477</v>
      </c>
      <c r="E119" s="83"/>
      <c r="F119" s="84">
        <f>(E119-D119)/365</f>
        <v>-113.63561643835617</v>
      </c>
      <c r="G119" s="84"/>
      <c r="H119" s="93" t="s">
        <v>106</v>
      </c>
      <c r="I119" s="9" t="str">
        <f t="shared" si="5"/>
        <v>ELI-703</v>
      </c>
      <c r="J119" s="9"/>
      <c r="K119" s="9"/>
    </row>
    <row r="120" spans="1:11" s="10" customFormat="1" x14ac:dyDescent="0.25">
      <c r="A120" s="11" t="s">
        <v>716</v>
      </c>
      <c r="B120" s="32" t="s">
        <v>717</v>
      </c>
      <c r="C120" s="32" t="s">
        <v>23</v>
      </c>
      <c r="D120" s="33">
        <v>41609</v>
      </c>
      <c r="E120" s="83"/>
      <c r="F120" s="84">
        <f>(E120-D120)/365</f>
        <v>-113.9972602739726</v>
      </c>
      <c r="G120" s="84"/>
      <c r="H120" s="93" t="s">
        <v>625</v>
      </c>
      <c r="I120" s="9" t="str">
        <f t="shared" si="5"/>
        <v>ELI-800</v>
      </c>
      <c r="J120" s="9"/>
      <c r="K120" s="9"/>
    </row>
    <row r="121" spans="1:11" x14ac:dyDescent="0.25">
      <c r="A121" s="13" t="s">
        <v>218</v>
      </c>
      <c r="B121" s="13" t="s">
        <v>219</v>
      </c>
      <c r="C121" s="13" t="s">
        <v>28</v>
      </c>
      <c r="D121" s="13" t="s">
        <v>47</v>
      </c>
      <c r="E121" s="13"/>
      <c r="H121" s="93" t="s">
        <v>627</v>
      </c>
      <c r="I121" s="9" t="e">
        <f t="shared" si="5"/>
        <v>#N/A</v>
      </c>
    </row>
    <row r="122" spans="1:11" x14ac:dyDescent="0.25">
      <c r="H122" s="93" t="s">
        <v>628</v>
      </c>
      <c r="I122" s="9" t="e">
        <f t="shared" si="5"/>
        <v>#N/A</v>
      </c>
    </row>
    <row r="123" spans="1:11" x14ac:dyDescent="0.25">
      <c r="H123" s="93" t="s">
        <v>629</v>
      </c>
      <c r="I123" s="9" t="e">
        <f t="shared" si="5"/>
        <v>#N/A</v>
      </c>
    </row>
    <row r="124" spans="1:11" x14ac:dyDescent="0.25">
      <c r="H124" s="93" t="s">
        <v>630</v>
      </c>
      <c r="I124" s="9" t="e">
        <f t="shared" si="5"/>
        <v>#N/A</v>
      </c>
    </row>
    <row r="125" spans="1:11" x14ac:dyDescent="0.25">
      <c r="H125" s="93" t="s">
        <v>631</v>
      </c>
      <c r="I125" s="9" t="e">
        <f t="shared" si="5"/>
        <v>#N/A</v>
      </c>
    </row>
    <row r="126" spans="1:11" x14ac:dyDescent="0.25">
      <c r="H126" s="93" t="s">
        <v>632</v>
      </c>
      <c r="I126" s="9" t="e">
        <f t="shared" si="5"/>
        <v>#N/A</v>
      </c>
    </row>
    <row r="127" spans="1:11" x14ac:dyDescent="0.25">
      <c r="H127" s="93" t="s">
        <v>633</v>
      </c>
      <c r="I127" s="9" t="e">
        <f t="shared" si="5"/>
        <v>#N/A</v>
      </c>
    </row>
    <row r="128" spans="1:11" x14ac:dyDescent="0.25">
      <c r="H128" s="93" t="s">
        <v>634</v>
      </c>
      <c r="I128" s="9" t="e">
        <f t="shared" si="5"/>
        <v>#N/A</v>
      </c>
    </row>
    <row r="129" spans="8:9" x14ac:dyDescent="0.25">
      <c r="H129" s="93" t="s">
        <v>635</v>
      </c>
      <c r="I129" s="9" t="e">
        <f t="shared" si="5"/>
        <v>#N/A</v>
      </c>
    </row>
    <row r="130" spans="8:9" x14ac:dyDescent="0.25">
      <c r="H130" s="93" t="s">
        <v>636</v>
      </c>
      <c r="I130" s="9" t="e">
        <f t="shared" si="5"/>
        <v>#N/A</v>
      </c>
    </row>
    <row r="131" spans="8:9" x14ac:dyDescent="0.25">
      <c r="H131" s="93" t="s">
        <v>637</v>
      </c>
      <c r="I131" s="9" t="e">
        <f t="shared" ref="I131:I194" si="6">VLOOKUP(A131,H$2:H$232,1,FALSE)</f>
        <v>#N/A</v>
      </c>
    </row>
    <row r="132" spans="8:9" x14ac:dyDescent="0.25">
      <c r="H132" s="93" t="s">
        <v>638</v>
      </c>
      <c r="I132" s="9" t="e">
        <f t="shared" si="6"/>
        <v>#N/A</v>
      </c>
    </row>
    <row r="133" spans="8:9" x14ac:dyDescent="0.25">
      <c r="H133" s="93" t="s">
        <v>639</v>
      </c>
      <c r="I133" s="9" t="e">
        <f t="shared" si="6"/>
        <v>#N/A</v>
      </c>
    </row>
    <row r="134" spans="8:9" x14ac:dyDescent="0.25">
      <c r="H134" s="93" t="s">
        <v>640</v>
      </c>
      <c r="I134" s="9" t="e">
        <f t="shared" si="6"/>
        <v>#N/A</v>
      </c>
    </row>
    <row r="135" spans="8:9" x14ac:dyDescent="0.25">
      <c r="H135" s="93" t="s">
        <v>641</v>
      </c>
      <c r="I135" s="9" t="e">
        <f t="shared" si="6"/>
        <v>#N/A</v>
      </c>
    </row>
    <row r="136" spans="8:9" x14ac:dyDescent="0.25">
      <c r="H136" s="93" t="s">
        <v>642</v>
      </c>
      <c r="I136" s="9" t="e">
        <f t="shared" si="6"/>
        <v>#N/A</v>
      </c>
    </row>
    <row r="137" spans="8:9" x14ac:dyDescent="0.25">
      <c r="H137" s="93" t="s">
        <v>643</v>
      </c>
      <c r="I137" s="9" t="e">
        <f t="shared" si="6"/>
        <v>#N/A</v>
      </c>
    </row>
    <row r="138" spans="8:9" x14ac:dyDescent="0.25">
      <c r="H138" s="93" t="s">
        <v>646</v>
      </c>
      <c r="I138" s="9" t="e">
        <f t="shared" si="6"/>
        <v>#N/A</v>
      </c>
    </row>
    <row r="139" spans="8:9" x14ac:dyDescent="0.25">
      <c r="H139" s="93" t="s">
        <v>647</v>
      </c>
      <c r="I139" s="9" t="e">
        <f t="shared" si="6"/>
        <v>#N/A</v>
      </c>
    </row>
    <row r="140" spans="8:9" x14ac:dyDescent="0.25">
      <c r="H140" s="93" t="s">
        <v>648</v>
      </c>
      <c r="I140" s="9" t="e">
        <f t="shared" si="6"/>
        <v>#N/A</v>
      </c>
    </row>
    <row r="141" spans="8:9" x14ac:dyDescent="0.25">
      <c r="H141" s="93" t="s">
        <v>649</v>
      </c>
      <c r="I141" s="9" t="e">
        <f t="shared" si="6"/>
        <v>#N/A</v>
      </c>
    </row>
    <row r="142" spans="8:9" x14ac:dyDescent="0.25">
      <c r="H142" s="93" t="s">
        <v>650</v>
      </c>
      <c r="I142" s="9" t="e">
        <f t="shared" si="6"/>
        <v>#N/A</v>
      </c>
    </row>
    <row r="143" spans="8:9" x14ac:dyDescent="0.25">
      <c r="H143" s="93" t="s">
        <v>651</v>
      </c>
      <c r="I143" s="9" t="e">
        <f t="shared" si="6"/>
        <v>#N/A</v>
      </c>
    </row>
    <row r="144" spans="8:9" x14ac:dyDescent="0.25">
      <c r="H144" s="93" t="s">
        <v>652</v>
      </c>
      <c r="I144" s="9" t="e">
        <f t="shared" si="6"/>
        <v>#N/A</v>
      </c>
    </row>
    <row r="145" spans="8:9" x14ac:dyDescent="0.25">
      <c r="H145" s="93" t="s">
        <v>653</v>
      </c>
      <c r="I145" s="9" t="e">
        <f t="shared" si="6"/>
        <v>#N/A</v>
      </c>
    </row>
    <row r="146" spans="8:9" x14ac:dyDescent="0.25">
      <c r="H146" s="93" t="s">
        <v>654</v>
      </c>
      <c r="I146" s="9" t="e">
        <f t="shared" si="6"/>
        <v>#N/A</v>
      </c>
    </row>
    <row r="147" spans="8:9" x14ac:dyDescent="0.25">
      <c r="H147" s="93" t="s">
        <v>655</v>
      </c>
      <c r="I147" s="9" t="e">
        <f t="shared" si="6"/>
        <v>#N/A</v>
      </c>
    </row>
    <row r="148" spans="8:9" x14ac:dyDescent="0.25">
      <c r="H148" s="93" t="s">
        <v>656</v>
      </c>
      <c r="I148" s="9" t="e">
        <f t="shared" si="6"/>
        <v>#N/A</v>
      </c>
    </row>
    <row r="149" spans="8:9" x14ac:dyDescent="0.25">
      <c r="H149" s="93" t="s">
        <v>657</v>
      </c>
      <c r="I149" s="9" t="e">
        <f t="shared" si="6"/>
        <v>#N/A</v>
      </c>
    </row>
    <row r="150" spans="8:9" x14ac:dyDescent="0.25">
      <c r="H150" s="93" t="s">
        <v>658</v>
      </c>
      <c r="I150" s="9" t="e">
        <f t="shared" si="6"/>
        <v>#N/A</v>
      </c>
    </row>
    <row r="151" spans="8:9" x14ac:dyDescent="0.25">
      <c r="H151" s="93" t="s">
        <v>662</v>
      </c>
      <c r="I151" s="9" t="e">
        <f t="shared" si="6"/>
        <v>#N/A</v>
      </c>
    </row>
    <row r="152" spans="8:9" x14ac:dyDescent="0.25">
      <c r="H152" s="93" t="s">
        <v>664</v>
      </c>
      <c r="I152" s="9" t="e">
        <f t="shared" si="6"/>
        <v>#N/A</v>
      </c>
    </row>
    <row r="153" spans="8:9" x14ac:dyDescent="0.25">
      <c r="H153" s="93" t="s">
        <v>668</v>
      </c>
      <c r="I153" s="9" t="e">
        <f t="shared" si="6"/>
        <v>#N/A</v>
      </c>
    </row>
    <row r="154" spans="8:9" x14ac:dyDescent="0.25">
      <c r="H154" s="93" t="s">
        <v>669</v>
      </c>
      <c r="I154" s="9" t="e">
        <f t="shared" si="6"/>
        <v>#N/A</v>
      </c>
    </row>
    <row r="155" spans="8:9" x14ac:dyDescent="0.25">
      <c r="H155" s="93" t="s">
        <v>672</v>
      </c>
      <c r="I155" s="9" t="e">
        <f t="shared" si="6"/>
        <v>#N/A</v>
      </c>
    </row>
    <row r="156" spans="8:9" x14ac:dyDescent="0.25">
      <c r="H156" s="93" t="s">
        <v>673</v>
      </c>
      <c r="I156" s="9" t="e">
        <f t="shared" si="6"/>
        <v>#N/A</v>
      </c>
    </row>
    <row r="157" spans="8:9" x14ac:dyDescent="0.25">
      <c r="H157" s="93" t="s">
        <v>674</v>
      </c>
      <c r="I157" s="9" t="e">
        <f t="shared" si="6"/>
        <v>#N/A</v>
      </c>
    </row>
    <row r="158" spans="8:9" x14ac:dyDescent="0.25">
      <c r="H158" s="93" t="s">
        <v>675</v>
      </c>
      <c r="I158" s="9" t="e">
        <f t="shared" si="6"/>
        <v>#N/A</v>
      </c>
    </row>
    <row r="159" spans="8:9" x14ac:dyDescent="0.25">
      <c r="H159" s="93" t="s">
        <v>676</v>
      </c>
      <c r="I159" s="9" t="e">
        <f t="shared" si="6"/>
        <v>#N/A</v>
      </c>
    </row>
    <row r="160" spans="8:9" x14ac:dyDescent="0.25">
      <c r="H160" s="93" t="s">
        <v>677</v>
      </c>
      <c r="I160" s="9" t="e">
        <f t="shared" si="6"/>
        <v>#N/A</v>
      </c>
    </row>
    <row r="161" spans="8:9" x14ac:dyDescent="0.25">
      <c r="H161" s="93" t="s">
        <v>678</v>
      </c>
      <c r="I161" s="9" t="e">
        <f t="shared" si="6"/>
        <v>#N/A</v>
      </c>
    </row>
    <row r="162" spans="8:9" x14ac:dyDescent="0.25">
      <c r="H162" s="93" t="s">
        <v>679</v>
      </c>
      <c r="I162" s="9" t="e">
        <f t="shared" si="6"/>
        <v>#N/A</v>
      </c>
    </row>
    <row r="163" spans="8:9" x14ac:dyDescent="0.25">
      <c r="H163" s="93" t="s">
        <v>680</v>
      </c>
      <c r="I163" s="9" t="e">
        <f t="shared" si="6"/>
        <v>#N/A</v>
      </c>
    </row>
    <row r="164" spans="8:9" x14ac:dyDescent="0.25">
      <c r="H164" s="93" t="s">
        <v>681</v>
      </c>
      <c r="I164" s="9" t="e">
        <f t="shared" si="6"/>
        <v>#N/A</v>
      </c>
    </row>
    <row r="165" spans="8:9" x14ac:dyDescent="0.25">
      <c r="H165" s="93" t="s">
        <v>682</v>
      </c>
      <c r="I165" s="9" t="e">
        <f t="shared" si="6"/>
        <v>#N/A</v>
      </c>
    </row>
    <row r="166" spans="8:9" x14ac:dyDescent="0.25">
      <c r="H166" s="93" t="s">
        <v>683</v>
      </c>
      <c r="I166" s="9" t="e">
        <f t="shared" si="6"/>
        <v>#N/A</v>
      </c>
    </row>
    <row r="167" spans="8:9" x14ac:dyDescent="0.25">
      <c r="H167" s="93" t="s">
        <v>684</v>
      </c>
      <c r="I167" s="9" t="e">
        <f t="shared" si="6"/>
        <v>#N/A</v>
      </c>
    </row>
    <row r="168" spans="8:9" x14ac:dyDescent="0.25">
      <c r="H168" s="93" t="s">
        <v>685</v>
      </c>
      <c r="I168" s="9" t="e">
        <f t="shared" si="6"/>
        <v>#N/A</v>
      </c>
    </row>
    <row r="169" spans="8:9" x14ac:dyDescent="0.25">
      <c r="H169" s="93" t="s">
        <v>686</v>
      </c>
      <c r="I169" s="9" t="e">
        <f t="shared" si="6"/>
        <v>#N/A</v>
      </c>
    </row>
    <row r="170" spans="8:9" x14ac:dyDescent="0.25">
      <c r="H170" s="93" t="s">
        <v>687</v>
      </c>
      <c r="I170" s="9" t="e">
        <f t="shared" si="6"/>
        <v>#N/A</v>
      </c>
    </row>
    <row r="171" spans="8:9" x14ac:dyDescent="0.25">
      <c r="H171" s="93" t="s">
        <v>688</v>
      </c>
      <c r="I171" s="9" t="e">
        <f t="shared" si="6"/>
        <v>#N/A</v>
      </c>
    </row>
    <row r="172" spans="8:9" x14ac:dyDescent="0.25">
      <c r="H172" s="93" t="s">
        <v>689</v>
      </c>
      <c r="I172" s="9" t="e">
        <f t="shared" si="6"/>
        <v>#N/A</v>
      </c>
    </row>
    <row r="173" spans="8:9" x14ac:dyDescent="0.25">
      <c r="H173" s="93" t="s">
        <v>690</v>
      </c>
      <c r="I173" s="9" t="e">
        <f t="shared" si="6"/>
        <v>#N/A</v>
      </c>
    </row>
    <row r="174" spans="8:9" x14ac:dyDescent="0.25">
      <c r="H174" s="93" t="s">
        <v>691</v>
      </c>
      <c r="I174" s="9" t="e">
        <f t="shared" si="6"/>
        <v>#N/A</v>
      </c>
    </row>
    <row r="175" spans="8:9" x14ac:dyDescent="0.25">
      <c r="H175" s="93" t="s">
        <v>692</v>
      </c>
      <c r="I175" s="9" t="e">
        <f t="shared" si="6"/>
        <v>#N/A</v>
      </c>
    </row>
    <row r="176" spans="8:9" x14ac:dyDescent="0.25">
      <c r="H176" s="93" t="s">
        <v>693</v>
      </c>
      <c r="I176" s="9" t="e">
        <f t="shared" si="6"/>
        <v>#N/A</v>
      </c>
    </row>
    <row r="177" spans="8:9" x14ac:dyDescent="0.25">
      <c r="H177" s="93" t="s">
        <v>694</v>
      </c>
      <c r="I177" s="9" t="e">
        <f t="shared" si="6"/>
        <v>#N/A</v>
      </c>
    </row>
    <row r="178" spans="8:9" x14ac:dyDescent="0.25">
      <c r="H178" s="93" t="s">
        <v>695</v>
      </c>
      <c r="I178" s="9" t="e">
        <f t="shared" si="6"/>
        <v>#N/A</v>
      </c>
    </row>
    <row r="179" spans="8:9" x14ac:dyDescent="0.25">
      <c r="H179" s="93" t="s">
        <v>696</v>
      </c>
      <c r="I179" s="9" t="e">
        <f t="shared" si="6"/>
        <v>#N/A</v>
      </c>
    </row>
    <row r="180" spans="8:9" x14ac:dyDescent="0.25">
      <c r="H180" s="93" t="s">
        <v>697</v>
      </c>
      <c r="I180" s="9" t="e">
        <f t="shared" si="6"/>
        <v>#N/A</v>
      </c>
    </row>
    <row r="181" spans="8:9" x14ac:dyDescent="0.25">
      <c r="H181" s="93" t="s">
        <v>698</v>
      </c>
      <c r="I181" s="9" t="e">
        <f t="shared" si="6"/>
        <v>#N/A</v>
      </c>
    </row>
    <row r="182" spans="8:9" x14ac:dyDescent="0.25">
      <c r="H182" s="93" t="s">
        <v>699</v>
      </c>
      <c r="I182" s="9" t="e">
        <f t="shared" si="6"/>
        <v>#N/A</v>
      </c>
    </row>
    <row r="183" spans="8:9" x14ac:dyDescent="0.25">
      <c r="H183" s="93" t="s">
        <v>700</v>
      </c>
      <c r="I183" s="9" t="e">
        <f t="shared" si="6"/>
        <v>#N/A</v>
      </c>
    </row>
    <row r="184" spans="8:9" x14ac:dyDescent="0.25">
      <c r="H184" s="93" t="s">
        <v>701</v>
      </c>
      <c r="I184" s="9" t="e">
        <f t="shared" si="6"/>
        <v>#N/A</v>
      </c>
    </row>
    <row r="185" spans="8:9" x14ac:dyDescent="0.25">
      <c r="H185" s="93" t="s">
        <v>702</v>
      </c>
      <c r="I185" s="9" t="e">
        <f t="shared" si="6"/>
        <v>#N/A</v>
      </c>
    </row>
    <row r="186" spans="8:9" x14ac:dyDescent="0.25">
      <c r="H186" s="93" t="s">
        <v>703</v>
      </c>
      <c r="I186" s="9" t="e">
        <f t="shared" si="6"/>
        <v>#N/A</v>
      </c>
    </row>
    <row r="187" spans="8:9" x14ac:dyDescent="0.25">
      <c r="H187" s="93" t="s">
        <v>704</v>
      </c>
      <c r="I187" s="9" t="e">
        <f t="shared" si="6"/>
        <v>#N/A</v>
      </c>
    </row>
    <row r="188" spans="8:9" x14ac:dyDescent="0.25">
      <c r="H188" s="93" t="s">
        <v>706</v>
      </c>
      <c r="I188" s="9" t="e">
        <f t="shared" si="6"/>
        <v>#N/A</v>
      </c>
    </row>
    <row r="189" spans="8:9" x14ac:dyDescent="0.25">
      <c r="H189" s="93" t="s">
        <v>707</v>
      </c>
      <c r="I189" s="9" t="e">
        <f t="shared" si="6"/>
        <v>#N/A</v>
      </c>
    </row>
    <row r="190" spans="8:9" x14ac:dyDescent="0.25">
      <c r="H190" s="93" t="s">
        <v>708</v>
      </c>
      <c r="I190" s="9" t="e">
        <f t="shared" si="6"/>
        <v>#N/A</v>
      </c>
    </row>
    <row r="191" spans="8:9" x14ac:dyDescent="0.25">
      <c r="H191" s="93" t="s">
        <v>709</v>
      </c>
      <c r="I191" s="9" t="e">
        <f t="shared" si="6"/>
        <v>#N/A</v>
      </c>
    </row>
    <row r="192" spans="8:9" x14ac:dyDescent="0.25">
      <c r="H192" s="93" t="s">
        <v>710</v>
      </c>
      <c r="I192" s="9" t="e">
        <f t="shared" si="6"/>
        <v>#N/A</v>
      </c>
    </row>
    <row r="193" spans="8:9" x14ac:dyDescent="0.25">
      <c r="H193" s="93" t="s">
        <v>711</v>
      </c>
      <c r="I193" s="9" t="e">
        <f t="shared" si="6"/>
        <v>#N/A</v>
      </c>
    </row>
    <row r="194" spans="8:9" x14ac:dyDescent="0.25">
      <c r="H194" s="93" t="s">
        <v>712</v>
      </c>
      <c r="I194" s="9" t="e">
        <f t="shared" si="6"/>
        <v>#N/A</v>
      </c>
    </row>
    <row r="195" spans="8:9" x14ac:dyDescent="0.25">
      <c r="H195" s="93" t="s">
        <v>713</v>
      </c>
      <c r="I195" s="9" t="e">
        <f t="shared" ref="I195:I232" si="7">VLOOKUP(A195,H$2:H$232,1,FALSE)</f>
        <v>#N/A</v>
      </c>
    </row>
    <row r="196" spans="8:9" x14ac:dyDescent="0.25">
      <c r="H196" s="93" t="s">
        <v>716</v>
      </c>
      <c r="I196" s="9" t="e">
        <f t="shared" si="7"/>
        <v>#N/A</v>
      </c>
    </row>
    <row r="197" spans="8:9" x14ac:dyDescent="0.25">
      <c r="H197" s="93" t="s">
        <v>718</v>
      </c>
      <c r="I197" s="9" t="e">
        <f t="shared" si="7"/>
        <v>#N/A</v>
      </c>
    </row>
    <row r="198" spans="8:9" x14ac:dyDescent="0.25">
      <c r="H198" s="93" t="s">
        <v>720</v>
      </c>
      <c r="I198" s="9" t="e">
        <f t="shared" si="7"/>
        <v>#N/A</v>
      </c>
    </row>
    <row r="199" spans="8:9" x14ac:dyDescent="0.25">
      <c r="H199" s="93" t="s">
        <v>722</v>
      </c>
      <c r="I199" s="9" t="e">
        <f t="shared" si="7"/>
        <v>#N/A</v>
      </c>
    </row>
    <row r="200" spans="8:9" x14ac:dyDescent="0.25">
      <c r="H200" s="93" t="s">
        <v>724</v>
      </c>
      <c r="I200" s="9" t="e">
        <f t="shared" si="7"/>
        <v>#N/A</v>
      </c>
    </row>
    <row r="201" spans="8:9" x14ac:dyDescent="0.25">
      <c r="H201" s="93" t="s">
        <v>726</v>
      </c>
      <c r="I201" s="9" t="e">
        <f t="shared" si="7"/>
        <v>#N/A</v>
      </c>
    </row>
    <row r="202" spans="8:9" x14ac:dyDescent="0.25">
      <c r="H202" s="93" t="s">
        <v>728</v>
      </c>
      <c r="I202" s="9" t="e">
        <f t="shared" si="7"/>
        <v>#N/A</v>
      </c>
    </row>
    <row r="203" spans="8:9" x14ac:dyDescent="0.25">
      <c r="H203" s="93" t="s">
        <v>730</v>
      </c>
      <c r="I203" s="9" t="e">
        <f t="shared" si="7"/>
        <v>#N/A</v>
      </c>
    </row>
    <row r="204" spans="8:9" x14ac:dyDescent="0.25">
      <c r="H204" s="93" t="s">
        <v>732</v>
      </c>
      <c r="I204" s="9" t="e">
        <f t="shared" si="7"/>
        <v>#N/A</v>
      </c>
    </row>
    <row r="205" spans="8:9" x14ac:dyDescent="0.25">
      <c r="H205" s="93" t="s">
        <v>734</v>
      </c>
      <c r="I205" s="9" t="e">
        <f t="shared" si="7"/>
        <v>#N/A</v>
      </c>
    </row>
    <row r="206" spans="8:9" x14ac:dyDescent="0.25">
      <c r="H206" s="93" t="s">
        <v>736</v>
      </c>
      <c r="I206" s="9" t="e">
        <f t="shared" si="7"/>
        <v>#N/A</v>
      </c>
    </row>
    <row r="207" spans="8:9" x14ac:dyDescent="0.25">
      <c r="H207" s="93" t="s">
        <v>738</v>
      </c>
      <c r="I207" s="9" t="e">
        <f t="shared" si="7"/>
        <v>#N/A</v>
      </c>
    </row>
    <row r="208" spans="8:9" x14ac:dyDescent="0.25">
      <c r="H208" s="93" t="s">
        <v>740</v>
      </c>
      <c r="I208" s="9" t="e">
        <f t="shared" si="7"/>
        <v>#N/A</v>
      </c>
    </row>
    <row r="209" spans="8:9" x14ac:dyDescent="0.25">
      <c r="H209" s="93" t="s">
        <v>742</v>
      </c>
      <c r="I209" s="9" t="e">
        <f t="shared" si="7"/>
        <v>#N/A</v>
      </c>
    </row>
    <row r="210" spans="8:9" x14ac:dyDescent="0.25">
      <c r="H210" s="93" t="s">
        <v>744</v>
      </c>
      <c r="I210" s="9" t="e">
        <f t="shared" si="7"/>
        <v>#N/A</v>
      </c>
    </row>
    <row r="211" spans="8:9" x14ac:dyDescent="0.25">
      <c r="H211" s="93" t="s">
        <v>746</v>
      </c>
      <c r="I211" s="9" t="e">
        <f t="shared" si="7"/>
        <v>#N/A</v>
      </c>
    </row>
    <row r="212" spans="8:9" x14ac:dyDescent="0.25">
      <c r="H212" s="93" t="s">
        <v>748</v>
      </c>
      <c r="I212" s="9" t="e">
        <f t="shared" si="7"/>
        <v>#N/A</v>
      </c>
    </row>
    <row r="213" spans="8:9" x14ac:dyDescent="0.25">
      <c r="H213" s="93" t="s">
        <v>750</v>
      </c>
      <c r="I213" s="9" t="e">
        <f t="shared" si="7"/>
        <v>#N/A</v>
      </c>
    </row>
    <row r="214" spans="8:9" x14ac:dyDescent="0.25">
      <c r="H214" s="93" t="s">
        <v>752</v>
      </c>
      <c r="I214" s="9" t="e">
        <f t="shared" si="7"/>
        <v>#N/A</v>
      </c>
    </row>
    <row r="215" spans="8:9" x14ac:dyDescent="0.25">
      <c r="H215" s="93" t="s">
        <v>754</v>
      </c>
      <c r="I215" s="9" t="e">
        <f t="shared" si="7"/>
        <v>#N/A</v>
      </c>
    </row>
    <row r="216" spans="8:9" x14ac:dyDescent="0.25">
      <c r="H216" s="93" t="s">
        <v>756</v>
      </c>
      <c r="I216" s="9" t="e">
        <f t="shared" si="7"/>
        <v>#N/A</v>
      </c>
    </row>
    <row r="217" spans="8:9" x14ac:dyDescent="0.25">
      <c r="H217" s="93" t="s">
        <v>758</v>
      </c>
      <c r="I217" s="9" t="e">
        <f t="shared" si="7"/>
        <v>#N/A</v>
      </c>
    </row>
    <row r="218" spans="8:9" x14ac:dyDescent="0.25">
      <c r="H218" s="93" t="s">
        <v>760</v>
      </c>
      <c r="I218" s="9" t="e">
        <f t="shared" si="7"/>
        <v>#N/A</v>
      </c>
    </row>
    <row r="219" spans="8:9" x14ac:dyDescent="0.25">
      <c r="H219" s="93" t="s">
        <v>762</v>
      </c>
      <c r="I219" s="9" t="e">
        <f t="shared" si="7"/>
        <v>#N/A</v>
      </c>
    </row>
    <row r="220" spans="8:9" x14ac:dyDescent="0.25">
      <c r="H220" s="93" t="s">
        <v>764</v>
      </c>
      <c r="I220" s="9" t="e">
        <f t="shared" si="7"/>
        <v>#N/A</v>
      </c>
    </row>
    <row r="221" spans="8:9" x14ac:dyDescent="0.25">
      <c r="H221" s="93" t="s">
        <v>766</v>
      </c>
      <c r="I221" s="9" t="e">
        <f t="shared" si="7"/>
        <v>#N/A</v>
      </c>
    </row>
    <row r="222" spans="8:9" x14ac:dyDescent="0.25">
      <c r="H222" s="93" t="s">
        <v>768</v>
      </c>
      <c r="I222" s="9" t="e">
        <f t="shared" si="7"/>
        <v>#N/A</v>
      </c>
    </row>
    <row r="223" spans="8:9" x14ac:dyDescent="0.25">
      <c r="H223" s="93" t="s">
        <v>509</v>
      </c>
      <c r="I223" s="9" t="e">
        <f t="shared" si="7"/>
        <v>#N/A</v>
      </c>
    </row>
    <row r="224" spans="8:9" x14ac:dyDescent="0.25">
      <c r="H224" s="93" t="s">
        <v>512</v>
      </c>
      <c r="I224" s="9" t="e">
        <f t="shared" si="7"/>
        <v>#N/A</v>
      </c>
    </row>
    <row r="225" spans="8:9" x14ac:dyDescent="0.25">
      <c r="H225" s="93" t="s">
        <v>775</v>
      </c>
      <c r="I225" s="9" t="e">
        <f t="shared" si="7"/>
        <v>#N/A</v>
      </c>
    </row>
    <row r="226" spans="8:9" x14ac:dyDescent="0.25">
      <c r="H226" s="93" t="s">
        <v>777</v>
      </c>
      <c r="I226" s="9" t="e">
        <f t="shared" si="7"/>
        <v>#N/A</v>
      </c>
    </row>
    <row r="227" spans="8:9" x14ac:dyDescent="0.25">
      <c r="H227" s="93" t="s">
        <v>779</v>
      </c>
      <c r="I227" s="9" t="e">
        <f t="shared" si="7"/>
        <v>#N/A</v>
      </c>
    </row>
    <row r="228" spans="8:9" x14ac:dyDescent="0.25">
      <c r="H228" s="93" t="s">
        <v>781</v>
      </c>
      <c r="I228" s="9" t="e">
        <f t="shared" si="7"/>
        <v>#N/A</v>
      </c>
    </row>
    <row r="229" spans="8:9" x14ac:dyDescent="0.25">
      <c r="H229" s="93" t="s">
        <v>783</v>
      </c>
      <c r="I229" s="9" t="e">
        <f t="shared" si="7"/>
        <v>#N/A</v>
      </c>
    </row>
    <row r="230" spans="8:9" x14ac:dyDescent="0.25">
      <c r="H230" s="93" t="s">
        <v>785</v>
      </c>
      <c r="I230" s="9" t="e">
        <f t="shared" si="7"/>
        <v>#N/A</v>
      </c>
    </row>
    <row r="231" spans="8:9" x14ac:dyDescent="0.25">
      <c r="H231" s="93" t="s">
        <v>787</v>
      </c>
      <c r="I231" s="9" t="e">
        <f t="shared" si="7"/>
        <v>#N/A</v>
      </c>
    </row>
    <row r="232" spans="8:9" x14ac:dyDescent="0.25">
      <c r="H232" s="93" t="s">
        <v>808</v>
      </c>
      <c r="I232" s="9" t="e">
        <f t="shared" si="7"/>
        <v>#N/A</v>
      </c>
    </row>
  </sheetData>
  <sortState xmlns:xlrd2="http://schemas.microsoft.com/office/spreadsheetml/2017/richdata2" ref="A2:E419">
    <sortCondition descending="1" ref="D2:D419"/>
  </sortState>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dimension ref="A1:J232"/>
  <sheetViews>
    <sheetView workbookViewId="0">
      <selection activeCell="I3" sqref="I3"/>
    </sheetView>
  </sheetViews>
  <sheetFormatPr defaultRowHeight="15" x14ac:dyDescent="0.25"/>
  <cols>
    <col min="2" max="2" width="23.140625" customWidth="1"/>
    <col min="3" max="3" width="12.85546875" customWidth="1"/>
    <col min="4" max="4" width="28.85546875" style="48" customWidth="1"/>
    <col min="5" max="5" width="15.140625" customWidth="1"/>
    <col min="10" max="10" width="8.7109375" style="8"/>
  </cols>
  <sheetData>
    <row r="1" spans="1:10" x14ac:dyDescent="0.25">
      <c r="A1" s="7" t="s">
        <v>815</v>
      </c>
      <c r="B1" s="7" t="s">
        <v>816</v>
      </c>
      <c r="C1" s="7" t="s">
        <v>2</v>
      </c>
      <c r="D1" s="75" t="s">
        <v>3</v>
      </c>
      <c r="E1" s="7" t="s">
        <v>817</v>
      </c>
      <c r="J1" s="8" t="s">
        <v>876</v>
      </c>
    </row>
    <row r="2" spans="1:10" x14ac:dyDescent="0.25">
      <c r="A2" s="45"/>
      <c r="B2" s="45" t="s">
        <v>389</v>
      </c>
      <c r="C2" s="45" t="s">
        <v>13</v>
      </c>
      <c r="D2" s="46">
        <v>39448</v>
      </c>
      <c r="E2" s="47">
        <v>39706</v>
      </c>
      <c r="G2" s="93" t="s">
        <v>356</v>
      </c>
      <c r="I2" t="e">
        <f>VLOOKUP(A2,G$2:G$232,1,FALSE)</f>
        <v>#N/A</v>
      </c>
      <c r="J2" s="8">
        <f>(E2-D2)/365</f>
        <v>0.70684931506849313</v>
      </c>
    </row>
    <row r="3" spans="1:10" x14ac:dyDescent="0.25">
      <c r="A3" s="45" t="s">
        <v>390</v>
      </c>
      <c r="B3" s="45" t="s">
        <v>391</v>
      </c>
      <c r="C3" s="45" t="s">
        <v>23</v>
      </c>
      <c r="D3" s="46">
        <v>39448</v>
      </c>
      <c r="E3" s="47">
        <v>39706</v>
      </c>
      <c r="G3" s="93" t="s">
        <v>359</v>
      </c>
      <c r="I3" t="str">
        <f t="shared" ref="I3:I66" si="0">VLOOKUP(A3,G$2:G$232,1,FALSE)</f>
        <v>ELI-130</v>
      </c>
      <c r="J3" s="8">
        <f t="shared" ref="J3:J66" si="1">(E3-D3)/365</f>
        <v>0.70684931506849313</v>
      </c>
    </row>
    <row r="4" spans="1:10" x14ac:dyDescent="0.25">
      <c r="A4" s="45" t="s">
        <v>613</v>
      </c>
      <c r="B4" s="45" t="s">
        <v>614</v>
      </c>
      <c r="C4" s="45" t="s">
        <v>23</v>
      </c>
      <c r="D4" s="46">
        <v>39448</v>
      </c>
      <c r="E4" s="47">
        <v>39706</v>
      </c>
      <c r="G4" s="93" t="s">
        <v>361</v>
      </c>
      <c r="I4" t="str">
        <f t="shared" si="0"/>
        <v>ELI-131</v>
      </c>
      <c r="J4" s="8">
        <f t="shared" si="1"/>
        <v>0.70684931506849313</v>
      </c>
    </row>
    <row r="5" spans="1:10" x14ac:dyDescent="0.25">
      <c r="A5" s="45" t="s">
        <v>116</v>
      </c>
      <c r="B5" s="45" t="s">
        <v>117</v>
      </c>
      <c r="C5" s="45" t="s">
        <v>23</v>
      </c>
      <c r="D5" s="70">
        <v>39448</v>
      </c>
      <c r="E5" s="47">
        <v>40801</v>
      </c>
      <c r="G5" s="93" t="s">
        <v>363</v>
      </c>
      <c r="I5" t="e">
        <f t="shared" si="0"/>
        <v>#N/A</v>
      </c>
      <c r="J5" s="94">
        <f t="shared" si="1"/>
        <v>3.7068493150684931</v>
      </c>
    </row>
    <row r="6" spans="1:10" x14ac:dyDescent="0.25">
      <c r="A6" s="45" t="s">
        <v>342</v>
      </c>
      <c r="B6" s="45" t="s">
        <v>343</v>
      </c>
      <c r="C6" s="45" t="s">
        <v>23</v>
      </c>
      <c r="D6" s="50">
        <v>39449</v>
      </c>
      <c r="E6" s="47">
        <v>39614</v>
      </c>
      <c r="G6" s="93" t="s">
        <v>365</v>
      </c>
      <c r="I6" t="str">
        <f t="shared" si="0"/>
        <v>ELI-158</v>
      </c>
      <c r="J6" s="8">
        <f t="shared" si="1"/>
        <v>0.45205479452054792</v>
      </c>
    </row>
    <row r="7" spans="1:10" x14ac:dyDescent="0.25">
      <c r="A7" s="45" t="s">
        <v>314</v>
      </c>
      <c r="B7" s="45" t="s">
        <v>315</v>
      </c>
      <c r="C7" s="45" t="s">
        <v>13</v>
      </c>
      <c r="D7" s="50">
        <v>39449</v>
      </c>
      <c r="E7" s="47">
        <v>39614</v>
      </c>
      <c r="G7" s="93" t="s">
        <v>388</v>
      </c>
      <c r="I7" t="str">
        <f t="shared" si="0"/>
        <v>ELI-159</v>
      </c>
      <c r="J7" s="8">
        <f t="shared" si="1"/>
        <v>0.45205479452054792</v>
      </c>
    </row>
    <row r="8" spans="1:10" x14ac:dyDescent="0.25">
      <c r="A8" s="45" t="s">
        <v>316</v>
      </c>
      <c r="B8" s="45" t="s">
        <v>317</v>
      </c>
      <c r="C8" s="45" t="s">
        <v>13</v>
      </c>
      <c r="D8" s="50">
        <v>39449</v>
      </c>
      <c r="E8" s="47">
        <v>39614</v>
      </c>
      <c r="G8" s="93" t="s">
        <v>390</v>
      </c>
      <c r="I8" t="str">
        <f t="shared" si="0"/>
        <v>ELI-160</v>
      </c>
      <c r="J8" s="8">
        <f t="shared" si="1"/>
        <v>0.45205479452054792</v>
      </c>
    </row>
    <row r="9" spans="1:10" x14ac:dyDescent="0.25">
      <c r="A9" s="45" t="s">
        <v>344</v>
      </c>
      <c r="B9" s="45" t="s">
        <v>345</v>
      </c>
      <c r="C9" s="45" t="s">
        <v>23</v>
      </c>
      <c r="D9" s="50">
        <v>39449</v>
      </c>
      <c r="E9" s="47">
        <v>39614</v>
      </c>
      <c r="G9" s="93" t="s">
        <v>613</v>
      </c>
      <c r="I9" t="str">
        <f t="shared" si="0"/>
        <v>ELI-161</v>
      </c>
      <c r="J9" s="8">
        <f t="shared" si="1"/>
        <v>0.45205479452054792</v>
      </c>
    </row>
    <row r="10" spans="1:10" x14ac:dyDescent="0.25">
      <c r="A10" s="45" t="s">
        <v>371</v>
      </c>
      <c r="B10" s="45" t="s">
        <v>372</v>
      </c>
      <c r="C10" s="45" t="s">
        <v>23</v>
      </c>
      <c r="D10" s="69">
        <v>39452</v>
      </c>
      <c r="E10" s="47">
        <v>40739</v>
      </c>
      <c r="G10" s="93" t="s">
        <v>11</v>
      </c>
      <c r="I10" t="e">
        <f t="shared" si="0"/>
        <v>#N/A</v>
      </c>
      <c r="J10" s="94">
        <f t="shared" si="1"/>
        <v>3.526027397260274</v>
      </c>
    </row>
    <row r="11" spans="1:10" x14ac:dyDescent="0.25">
      <c r="A11" s="45" t="s">
        <v>373</v>
      </c>
      <c r="B11" s="45" t="s">
        <v>374</v>
      </c>
      <c r="C11" s="45" t="s">
        <v>23</v>
      </c>
      <c r="D11" s="69">
        <v>39452</v>
      </c>
      <c r="E11" s="47">
        <v>40770</v>
      </c>
      <c r="G11" s="93" t="s">
        <v>342</v>
      </c>
      <c r="I11" t="e">
        <f t="shared" si="0"/>
        <v>#N/A</v>
      </c>
      <c r="J11" s="94">
        <f t="shared" si="1"/>
        <v>3.6109589041095891</v>
      </c>
    </row>
    <row r="12" spans="1:10" x14ac:dyDescent="0.25">
      <c r="A12" s="45" t="s">
        <v>375</v>
      </c>
      <c r="B12" s="45" t="s">
        <v>376</v>
      </c>
      <c r="C12" s="45" t="s">
        <v>23</v>
      </c>
      <c r="D12" s="69">
        <v>39452</v>
      </c>
      <c r="E12" s="47">
        <v>40770</v>
      </c>
      <c r="G12" s="93" t="s">
        <v>314</v>
      </c>
      <c r="I12" t="e">
        <f t="shared" si="0"/>
        <v>#N/A</v>
      </c>
      <c r="J12" s="94">
        <f t="shared" si="1"/>
        <v>3.6109589041095891</v>
      </c>
    </row>
    <row r="13" spans="1:10" x14ac:dyDescent="0.25">
      <c r="A13" s="45" t="s">
        <v>234</v>
      </c>
      <c r="B13" s="45" t="s">
        <v>235</v>
      </c>
      <c r="C13" s="45" t="s">
        <v>23</v>
      </c>
      <c r="D13" s="46">
        <v>39479</v>
      </c>
      <c r="E13" s="47">
        <v>40801</v>
      </c>
      <c r="G13" s="93" t="s">
        <v>316</v>
      </c>
      <c r="I13" t="e">
        <f t="shared" si="0"/>
        <v>#N/A</v>
      </c>
      <c r="J13" s="94">
        <f t="shared" si="1"/>
        <v>3.6219178082191781</v>
      </c>
    </row>
    <row r="14" spans="1:10" x14ac:dyDescent="0.25">
      <c r="A14" s="45" t="s">
        <v>361</v>
      </c>
      <c r="B14" s="45" t="s">
        <v>362</v>
      </c>
      <c r="C14" s="45" t="s">
        <v>13</v>
      </c>
      <c r="D14" s="38">
        <v>39493</v>
      </c>
      <c r="E14" s="47">
        <v>39553</v>
      </c>
      <c r="G14" s="93" t="s">
        <v>344</v>
      </c>
      <c r="I14" t="str">
        <f t="shared" si="0"/>
        <v>ELI-119</v>
      </c>
      <c r="J14" s="8">
        <f t="shared" si="1"/>
        <v>0.16438356164383561</v>
      </c>
    </row>
    <row r="15" spans="1:10" x14ac:dyDescent="0.25">
      <c r="A15" s="45" t="s">
        <v>363</v>
      </c>
      <c r="B15" s="45" t="s">
        <v>364</v>
      </c>
      <c r="C15" s="45" t="s">
        <v>23</v>
      </c>
      <c r="D15" s="38">
        <v>39493</v>
      </c>
      <c r="E15" s="47">
        <v>39553</v>
      </c>
      <c r="G15" s="93" t="s">
        <v>346</v>
      </c>
      <c r="I15" t="str">
        <f t="shared" si="0"/>
        <v>ELI-121</v>
      </c>
      <c r="J15" s="8">
        <f t="shared" si="1"/>
        <v>0.16438356164383561</v>
      </c>
    </row>
    <row r="16" spans="1:10" x14ac:dyDescent="0.25">
      <c r="A16" s="45" t="s">
        <v>365</v>
      </c>
      <c r="B16" s="45" t="s">
        <v>366</v>
      </c>
      <c r="C16" s="45" t="s">
        <v>13</v>
      </c>
      <c r="D16" s="38">
        <v>39493</v>
      </c>
      <c r="E16" s="47">
        <v>39553</v>
      </c>
      <c r="G16" s="93" t="s">
        <v>348</v>
      </c>
      <c r="I16" t="str">
        <f t="shared" si="0"/>
        <v>ELI-122</v>
      </c>
      <c r="J16" s="8">
        <f t="shared" si="1"/>
        <v>0.16438356164383561</v>
      </c>
    </row>
    <row r="17" spans="1:10" x14ac:dyDescent="0.25">
      <c r="A17" s="45" t="s">
        <v>17</v>
      </c>
      <c r="B17" s="45" t="s">
        <v>18</v>
      </c>
      <c r="C17" s="45" t="s">
        <v>13</v>
      </c>
      <c r="D17" s="69">
        <v>39508</v>
      </c>
      <c r="E17" s="47">
        <v>39736</v>
      </c>
      <c r="G17" s="93" t="s">
        <v>318</v>
      </c>
      <c r="I17" t="str">
        <f t="shared" si="0"/>
        <v>ELI-219</v>
      </c>
      <c r="J17" s="8">
        <f t="shared" si="1"/>
        <v>0.62465753424657533</v>
      </c>
    </row>
    <row r="18" spans="1:10" x14ac:dyDescent="0.25">
      <c r="A18" s="45" t="s">
        <v>19</v>
      </c>
      <c r="B18" s="45" t="s">
        <v>20</v>
      </c>
      <c r="C18" s="45" t="s">
        <v>13</v>
      </c>
      <c r="D18" s="69">
        <v>39508</v>
      </c>
      <c r="E18" s="47">
        <v>39736</v>
      </c>
      <c r="G18" s="93" t="s">
        <v>320</v>
      </c>
      <c r="I18" t="str">
        <f t="shared" si="0"/>
        <v>ELI-220</v>
      </c>
      <c r="J18" s="8">
        <f t="shared" si="1"/>
        <v>0.62465753424657533</v>
      </c>
    </row>
    <row r="19" spans="1:10" x14ac:dyDescent="0.25">
      <c r="A19" s="45" t="s">
        <v>14</v>
      </c>
      <c r="B19" s="45" t="s">
        <v>15</v>
      </c>
      <c r="C19" s="45" t="s">
        <v>13</v>
      </c>
      <c r="D19" s="69">
        <v>39508</v>
      </c>
      <c r="E19" s="47">
        <v>39918</v>
      </c>
      <c r="G19" s="93" t="s">
        <v>574</v>
      </c>
      <c r="I19" t="str">
        <f t="shared" si="0"/>
        <v>ELI-218</v>
      </c>
      <c r="J19" s="8">
        <f t="shared" si="1"/>
        <v>1.1232876712328768</v>
      </c>
    </row>
    <row r="20" spans="1:10" x14ac:dyDescent="0.25">
      <c r="A20" s="45" t="s">
        <v>11</v>
      </c>
      <c r="B20" s="45" t="s">
        <v>12</v>
      </c>
      <c r="C20" s="45" t="s">
        <v>13</v>
      </c>
      <c r="D20" s="69">
        <v>39508</v>
      </c>
      <c r="E20" s="47">
        <v>40009</v>
      </c>
      <c r="G20" s="93" t="s">
        <v>577</v>
      </c>
      <c r="I20" t="str">
        <f t="shared" si="0"/>
        <v>ELI-143</v>
      </c>
      <c r="J20" s="8">
        <f t="shared" si="1"/>
        <v>1.3726027397260274</v>
      </c>
    </row>
    <row r="21" spans="1:10" x14ac:dyDescent="0.25">
      <c r="A21" s="45" t="s">
        <v>517</v>
      </c>
      <c r="B21" s="45" t="s">
        <v>518</v>
      </c>
      <c r="C21" s="45" t="s">
        <v>23</v>
      </c>
      <c r="D21" s="51">
        <v>39539</v>
      </c>
      <c r="E21" s="47">
        <v>39736</v>
      </c>
      <c r="G21" s="93" t="s">
        <v>580</v>
      </c>
      <c r="I21" t="str">
        <f t="shared" si="0"/>
        <v>ELI-213</v>
      </c>
      <c r="J21" s="8">
        <f t="shared" si="1"/>
        <v>0.53972602739726028</v>
      </c>
    </row>
    <row r="22" spans="1:10" x14ac:dyDescent="0.25">
      <c r="A22" s="45" t="s">
        <v>519</v>
      </c>
      <c r="B22" s="45" t="s">
        <v>520</v>
      </c>
      <c r="C22" s="45" t="s">
        <v>23</v>
      </c>
      <c r="D22" s="51">
        <v>39539</v>
      </c>
      <c r="E22" s="47">
        <v>39736</v>
      </c>
      <c r="G22" s="93" t="s">
        <v>540</v>
      </c>
      <c r="I22" t="str">
        <f t="shared" si="0"/>
        <v>ELI-214</v>
      </c>
      <c r="J22" s="8">
        <f t="shared" si="1"/>
        <v>0.53972602739726028</v>
      </c>
    </row>
    <row r="23" spans="1:10" x14ac:dyDescent="0.25">
      <c r="A23" s="45" t="s">
        <v>491</v>
      </c>
      <c r="B23" s="45" t="s">
        <v>492</v>
      </c>
      <c r="C23" s="45" t="s">
        <v>13</v>
      </c>
      <c r="D23" s="51">
        <v>39539</v>
      </c>
      <c r="E23" s="47">
        <v>39736</v>
      </c>
      <c r="G23" s="93" t="s">
        <v>544</v>
      </c>
      <c r="I23" t="str">
        <f t="shared" si="0"/>
        <v>ELI-215</v>
      </c>
      <c r="J23" s="8">
        <f t="shared" si="1"/>
        <v>0.53972602739726028</v>
      </c>
    </row>
    <row r="24" spans="1:10" x14ac:dyDescent="0.25">
      <c r="A24" s="45" t="s">
        <v>548</v>
      </c>
      <c r="B24" s="45" t="s">
        <v>549</v>
      </c>
      <c r="C24" s="45" t="s">
        <v>13</v>
      </c>
      <c r="D24" s="46">
        <v>39539</v>
      </c>
      <c r="E24" s="47">
        <v>40132</v>
      </c>
      <c r="G24" s="93" t="s">
        <v>517</v>
      </c>
      <c r="I24" t="str">
        <f t="shared" si="0"/>
        <v>ELI-257</v>
      </c>
      <c r="J24" s="8">
        <f t="shared" si="1"/>
        <v>1.6246575342465754</v>
      </c>
    </row>
    <row r="25" spans="1:10" x14ac:dyDescent="0.25">
      <c r="A25" s="45" t="s">
        <v>525</v>
      </c>
      <c r="B25" s="45" t="s">
        <v>526</v>
      </c>
      <c r="C25" s="45" t="s">
        <v>23</v>
      </c>
      <c r="D25" s="51">
        <v>39539</v>
      </c>
      <c r="E25" s="47">
        <v>40739</v>
      </c>
      <c r="G25" s="93" t="s">
        <v>519</v>
      </c>
      <c r="I25" t="e">
        <f t="shared" si="0"/>
        <v>#N/A</v>
      </c>
      <c r="J25" s="94">
        <f t="shared" si="1"/>
        <v>3.2876712328767121</v>
      </c>
    </row>
    <row r="26" spans="1:10" x14ac:dyDescent="0.25">
      <c r="A26" s="45" t="s">
        <v>350</v>
      </c>
      <c r="B26" s="45" t="s">
        <v>351</v>
      </c>
      <c r="C26" s="45" t="s">
        <v>23</v>
      </c>
      <c r="D26" s="46">
        <v>39539</v>
      </c>
      <c r="E26" s="47">
        <v>41197</v>
      </c>
      <c r="G26" s="93" t="s">
        <v>491</v>
      </c>
      <c r="I26" t="e">
        <f t="shared" si="0"/>
        <v>#N/A</v>
      </c>
      <c r="J26" s="94">
        <f t="shared" si="1"/>
        <v>4.5424657534246577</v>
      </c>
    </row>
    <row r="27" spans="1:10" x14ac:dyDescent="0.25">
      <c r="A27" s="45" t="s">
        <v>21</v>
      </c>
      <c r="B27" s="45" t="s">
        <v>22</v>
      </c>
      <c r="C27" s="45" t="s">
        <v>23</v>
      </c>
      <c r="D27" s="52">
        <v>39569</v>
      </c>
      <c r="E27" s="47">
        <v>39918</v>
      </c>
      <c r="G27" s="93" t="s">
        <v>14</v>
      </c>
      <c r="I27" t="str">
        <f t="shared" si="0"/>
        <v>ELI-221</v>
      </c>
      <c r="J27" s="8">
        <f t="shared" si="1"/>
        <v>0.95616438356164379</v>
      </c>
    </row>
    <row r="28" spans="1:10" x14ac:dyDescent="0.25">
      <c r="A28" s="45" t="s">
        <v>24</v>
      </c>
      <c r="B28" s="45" t="s">
        <v>25</v>
      </c>
      <c r="C28" s="45" t="s">
        <v>23</v>
      </c>
      <c r="D28" s="52">
        <v>39569</v>
      </c>
      <c r="E28" s="47">
        <v>39918</v>
      </c>
      <c r="G28" s="93" t="s">
        <v>17</v>
      </c>
      <c r="I28" t="str">
        <f t="shared" si="0"/>
        <v>ELI-222</v>
      </c>
      <c r="J28" s="8">
        <f t="shared" si="1"/>
        <v>0.95616438356164379</v>
      </c>
    </row>
    <row r="29" spans="1:10" x14ac:dyDescent="0.25">
      <c r="A29" s="45" t="s">
        <v>529</v>
      </c>
      <c r="B29" s="45" t="s">
        <v>530</v>
      </c>
      <c r="C29" s="45" t="s">
        <v>23</v>
      </c>
      <c r="D29" s="70">
        <v>39569</v>
      </c>
      <c r="E29" s="47">
        <v>40132</v>
      </c>
      <c r="G29" s="93" t="s">
        <v>19</v>
      </c>
      <c r="I29" t="str">
        <f t="shared" si="0"/>
        <v>ELI-267</v>
      </c>
      <c r="J29" s="8">
        <f t="shared" si="1"/>
        <v>1.5424657534246575</v>
      </c>
    </row>
    <row r="30" spans="1:10" x14ac:dyDescent="0.25">
      <c r="A30" s="45" t="s">
        <v>587</v>
      </c>
      <c r="B30" s="45" t="s">
        <v>588</v>
      </c>
      <c r="C30" s="45" t="s">
        <v>13</v>
      </c>
      <c r="D30" s="46">
        <v>39569</v>
      </c>
      <c r="E30" s="47">
        <v>40770</v>
      </c>
      <c r="G30" s="93" t="s">
        <v>21</v>
      </c>
      <c r="I30" t="e">
        <f t="shared" si="0"/>
        <v>#N/A</v>
      </c>
      <c r="J30" s="94">
        <f t="shared" si="1"/>
        <v>3.2904109589041095</v>
      </c>
    </row>
    <row r="31" spans="1:10" x14ac:dyDescent="0.25">
      <c r="A31" s="45" t="s">
        <v>163</v>
      </c>
      <c r="B31" s="45" t="s">
        <v>531</v>
      </c>
      <c r="C31" s="45" t="s">
        <v>23</v>
      </c>
      <c r="D31" s="70">
        <v>39569</v>
      </c>
      <c r="E31" s="47">
        <v>40801</v>
      </c>
      <c r="G31" s="93" t="s">
        <v>24</v>
      </c>
      <c r="I31" t="e">
        <f t="shared" si="0"/>
        <v>#N/A</v>
      </c>
      <c r="J31" s="94">
        <f t="shared" si="1"/>
        <v>3.3753424657534246</v>
      </c>
    </row>
    <row r="32" spans="1:10" x14ac:dyDescent="0.25">
      <c r="A32" s="45" t="s">
        <v>177</v>
      </c>
      <c r="B32" s="45" t="s">
        <v>178</v>
      </c>
      <c r="C32" s="45" t="s">
        <v>13</v>
      </c>
      <c r="D32" s="46">
        <v>39593</v>
      </c>
      <c r="E32" s="47">
        <v>40739</v>
      </c>
      <c r="G32" s="93" t="s">
        <v>26</v>
      </c>
      <c r="I32" t="e">
        <f t="shared" si="0"/>
        <v>#N/A</v>
      </c>
      <c r="J32" s="94">
        <f t="shared" si="1"/>
        <v>3.1397260273972605</v>
      </c>
    </row>
    <row r="33" spans="1:10" x14ac:dyDescent="0.25">
      <c r="A33" s="45" t="s">
        <v>553</v>
      </c>
      <c r="B33" s="45" t="s">
        <v>554</v>
      </c>
      <c r="C33" s="45" t="s">
        <v>13</v>
      </c>
      <c r="D33" s="72">
        <v>39600</v>
      </c>
      <c r="E33" s="47">
        <v>39675</v>
      </c>
      <c r="G33" s="93" t="s">
        <v>203</v>
      </c>
      <c r="I33" t="str">
        <f t="shared" si="0"/>
        <v>ELI-261</v>
      </c>
      <c r="J33" s="8">
        <f t="shared" si="1"/>
        <v>0.20547945205479451</v>
      </c>
    </row>
    <row r="34" spans="1:10" x14ac:dyDescent="0.25">
      <c r="A34" s="45" t="s">
        <v>346</v>
      </c>
      <c r="B34" s="45" t="s">
        <v>347</v>
      </c>
      <c r="C34" s="45" t="s">
        <v>23</v>
      </c>
      <c r="D34" s="36">
        <v>39630</v>
      </c>
      <c r="E34" s="47">
        <v>39736</v>
      </c>
      <c r="G34" s="93" t="s">
        <v>205</v>
      </c>
      <c r="I34" t="str">
        <f t="shared" si="0"/>
        <v>ELI-162</v>
      </c>
      <c r="J34" s="8">
        <f t="shared" si="1"/>
        <v>0.29041095890410956</v>
      </c>
    </row>
    <row r="35" spans="1:10" x14ac:dyDescent="0.25">
      <c r="A35" s="45" t="s">
        <v>348</v>
      </c>
      <c r="B35" s="45" t="s">
        <v>349</v>
      </c>
      <c r="C35" s="45" t="s">
        <v>23</v>
      </c>
      <c r="D35" s="36">
        <v>39630</v>
      </c>
      <c r="E35" s="47">
        <v>39736</v>
      </c>
      <c r="G35" s="93" t="s">
        <v>207</v>
      </c>
      <c r="I35" t="str">
        <f t="shared" si="0"/>
        <v>ELI-163</v>
      </c>
      <c r="J35" s="8">
        <f t="shared" si="1"/>
        <v>0.29041095890410956</v>
      </c>
    </row>
    <row r="36" spans="1:10" x14ac:dyDescent="0.25">
      <c r="A36" s="45" t="s">
        <v>124</v>
      </c>
      <c r="B36" s="45" t="s">
        <v>125</v>
      </c>
      <c r="C36" s="45" t="s">
        <v>23</v>
      </c>
      <c r="D36" s="46">
        <v>39677</v>
      </c>
      <c r="E36" s="47">
        <v>40405</v>
      </c>
      <c r="G36" s="93" t="s">
        <v>157</v>
      </c>
      <c r="I36" t="str">
        <f t="shared" si="0"/>
        <v>ELI-404</v>
      </c>
      <c r="J36" s="8">
        <f t="shared" si="1"/>
        <v>1.9945205479452055</v>
      </c>
    </row>
    <row r="37" spans="1:10" x14ac:dyDescent="0.25">
      <c r="A37" s="45" t="s">
        <v>181</v>
      </c>
      <c r="B37" s="45" t="s">
        <v>182</v>
      </c>
      <c r="C37" s="45" t="s">
        <v>23</v>
      </c>
      <c r="D37" s="71">
        <v>39685</v>
      </c>
      <c r="E37" s="47">
        <v>40678</v>
      </c>
      <c r="G37" s="93" t="s">
        <v>39</v>
      </c>
      <c r="I37" t="e">
        <f t="shared" si="0"/>
        <v>#N/A</v>
      </c>
      <c r="J37" s="94">
        <f t="shared" si="1"/>
        <v>2.7205479452054795</v>
      </c>
    </row>
    <row r="38" spans="1:10" x14ac:dyDescent="0.25">
      <c r="A38" s="45" t="s">
        <v>183</v>
      </c>
      <c r="B38" s="45" t="s">
        <v>184</v>
      </c>
      <c r="C38" s="45" t="s">
        <v>23</v>
      </c>
      <c r="D38" s="71">
        <v>39685</v>
      </c>
      <c r="E38" s="47">
        <v>40678</v>
      </c>
      <c r="G38" s="93" t="s">
        <v>43</v>
      </c>
      <c r="I38" t="e">
        <f t="shared" si="0"/>
        <v>#N/A</v>
      </c>
      <c r="J38" s="94">
        <f t="shared" si="1"/>
        <v>2.7205479452054795</v>
      </c>
    </row>
    <row r="39" spans="1:10" x14ac:dyDescent="0.25">
      <c r="A39" s="45" t="s">
        <v>157</v>
      </c>
      <c r="B39" s="45" t="s">
        <v>158</v>
      </c>
      <c r="C39" s="45" t="s">
        <v>23</v>
      </c>
      <c r="D39" s="76">
        <v>39797</v>
      </c>
      <c r="E39" s="47">
        <v>39918</v>
      </c>
      <c r="G39" s="93" t="s">
        <v>440</v>
      </c>
      <c r="I39" t="str">
        <f t="shared" si="0"/>
        <v>ELI-238</v>
      </c>
      <c r="J39" s="8">
        <f t="shared" si="1"/>
        <v>0.33150684931506852</v>
      </c>
    </row>
    <row r="40" spans="1:10" x14ac:dyDescent="0.25">
      <c r="A40" s="2"/>
      <c r="B40" s="2"/>
      <c r="C40" s="2"/>
      <c r="D40" s="18"/>
      <c r="E40" s="5"/>
      <c r="G40" s="93" t="s">
        <v>443</v>
      </c>
    </row>
    <row r="41" spans="1:10" x14ac:dyDescent="0.25">
      <c r="A41" s="2"/>
      <c r="B41" s="2"/>
      <c r="C41" s="2"/>
      <c r="D41" s="18"/>
      <c r="E41" s="5"/>
      <c r="G41" s="93" t="s">
        <v>448</v>
      </c>
    </row>
    <row r="42" spans="1:10" x14ac:dyDescent="0.25">
      <c r="A42" s="45" t="s">
        <v>213</v>
      </c>
      <c r="B42" s="45" t="s">
        <v>214</v>
      </c>
      <c r="C42" s="45" t="s">
        <v>13</v>
      </c>
      <c r="D42" s="46">
        <v>39814</v>
      </c>
      <c r="E42" s="47">
        <v>41197</v>
      </c>
      <c r="G42" s="93" t="s">
        <v>450</v>
      </c>
      <c r="I42" t="e">
        <f t="shared" si="0"/>
        <v>#N/A</v>
      </c>
      <c r="J42" s="94">
        <f t="shared" si="1"/>
        <v>3.7890410958904108</v>
      </c>
    </row>
    <row r="43" spans="1:10" x14ac:dyDescent="0.25">
      <c r="A43" s="45" t="s">
        <v>253</v>
      </c>
      <c r="B43" s="45" t="s">
        <v>254</v>
      </c>
      <c r="C43" s="45" t="s">
        <v>13</v>
      </c>
      <c r="D43" s="36">
        <v>39814</v>
      </c>
      <c r="E43" s="47">
        <v>41228</v>
      </c>
      <c r="G43" s="93" t="s">
        <v>548</v>
      </c>
      <c r="I43" t="e">
        <f t="shared" si="0"/>
        <v>#N/A</v>
      </c>
      <c r="J43" s="94">
        <f t="shared" si="1"/>
        <v>3.8739726027397259</v>
      </c>
    </row>
    <row r="44" spans="1:10" x14ac:dyDescent="0.25">
      <c r="A44" s="45" t="s">
        <v>255</v>
      </c>
      <c r="B44" s="45" t="s">
        <v>256</v>
      </c>
      <c r="C44" s="45" t="s">
        <v>13</v>
      </c>
      <c r="D44" s="36">
        <v>39814</v>
      </c>
      <c r="E44" s="47">
        <v>41228</v>
      </c>
      <c r="G44" s="93" t="s">
        <v>595</v>
      </c>
      <c r="I44" t="e">
        <f t="shared" si="0"/>
        <v>#N/A</v>
      </c>
      <c r="J44" s="94">
        <f t="shared" si="1"/>
        <v>3.8739726027397259</v>
      </c>
    </row>
    <row r="45" spans="1:10" x14ac:dyDescent="0.25">
      <c r="A45" s="45" t="s">
        <v>257</v>
      </c>
      <c r="B45" s="45" t="s">
        <v>258</v>
      </c>
      <c r="C45" s="45" t="s">
        <v>13</v>
      </c>
      <c r="D45" s="36">
        <v>39814</v>
      </c>
      <c r="E45" s="47">
        <v>41228</v>
      </c>
      <c r="G45" s="93" t="s">
        <v>553</v>
      </c>
      <c r="I45" t="e">
        <f t="shared" si="0"/>
        <v>#N/A</v>
      </c>
      <c r="J45" s="94">
        <f t="shared" si="1"/>
        <v>3.8739726027397259</v>
      </c>
    </row>
    <row r="46" spans="1:10" x14ac:dyDescent="0.25">
      <c r="A46" s="45" t="s">
        <v>215</v>
      </c>
      <c r="B46" s="45" t="s">
        <v>216</v>
      </c>
      <c r="C46" s="45" t="s">
        <v>13</v>
      </c>
      <c r="D46" s="46">
        <v>39841</v>
      </c>
      <c r="E46" s="47">
        <v>40709</v>
      </c>
      <c r="G46" s="93" t="s">
        <v>529</v>
      </c>
      <c r="I46" t="e">
        <f t="shared" si="0"/>
        <v>#N/A</v>
      </c>
      <c r="J46" s="94">
        <f t="shared" si="1"/>
        <v>2.3780821917808219</v>
      </c>
    </row>
    <row r="47" spans="1:10" x14ac:dyDescent="0.25">
      <c r="A47" s="45" t="s">
        <v>174</v>
      </c>
      <c r="B47" s="45" t="s">
        <v>175</v>
      </c>
      <c r="C47" s="45" t="s">
        <v>13</v>
      </c>
      <c r="D47" s="82">
        <v>39845</v>
      </c>
      <c r="E47" s="47">
        <v>40709</v>
      </c>
      <c r="G47" s="93" t="s">
        <v>325</v>
      </c>
      <c r="I47" t="e">
        <f t="shared" si="0"/>
        <v>#N/A</v>
      </c>
      <c r="J47" s="94">
        <f t="shared" si="1"/>
        <v>2.3671232876712329</v>
      </c>
    </row>
    <row r="48" spans="1:10" x14ac:dyDescent="0.25">
      <c r="A48" s="45" t="s">
        <v>574</v>
      </c>
      <c r="B48" s="45" t="s">
        <v>575</v>
      </c>
      <c r="C48" s="45" t="s">
        <v>23</v>
      </c>
      <c r="D48" s="76">
        <v>39859</v>
      </c>
      <c r="E48" s="47">
        <v>39918</v>
      </c>
      <c r="G48" s="93" t="s">
        <v>328</v>
      </c>
      <c r="I48" t="str">
        <f t="shared" si="0"/>
        <v>ELI-167</v>
      </c>
      <c r="J48" s="8">
        <f t="shared" si="1"/>
        <v>0.16164383561643836</v>
      </c>
    </row>
    <row r="49" spans="1:10" x14ac:dyDescent="0.25">
      <c r="A49" s="45" t="s">
        <v>577</v>
      </c>
      <c r="B49" s="45" t="s">
        <v>578</v>
      </c>
      <c r="C49" s="45" t="s">
        <v>23</v>
      </c>
      <c r="D49" s="76">
        <v>39859</v>
      </c>
      <c r="E49" s="47">
        <v>39918</v>
      </c>
      <c r="G49" s="93" t="s">
        <v>330</v>
      </c>
      <c r="I49" t="str">
        <f t="shared" si="0"/>
        <v>ELI-168</v>
      </c>
      <c r="J49" s="8">
        <f t="shared" si="1"/>
        <v>0.16164383561643836</v>
      </c>
    </row>
    <row r="50" spans="1:10" x14ac:dyDescent="0.25">
      <c r="A50" s="45" t="s">
        <v>580</v>
      </c>
      <c r="B50" s="45" t="s">
        <v>581</v>
      </c>
      <c r="C50" s="45" t="s">
        <v>23</v>
      </c>
      <c r="D50" s="76">
        <v>39859</v>
      </c>
      <c r="E50" s="47">
        <v>39918</v>
      </c>
      <c r="G50" s="93" t="s">
        <v>333</v>
      </c>
      <c r="I50" t="str">
        <f t="shared" si="0"/>
        <v>ELI-169</v>
      </c>
      <c r="J50" s="8">
        <f t="shared" si="1"/>
        <v>0.16164383561643836</v>
      </c>
    </row>
    <row r="51" spans="1:10" x14ac:dyDescent="0.25">
      <c r="A51" s="45" t="s">
        <v>593</v>
      </c>
      <c r="B51" s="45" t="s">
        <v>594</v>
      </c>
      <c r="C51" s="45" t="s">
        <v>23</v>
      </c>
      <c r="D51" s="80">
        <v>39934</v>
      </c>
      <c r="E51" s="47">
        <v>40770</v>
      </c>
      <c r="G51" s="93" t="s">
        <v>452</v>
      </c>
      <c r="I51" t="e">
        <f t="shared" si="0"/>
        <v>#N/A</v>
      </c>
      <c r="J51" s="94">
        <f t="shared" si="1"/>
        <v>2.2904109589041095</v>
      </c>
    </row>
    <row r="52" spans="1:10" x14ac:dyDescent="0.25">
      <c r="A52" s="45" t="s">
        <v>589</v>
      </c>
      <c r="B52" s="45" t="s">
        <v>590</v>
      </c>
      <c r="C52" s="45" t="s">
        <v>23</v>
      </c>
      <c r="D52" s="80">
        <v>39934</v>
      </c>
      <c r="E52" s="47">
        <v>40801</v>
      </c>
      <c r="G52" s="93" t="s">
        <v>453</v>
      </c>
      <c r="I52" t="e">
        <f t="shared" si="0"/>
        <v>#N/A</v>
      </c>
      <c r="J52" s="94">
        <f t="shared" si="1"/>
        <v>2.3753424657534246</v>
      </c>
    </row>
    <row r="53" spans="1:10" x14ac:dyDescent="0.25">
      <c r="A53" s="45" t="s">
        <v>591</v>
      </c>
      <c r="B53" s="45" t="s">
        <v>592</v>
      </c>
      <c r="C53" s="45" t="s">
        <v>23</v>
      </c>
      <c r="D53" s="80">
        <v>39934</v>
      </c>
      <c r="E53" s="47">
        <v>40801</v>
      </c>
      <c r="G53" s="93" t="s">
        <v>456</v>
      </c>
      <c r="I53" t="e">
        <f t="shared" si="0"/>
        <v>#N/A</v>
      </c>
      <c r="J53" s="94">
        <f t="shared" si="1"/>
        <v>2.3753424657534246</v>
      </c>
    </row>
    <row r="54" spans="1:10" x14ac:dyDescent="0.25">
      <c r="A54" s="45" t="s">
        <v>203</v>
      </c>
      <c r="B54" s="45" t="s">
        <v>204</v>
      </c>
      <c r="C54" s="45" t="s">
        <v>13</v>
      </c>
      <c r="D54" s="38">
        <v>39948</v>
      </c>
      <c r="E54" s="47">
        <v>40040</v>
      </c>
      <c r="G54" s="93" t="s">
        <v>458</v>
      </c>
      <c r="I54" t="str">
        <f t="shared" si="0"/>
        <v>ELI-231</v>
      </c>
      <c r="J54" s="8">
        <f t="shared" si="1"/>
        <v>0.25205479452054796</v>
      </c>
    </row>
    <row r="55" spans="1:10" x14ac:dyDescent="0.25">
      <c r="A55" s="45" t="s">
        <v>205</v>
      </c>
      <c r="B55" s="45" t="s">
        <v>206</v>
      </c>
      <c r="C55" s="45" t="s">
        <v>13</v>
      </c>
      <c r="D55" s="38">
        <v>39948</v>
      </c>
      <c r="E55" s="47">
        <v>40040</v>
      </c>
      <c r="G55" s="93" t="s">
        <v>460</v>
      </c>
      <c r="I55" t="str">
        <f t="shared" si="0"/>
        <v>ELI-232</v>
      </c>
      <c r="J55" s="8">
        <f t="shared" si="1"/>
        <v>0.25205479452054796</v>
      </c>
    </row>
    <row r="56" spans="1:10" x14ac:dyDescent="0.25">
      <c r="A56" s="45" t="s">
        <v>207</v>
      </c>
      <c r="B56" s="45" t="s">
        <v>208</v>
      </c>
      <c r="C56" s="45" t="s">
        <v>23</v>
      </c>
      <c r="D56" s="38">
        <v>39948</v>
      </c>
      <c r="E56" s="47">
        <v>40040</v>
      </c>
      <c r="G56" s="93" t="s">
        <v>462</v>
      </c>
      <c r="I56" t="str">
        <f t="shared" si="0"/>
        <v>ELI-233</v>
      </c>
      <c r="J56" s="8">
        <f t="shared" si="1"/>
        <v>0.25205479452054796</v>
      </c>
    </row>
    <row r="57" spans="1:10" x14ac:dyDescent="0.25">
      <c r="A57" s="45" t="s">
        <v>609</v>
      </c>
      <c r="B57" s="45" t="s">
        <v>610</v>
      </c>
      <c r="C57" s="45" t="s">
        <v>23</v>
      </c>
      <c r="D57" s="72">
        <v>39995</v>
      </c>
      <c r="E57" s="47">
        <v>41197</v>
      </c>
      <c r="G57" s="93" t="s">
        <v>227</v>
      </c>
      <c r="I57" t="e">
        <f t="shared" si="0"/>
        <v>#N/A</v>
      </c>
      <c r="J57" s="94">
        <f t="shared" si="1"/>
        <v>3.2931506849315069</v>
      </c>
    </row>
    <row r="58" spans="1:10" x14ac:dyDescent="0.25">
      <c r="A58" s="45" t="s">
        <v>611</v>
      </c>
      <c r="B58" s="45" t="s">
        <v>612</v>
      </c>
      <c r="C58" s="45" t="s">
        <v>23</v>
      </c>
      <c r="D58" s="72">
        <v>39995</v>
      </c>
      <c r="E58" s="47">
        <v>41197</v>
      </c>
      <c r="G58" s="93" t="s">
        <v>229</v>
      </c>
      <c r="I58" t="e">
        <f t="shared" si="0"/>
        <v>#N/A</v>
      </c>
      <c r="J58" s="94">
        <f t="shared" si="1"/>
        <v>3.2931506849315069</v>
      </c>
    </row>
    <row r="59" spans="1:10" x14ac:dyDescent="0.25">
      <c r="A59" s="45" t="s">
        <v>440</v>
      </c>
      <c r="B59" s="45" t="s">
        <v>441</v>
      </c>
      <c r="C59" s="45" t="s">
        <v>23</v>
      </c>
      <c r="D59" s="77">
        <v>40026</v>
      </c>
      <c r="E59" s="47">
        <v>40101</v>
      </c>
      <c r="G59" s="93" t="s">
        <v>45</v>
      </c>
      <c r="I59" t="str">
        <f t="shared" si="0"/>
        <v>ELI-251</v>
      </c>
      <c r="J59" s="8">
        <f t="shared" si="1"/>
        <v>0.20547945205479451</v>
      </c>
    </row>
    <row r="60" spans="1:10" x14ac:dyDescent="0.25">
      <c r="A60" s="45" t="s">
        <v>443</v>
      </c>
      <c r="B60" s="45" t="s">
        <v>444</v>
      </c>
      <c r="C60" s="45" t="s">
        <v>13</v>
      </c>
      <c r="D60" s="77">
        <v>40026</v>
      </c>
      <c r="E60" s="47">
        <v>40101</v>
      </c>
      <c r="G60" s="93" t="s">
        <v>49</v>
      </c>
      <c r="I60" t="str">
        <f t="shared" si="0"/>
        <v>ELI-252</v>
      </c>
      <c r="J60" s="8">
        <f t="shared" si="1"/>
        <v>0.20547945205479451</v>
      </c>
    </row>
    <row r="61" spans="1:10" x14ac:dyDescent="0.25">
      <c r="A61" s="45" t="s">
        <v>448</v>
      </c>
      <c r="B61" s="45" t="s">
        <v>449</v>
      </c>
      <c r="C61" s="45" t="s">
        <v>13</v>
      </c>
      <c r="D61" s="77">
        <v>40026</v>
      </c>
      <c r="E61" s="47">
        <v>40101</v>
      </c>
      <c r="G61" s="93" t="s">
        <v>51</v>
      </c>
      <c r="I61" t="str">
        <f t="shared" si="0"/>
        <v>ELI-254</v>
      </c>
      <c r="J61" s="8">
        <f t="shared" si="1"/>
        <v>0.20547945205479451</v>
      </c>
    </row>
    <row r="62" spans="1:10" x14ac:dyDescent="0.25">
      <c r="A62" s="45" t="s">
        <v>450</v>
      </c>
      <c r="B62" s="45" t="s">
        <v>451</v>
      </c>
      <c r="C62" s="45" t="s">
        <v>13</v>
      </c>
      <c r="D62" s="77">
        <v>40026</v>
      </c>
      <c r="E62" s="47">
        <v>40101</v>
      </c>
      <c r="G62" s="93" t="s">
        <v>159</v>
      </c>
      <c r="I62" t="str">
        <f t="shared" si="0"/>
        <v>ELI-255</v>
      </c>
      <c r="J62" s="8">
        <f t="shared" si="1"/>
        <v>0.20547945205479451</v>
      </c>
    </row>
    <row r="63" spans="1:10" x14ac:dyDescent="0.25">
      <c r="A63" s="45" t="s">
        <v>39</v>
      </c>
      <c r="B63" s="45" t="s">
        <v>40</v>
      </c>
      <c r="C63" s="45" t="s">
        <v>13</v>
      </c>
      <c r="D63" s="46">
        <v>40083</v>
      </c>
      <c r="E63" s="47">
        <v>40132</v>
      </c>
      <c r="G63" s="93" t="s">
        <v>53</v>
      </c>
      <c r="I63" t="str">
        <f t="shared" si="0"/>
        <v>ELI-244</v>
      </c>
      <c r="J63" s="8">
        <f t="shared" si="1"/>
        <v>0.13424657534246576</v>
      </c>
    </row>
    <row r="64" spans="1:10" x14ac:dyDescent="0.25">
      <c r="A64" s="2"/>
      <c r="B64" s="2"/>
      <c r="C64" s="2"/>
      <c r="D64" s="18"/>
      <c r="E64" s="5"/>
      <c r="G64" s="93" t="s">
        <v>209</v>
      </c>
    </row>
    <row r="65" spans="1:10" x14ac:dyDescent="0.25">
      <c r="A65" s="2"/>
      <c r="B65" s="2"/>
      <c r="C65" s="2"/>
      <c r="D65" s="18"/>
      <c r="E65" s="5"/>
      <c r="G65" s="93" t="s">
        <v>211</v>
      </c>
    </row>
    <row r="66" spans="1:10" x14ac:dyDescent="0.25">
      <c r="A66" s="45" t="s">
        <v>209</v>
      </c>
      <c r="B66" s="45" t="s">
        <v>210</v>
      </c>
      <c r="C66" s="45" t="s">
        <v>28</v>
      </c>
      <c r="D66" s="70">
        <v>40252</v>
      </c>
      <c r="E66" s="47">
        <v>40466</v>
      </c>
      <c r="G66" s="93" t="s">
        <v>124</v>
      </c>
      <c r="I66" t="str">
        <f t="shared" si="0"/>
        <v>ELI-400</v>
      </c>
      <c r="J66" s="8">
        <f t="shared" si="1"/>
        <v>0.58630136986301373</v>
      </c>
    </row>
    <row r="67" spans="1:10" x14ac:dyDescent="0.25">
      <c r="A67" s="45" t="s">
        <v>211</v>
      </c>
      <c r="B67" s="45" t="s">
        <v>212</v>
      </c>
      <c r="C67" s="45" t="s">
        <v>28</v>
      </c>
      <c r="D67" s="70">
        <v>40252</v>
      </c>
      <c r="E67" s="47">
        <v>40466</v>
      </c>
      <c r="G67" s="93" t="s">
        <v>57</v>
      </c>
      <c r="I67" t="str">
        <f t="shared" ref="I67:I125" si="2">VLOOKUP(A67,G$2:G$232,1,FALSE)</f>
        <v>ELI-401</v>
      </c>
      <c r="J67" s="8">
        <f t="shared" ref="J67:J125" si="3">(E67-D67)/365</f>
        <v>0.58630136986301373</v>
      </c>
    </row>
    <row r="68" spans="1:10" x14ac:dyDescent="0.25">
      <c r="A68" s="45" t="s">
        <v>325</v>
      </c>
      <c r="B68" s="45" t="s">
        <v>326</v>
      </c>
      <c r="C68" s="45" t="s">
        <v>13</v>
      </c>
      <c r="D68" s="50">
        <v>40258</v>
      </c>
      <c r="E68" s="47">
        <v>40313</v>
      </c>
      <c r="G68" s="93" t="s">
        <v>59</v>
      </c>
      <c r="I68" t="str">
        <f t="shared" si="2"/>
        <v>ELI-369</v>
      </c>
      <c r="J68" s="8">
        <f t="shared" si="3"/>
        <v>0.15068493150684931</v>
      </c>
    </row>
    <row r="69" spans="1:10" x14ac:dyDescent="0.25">
      <c r="A69" s="45" t="s">
        <v>328</v>
      </c>
      <c r="B69" s="45" t="s">
        <v>329</v>
      </c>
      <c r="C69" s="45" t="s">
        <v>23</v>
      </c>
      <c r="D69" s="50">
        <v>40258</v>
      </c>
      <c r="E69" s="47">
        <v>40313</v>
      </c>
      <c r="G69" s="93" t="s">
        <v>126</v>
      </c>
      <c r="I69" t="str">
        <f t="shared" si="2"/>
        <v>ELI-370</v>
      </c>
      <c r="J69" s="8">
        <f t="shared" si="3"/>
        <v>0.15068493150684931</v>
      </c>
    </row>
    <row r="70" spans="1:10" x14ac:dyDescent="0.25">
      <c r="A70" s="45" t="s">
        <v>330</v>
      </c>
      <c r="B70" s="45" t="s">
        <v>331</v>
      </c>
      <c r="C70" s="45" t="s">
        <v>28</v>
      </c>
      <c r="D70" s="50">
        <v>40258</v>
      </c>
      <c r="E70" s="47">
        <v>40313</v>
      </c>
      <c r="G70" s="93" t="s">
        <v>128</v>
      </c>
      <c r="I70" t="str">
        <f t="shared" si="2"/>
        <v>ELI-371</v>
      </c>
      <c r="J70" s="8">
        <f t="shared" si="3"/>
        <v>0.15068493150684931</v>
      </c>
    </row>
    <row r="71" spans="1:10" x14ac:dyDescent="0.25">
      <c r="A71" s="45" t="s">
        <v>333</v>
      </c>
      <c r="B71" s="45" t="s">
        <v>334</v>
      </c>
      <c r="C71" s="45" t="s">
        <v>28</v>
      </c>
      <c r="D71" s="50">
        <v>40258</v>
      </c>
      <c r="E71" s="47">
        <v>40313</v>
      </c>
      <c r="G71" s="93" t="s">
        <v>130</v>
      </c>
      <c r="I71" t="str">
        <f t="shared" si="2"/>
        <v>ELI-372</v>
      </c>
      <c r="J71" s="8">
        <f t="shared" si="3"/>
        <v>0.15068493150684931</v>
      </c>
    </row>
    <row r="72" spans="1:10" x14ac:dyDescent="0.25">
      <c r="A72" s="45" t="s">
        <v>159</v>
      </c>
      <c r="B72" s="45" t="s">
        <v>160</v>
      </c>
      <c r="C72" s="45" t="s">
        <v>23</v>
      </c>
      <c r="D72" s="46">
        <v>40296</v>
      </c>
      <c r="E72" s="47">
        <v>40344</v>
      </c>
      <c r="G72" s="93" t="s">
        <v>132</v>
      </c>
      <c r="I72" t="str">
        <f t="shared" si="2"/>
        <v>ELI-397</v>
      </c>
      <c r="J72" s="8">
        <f t="shared" si="3"/>
        <v>0.13150684931506848</v>
      </c>
    </row>
    <row r="73" spans="1:10" x14ac:dyDescent="0.25">
      <c r="A73" s="45" t="s">
        <v>452</v>
      </c>
      <c r="B73" s="45" t="s">
        <v>441</v>
      </c>
      <c r="C73" s="45" t="s">
        <v>23</v>
      </c>
      <c r="D73" s="69">
        <v>40301</v>
      </c>
      <c r="E73" s="47">
        <v>40374</v>
      </c>
      <c r="G73" s="93" t="s">
        <v>134</v>
      </c>
      <c r="I73" t="str">
        <f t="shared" si="2"/>
        <v>ELI-373</v>
      </c>
      <c r="J73" s="8">
        <f t="shared" si="3"/>
        <v>0.2</v>
      </c>
    </row>
    <row r="74" spans="1:10" x14ac:dyDescent="0.25">
      <c r="A74" s="45" t="s">
        <v>453</v>
      </c>
      <c r="B74" s="45" t="s">
        <v>454</v>
      </c>
      <c r="C74" s="45" t="s">
        <v>28</v>
      </c>
      <c r="D74" s="69">
        <v>40301</v>
      </c>
      <c r="E74" s="47">
        <v>40374</v>
      </c>
      <c r="G74" s="93" t="s">
        <v>137</v>
      </c>
      <c r="I74" t="str">
        <f t="shared" si="2"/>
        <v>ELI-374</v>
      </c>
      <c r="J74" s="8">
        <f t="shared" si="3"/>
        <v>0.2</v>
      </c>
    </row>
    <row r="75" spans="1:10" x14ac:dyDescent="0.25">
      <c r="A75" s="45" t="s">
        <v>227</v>
      </c>
      <c r="B75" s="45" t="s">
        <v>228</v>
      </c>
      <c r="C75" s="45" t="s">
        <v>23</v>
      </c>
      <c r="D75" s="78">
        <v>40335</v>
      </c>
      <c r="E75" s="47">
        <v>40344</v>
      </c>
      <c r="G75" s="93" t="s">
        <v>139</v>
      </c>
      <c r="I75" t="str">
        <f t="shared" si="2"/>
        <v>ELI-379</v>
      </c>
      <c r="J75" s="8">
        <f t="shared" si="3"/>
        <v>2.4657534246575342E-2</v>
      </c>
    </row>
    <row r="76" spans="1:10" x14ac:dyDescent="0.25">
      <c r="A76" s="45" t="s">
        <v>229</v>
      </c>
      <c r="B76" s="45" t="s">
        <v>230</v>
      </c>
      <c r="C76" s="45" t="s">
        <v>23</v>
      </c>
      <c r="D76" s="78">
        <v>40335</v>
      </c>
      <c r="E76" s="47">
        <v>40344</v>
      </c>
      <c r="G76" s="93" t="s">
        <v>493</v>
      </c>
      <c r="I76" t="str">
        <f t="shared" si="2"/>
        <v>ELI-380</v>
      </c>
      <c r="J76" s="8">
        <f t="shared" si="3"/>
        <v>2.4657534246575342E-2</v>
      </c>
    </row>
    <row r="77" spans="1:10" x14ac:dyDescent="0.25">
      <c r="A77" s="45" t="s">
        <v>456</v>
      </c>
      <c r="B77" s="45" t="s">
        <v>457</v>
      </c>
      <c r="C77" s="45" t="s">
        <v>23</v>
      </c>
      <c r="D77" s="70">
        <v>40412</v>
      </c>
      <c r="E77" s="47">
        <v>40466</v>
      </c>
      <c r="G77" s="93" t="s">
        <v>495</v>
      </c>
      <c r="I77" t="str">
        <f t="shared" si="2"/>
        <v>ELI-375</v>
      </c>
      <c r="J77" s="8">
        <f t="shared" si="3"/>
        <v>0.14794520547945206</v>
      </c>
    </row>
    <row r="78" spans="1:10" x14ac:dyDescent="0.25">
      <c r="A78" s="45" t="s">
        <v>458</v>
      </c>
      <c r="B78" s="45" t="s">
        <v>459</v>
      </c>
      <c r="C78" s="45" t="s">
        <v>23</v>
      </c>
      <c r="D78" s="70">
        <v>40412</v>
      </c>
      <c r="E78" s="47">
        <v>40466</v>
      </c>
      <c r="G78" s="93" t="s">
        <v>497</v>
      </c>
      <c r="I78" t="str">
        <f t="shared" si="2"/>
        <v>ELI-376</v>
      </c>
      <c r="J78" s="8">
        <f t="shared" si="3"/>
        <v>0.14794520547945206</v>
      </c>
    </row>
    <row r="79" spans="1:10" x14ac:dyDescent="0.25">
      <c r="A79" s="45" t="s">
        <v>460</v>
      </c>
      <c r="B79" s="45" t="s">
        <v>461</v>
      </c>
      <c r="C79" s="45" t="s">
        <v>23</v>
      </c>
      <c r="D79" s="70">
        <v>40412</v>
      </c>
      <c r="E79" s="47">
        <v>40466</v>
      </c>
      <c r="G79" s="93" t="s">
        <v>499</v>
      </c>
      <c r="I79" t="str">
        <f t="shared" si="2"/>
        <v>ELI-377</v>
      </c>
      <c r="J79" s="8">
        <f t="shared" si="3"/>
        <v>0.14794520547945206</v>
      </c>
    </row>
    <row r="80" spans="1:10" x14ac:dyDescent="0.25">
      <c r="A80" s="45" t="s">
        <v>462</v>
      </c>
      <c r="B80" s="45" t="s">
        <v>463</v>
      </c>
      <c r="C80" s="45" t="s">
        <v>13</v>
      </c>
      <c r="D80" s="70">
        <v>40412</v>
      </c>
      <c r="E80" s="47">
        <v>40466</v>
      </c>
      <c r="G80" s="93" t="s">
        <v>501</v>
      </c>
      <c r="I80" t="str">
        <f t="shared" si="2"/>
        <v>ELI-378</v>
      </c>
      <c r="J80" s="8">
        <f t="shared" si="3"/>
        <v>0.14794520547945206</v>
      </c>
    </row>
    <row r="81" spans="1:10" x14ac:dyDescent="0.25">
      <c r="A81" s="45" t="s">
        <v>189</v>
      </c>
      <c r="B81" s="45" t="s">
        <v>190</v>
      </c>
      <c r="C81" s="45" t="s">
        <v>13</v>
      </c>
      <c r="D81" s="38">
        <v>40422</v>
      </c>
      <c r="E81" s="47">
        <v>41075</v>
      </c>
      <c r="G81" s="93" t="s">
        <v>503</v>
      </c>
      <c r="I81" t="str">
        <f t="shared" si="2"/>
        <v>ELI-494</v>
      </c>
      <c r="J81" s="8">
        <f t="shared" si="3"/>
        <v>1.789041095890411</v>
      </c>
    </row>
    <row r="82" spans="1:10" x14ac:dyDescent="0.25">
      <c r="A82" s="45" t="s">
        <v>562</v>
      </c>
      <c r="B82" s="45"/>
      <c r="C82" s="45" t="s">
        <v>13</v>
      </c>
      <c r="D82" s="38">
        <v>40422</v>
      </c>
      <c r="E82" s="47">
        <v>41136</v>
      </c>
      <c r="G82" s="93" t="s">
        <v>505</v>
      </c>
      <c r="I82" t="str">
        <f t="shared" si="2"/>
        <v>ELI-566</v>
      </c>
      <c r="J82" s="8">
        <f t="shared" si="3"/>
        <v>1.9561643835616438</v>
      </c>
    </row>
    <row r="83" spans="1:10" x14ac:dyDescent="0.25">
      <c r="A83" s="45" t="s">
        <v>563</v>
      </c>
      <c r="B83" s="45"/>
      <c r="C83" s="45" t="s">
        <v>28</v>
      </c>
      <c r="D83" s="38">
        <v>40422</v>
      </c>
      <c r="E83" s="47">
        <v>41136</v>
      </c>
      <c r="G83" s="93" t="s">
        <v>507</v>
      </c>
      <c r="I83" t="str">
        <f t="shared" si="2"/>
        <v>ELI-567</v>
      </c>
      <c r="J83" s="8">
        <f t="shared" si="3"/>
        <v>1.9561643835616438</v>
      </c>
    </row>
    <row r="84" spans="1:10" x14ac:dyDescent="0.25">
      <c r="A84" s="45" t="s">
        <v>507</v>
      </c>
      <c r="B84" s="45" t="s">
        <v>508</v>
      </c>
      <c r="C84" s="45" t="s">
        <v>23</v>
      </c>
      <c r="D84" s="46">
        <v>40452</v>
      </c>
      <c r="E84" s="47">
        <v>40862</v>
      </c>
      <c r="G84" s="93" t="s">
        <v>466</v>
      </c>
      <c r="I84" t="str">
        <f t="shared" si="2"/>
        <v>ELI-461</v>
      </c>
      <c r="J84" s="8">
        <f t="shared" si="3"/>
        <v>1.1232876712328768</v>
      </c>
    </row>
    <row r="85" spans="1:10" x14ac:dyDescent="0.25">
      <c r="A85" s="2"/>
      <c r="B85" s="2"/>
      <c r="C85" s="2"/>
      <c r="D85" s="18"/>
      <c r="E85" s="5"/>
      <c r="G85" s="93" t="s">
        <v>468</v>
      </c>
    </row>
    <row r="86" spans="1:10" x14ac:dyDescent="0.25">
      <c r="A86" s="2"/>
      <c r="B86" s="2"/>
      <c r="C86" s="2"/>
      <c r="D86" s="18"/>
      <c r="E86" s="5"/>
      <c r="G86" s="93" t="s">
        <v>232</v>
      </c>
    </row>
    <row r="87" spans="1:10" x14ac:dyDescent="0.25">
      <c r="A87" s="45" t="s">
        <v>53</v>
      </c>
      <c r="B87" s="45" t="s">
        <v>54</v>
      </c>
      <c r="C87" s="45" t="s">
        <v>13</v>
      </c>
      <c r="D87" s="36">
        <v>40559</v>
      </c>
      <c r="E87" s="47">
        <v>40648</v>
      </c>
      <c r="G87" s="93" t="s">
        <v>558</v>
      </c>
      <c r="I87" t="str">
        <f t="shared" si="2"/>
        <v>ELI-399</v>
      </c>
      <c r="J87" s="8">
        <f t="shared" si="3"/>
        <v>0.24383561643835616</v>
      </c>
    </row>
    <row r="88" spans="1:10" x14ac:dyDescent="0.25">
      <c r="A88" s="45" t="s">
        <v>57</v>
      </c>
      <c r="B88" s="45" t="s">
        <v>58</v>
      </c>
      <c r="C88" s="45" t="s">
        <v>28</v>
      </c>
      <c r="D88" s="36">
        <v>40559</v>
      </c>
      <c r="E88" s="47">
        <v>40678</v>
      </c>
      <c r="G88" s="93" t="s">
        <v>560</v>
      </c>
      <c r="I88" t="str">
        <f t="shared" si="2"/>
        <v>ELI-409</v>
      </c>
      <c r="J88" s="8">
        <f t="shared" si="3"/>
        <v>0.32602739726027397</v>
      </c>
    </row>
    <row r="89" spans="1:10" x14ac:dyDescent="0.25">
      <c r="A89" s="45" t="s">
        <v>59</v>
      </c>
      <c r="B89" s="45" t="s">
        <v>60</v>
      </c>
      <c r="C89" s="45" t="s">
        <v>28</v>
      </c>
      <c r="D89" s="36">
        <v>40559</v>
      </c>
      <c r="E89" s="47">
        <v>40678</v>
      </c>
      <c r="G89" s="93" t="s">
        <v>189</v>
      </c>
      <c r="I89" t="str">
        <f t="shared" si="2"/>
        <v>ELI-410</v>
      </c>
      <c r="J89" s="8">
        <f t="shared" si="3"/>
        <v>0.32602739726027397</v>
      </c>
    </row>
    <row r="90" spans="1:10" x14ac:dyDescent="0.25">
      <c r="A90" s="45" t="s">
        <v>558</v>
      </c>
      <c r="B90" s="45" t="s">
        <v>559</v>
      </c>
      <c r="C90" s="45" t="s">
        <v>13</v>
      </c>
      <c r="D90" s="71">
        <v>40634</v>
      </c>
      <c r="E90" s="47">
        <v>40831</v>
      </c>
      <c r="G90" s="93" t="s">
        <v>470</v>
      </c>
      <c r="I90" t="str">
        <f t="shared" si="2"/>
        <v>ELI-467</v>
      </c>
      <c r="J90" s="8">
        <f t="shared" si="3"/>
        <v>0.53972602739726028</v>
      </c>
    </row>
    <row r="91" spans="1:10" x14ac:dyDescent="0.25">
      <c r="A91" s="45" t="s">
        <v>560</v>
      </c>
      <c r="B91" s="45" t="s">
        <v>561</v>
      </c>
      <c r="C91" s="45" t="s">
        <v>28</v>
      </c>
      <c r="D91" s="71">
        <v>40634</v>
      </c>
      <c r="E91" s="47">
        <v>40831</v>
      </c>
      <c r="G91" s="93" t="s">
        <v>191</v>
      </c>
      <c r="I91" t="str">
        <f t="shared" si="2"/>
        <v>ELI-468</v>
      </c>
      <c r="J91" s="8">
        <f t="shared" si="3"/>
        <v>0.53972602739726028</v>
      </c>
    </row>
    <row r="92" spans="1:10" x14ac:dyDescent="0.25">
      <c r="A92" s="45" t="s">
        <v>501</v>
      </c>
      <c r="B92" s="45" t="s">
        <v>502</v>
      </c>
      <c r="C92" s="45" t="s">
        <v>28</v>
      </c>
      <c r="D92" s="79">
        <v>40664</v>
      </c>
      <c r="E92" s="47">
        <v>40770</v>
      </c>
      <c r="G92" s="93" t="s">
        <v>193</v>
      </c>
      <c r="I92" t="str">
        <f t="shared" si="2"/>
        <v>ELI-458</v>
      </c>
      <c r="J92" s="8">
        <f t="shared" si="3"/>
        <v>0.29041095890410956</v>
      </c>
    </row>
    <row r="93" spans="1:10" x14ac:dyDescent="0.25">
      <c r="A93" s="45" t="s">
        <v>503</v>
      </c>
      <c r="B93" s="45" t="s">
        <v>504</v>
      </c>
      <c r="C93" s="45" t="s">
        <v>13</v>
      </c>
      <c r="D93" s="79">
        <v>40664</v>
      </c>
      <c r="E93" s="47">
        <v>40770</v>
      </c>
      <c r="G93" s="93" t="s">
        <v>195</v>
      </c>
      <c r="I93" t="str">
        <f t="shared" si="2"/>
        <v>ELI-459</v>
      </c>
      <c r="J93" s="8">
        <f t="shared" si="3"/>
        <v>0.29041095890410956</v>
      </c>
    </row>
    <row r="94" spans="1:10" x14ac:dyDescent="0.25">
      <c r="A94" s="45" t="s">
        <v>493</v>
      </c>
      <c r="B94" s="45" t="s">
        <v>494</v>
      </c>
      <c r="C94" s="45" t="s">
        <v>13</v>
      </c>
      <c r="D94" s="79">
        <v>40664</v>
      </c>
      <c r="E94" s="47">
        <v>40831</v>
      </c>
      <c r="G94" s="93" t="s">
        <v>259</v>
      </c>
      <c r="I94" t="str">
        <f t="shared" si="2"/>
        <v>ELI-454</v>
      </c>
      <c r="J94" s="8">
        <f t="shared" si="3"/>
        <v>0.45753424657534247</v>
      </c>
    </row>
    <row r="95" spans="1:10" x14ac:dyDescent="0.25">
      <c r="A95" s="45" t="s">
        <v>495</v>
      </c>
      <c r="B95" s="45" t="s">
        <v>496</v>
      </c>
      <c r="C95" s="45" t="s">
        <v>13</v>
      </c>
      <c r="D95" s="69">
        <v>40664</v>
      </c>
      <c r="E95" s="47">
        <v>40862</v>
      </c>
      <c r="G95" s="93" t="s">
        <v>261</v>
      </c>
      <c r="I95" t="str">
        <f t="shared" si="2"/>
        <v>ELI-455</v>
      </c>
      <c r="J95" s="8">
        <f t="shared" si="3"/>
        <v>0.54246575342465753</v>
      </c>
    </row>
    <row r="96" spans="1:10" x14ac:dyDescent="0.25">
      <c r="A96" s="45" t="s">
        <v>497</v>
      </c>
      <c r="B96" s="45" t="s">
        <v>498</v>
      </c>
      <c r="C96" s="45" t="s">
        <v>23</v>
      </c>
      <c r="D96" s="69">
        <v>40664</v>
      </c>
      <c r="E96" s="47">
        <v>40862</v>
      </c>
      <c r="G96" s="93" t="s">
        <v>263</v>
      </c>
      <c r="I96" t="str">
        <f t="shared" si="2"/>
        <v>ELI-456</v>
      </c>
      <c r="J96" s="8">
        <f t="shared" si="3"/>
        <v>0.54246575342465753</v>
      </c>
    </row>
    <row r="97" spans="1:10" x14ac:dyDescent="0.25">
      <c r="A97" s="45" t="s">
        <v>499</v>
      </c>
      <c r="B97" s="45" t="s">
        <v>500</v>
      </c>
      <c r="C97" s="45" t="s">
        <v>23</v>
      </c>
      <c r="D97" s="69">
        <v>40664</v>
      </c>
      <c r="E97" s="47">
        <v>40862</v>
      </c>
      <c r="G97" s="93" t="s">
        <v>265</v>
      </c>
      <c r="I97" t="str">
        <f t="shared" si="2"/>
        <v>ELI-457</v>
      </c>
      <c r="J97" s="8">
        <f t="shared" si="3"/>
        <v>0.54246575342465753</v>
      </c>
    </row>
    <row r="98" spans="1:10" x14ac:dyDescent="0.25">
      <c r="A98" s="45" t="s">
        <v>505</v>
      </c>
      <c r="B98" s="45" t="s">
        <v>506</v>
      </c>
      <c r="C98" s="45" t="s">
        <v>23</v>
      </c>
      <c r="D98" s="69">
        <v>40664</v>
      </c>
      <c r="E98" s="47">
        <v>40862</v>
      </c>
      <c r="G98" s="93" t="s">
        <v>267</v>
      </c>
      <c r="I98" t="str">
        <f t="shared" si="2"/>
        <v>ELI-460</v>
      </c>
      <c r="J98" s="8">
        <f t="shared" si="3"/>
        <v>0.54246575342465753</v>
      </c>
    </row>
    <row r="99" spans="1:10" x14ac:dyDescent="0.25">
      <c r="A99" s="45" t="s">
        <v>126</v>
      </c>
      <c r="B99" s="45" t="s">
        <v>127</v>
      </c>
      <c r="C99" s="45" t="s">
        <v>13</v>
      </c>
      <c r="D99" s="38">
        <v>40695</v>
      </c>
      <c r="E99" s="47">
        <v>40801</v>
      </c>
      <c r="G99" s="93" t="s">
        <v>474</v>
      </c>
      <c r="I99" t="str">
        <f t="shared" si="2"/>
        <v>ELI-437</v>
      </c>
      <c r="J99" s="8">
        <f t="shared" si="3"/>
        <v>0.29041095890410956</v>
      </c>
    </row>
    <row r="100" spans="1:10" x14ac:dyDescent="0.25">
      <c r="A100" s="45" t="s">
        <v>128</v>
      </c>
      <c r="B100" s="45" t="s">
        <v>129</v>
      </c>
      <c r="C100" s="45" t="s">
        <v>28</v>
      </c>
      <c r="D100" s="38">
        <v>40695</v>
      </c>
      <c r="E100" s="47">
        <v>40801</v>
      </c>
      <c r="G100" s="93" t="s">
        <v>161</v>
      </c>
      <c r="I100" t="str">
        <f t="shared" si="2"/>
        <v>ELI-438</v>
      </c>
      <c r="J100" s="8">
        <f t="shared" si="3"/>
        <v>0.29041095890410956</v>
      </c>
    </row>
    <row r="101" spans="1:10" x14ac:dyDescent="0.25">
      <c r="A101" s="45" t="s">
        <v>130</v>
      </c>
      <c r="B101" s="45" t="s">
        <v>131</v>
      </c>
      <c r="C101" s="45" t="s">
        <v>13</v>
      </c>
      <c r="D101" s="38">
        <v>40695</v>
      </c>
      <c r="E101" s="47">
        <v>40801</v>
      </c>
      <c r="G101" s="93" t="s">
        <v>164</v>
      </c>
      <c r="I101" t="str">
        <f t="shared" si="2"/>
        <v>ELI-439</v>
      </c>
      <c r="J101" s="8">
        <f t="shared" si="3"/>
        <v>0.29041095890410956</v>
      </c>
    </row>
    <row r="102" spans="1:10" x14ac:dyDescent="0.25">
      <c r="A102" s="45" t="s">
        <v>139</v>
      </c>
      <c r="B102" s="45" t="s">
        <v>140</v>
      </c>
      <c r="C102" s="45" t="s">
        <v>28</v>
      </c>
      <c r="D102" s="38">
        <v>40695</v>
      </c>
      <c r="E102" s="47">
        <v>40801</v>
      </c>
      <c r="G102" s="93" t="s">
        <v>166</v>
      </c>
      <c r="I102" t="str">
        <f t="shared" si="2"/>
        <v>ELI-443</v>
      </c>
      <c r="J102" s="8">
        <f t="shared" si="3"/>
        <v>0.29041095890410956</v>
      </c>
    </row>
    <row r="103" spans="1:10" x14ac:dyDescent="0.25">
      <c r="A103" s="45" t="s">
        <v>132</v>
      </c>
      <c r="B103" s="45" t="s">
        <v>133</v>
      </c>
      <c r="C103" s="45" t="s">
        <v>13</v>
      </c>
      <c r="D103" s="42">
        <v>40739</v>
      </c>
      <c r="E103" s="47">
        <v>40801</v>
      </c>
      <c r="G103" s="93" t="s">
        <v>562</v>
      </c>
      <c r="I103" t="str">
        <f t="shared" si="2"/>
        <v>ELI-440</v>
      </c>
      <c r="J103" s="8">
        <f t="shared" si="3"/>
        <v>0.16986301369863013</v>
      </c>
    </row>
    <row r="104" spans="1:10" x14ac:dyDescent="0.25">
      <c r="A104" s="45" t="s">
        <v>134</v>
      </c>
      <c r="B104" s="45" t="s">
        <v>135</v>
      </c>
      <c r="C104" s="45" t="s">
        <v>28</v>
      </c>
      <c r="D104" s="42">
        <v>40739</v>
      </c>
      <c r="E104" s="47">
        <v>40801</v>
      </c>
      <c r="G104" s="93" t="s">
        <v>563</v>
      </c>
      <c r="I104" t="str">
        <f t="shared" si="2"/>
        <v>ELI-441</v>
      </c>
      <c r="J104" s="8">
        <f t="shared" si="3"/>
        <v>0.16986301369863013</v>
      </c>
    </row>
    <row r="105" spans="1:10" x14ac:dyDescent="0.25">
      <c r="A105" s="45" t="s">
        <v>137</v>
      </c>
      <c r="B105" s="45" t="s">
        <v>138</v>
      </c>
      <c r="C105" s="45" t="s">
        <v>28</v>
      </c>
      <c r="D105" s="42">
        <v>40739</v>
      </c>
      <c r="E105" s="47">
        <v>40801</v>
      </c>
      <c r="G105" s="93" t="s">
        <v>81</v>
      </c>
      <c r="I105" t="str">
        <f t="shared" si="2"/>
        <v>ELI-442</v>
      </c>
      <c r="J105" s="8">
        <f t="shared" si="3"/>
        <v>0.16986301369863013</v>
      </c>
    </row>
    <row r="106" spans="1:10" x14ac:dyDescent="0.25">
      <c r="A106" s="45" t="s">
        <v>466</v>
      </c>
      <c r="B106" s="45" t="s">
        <v>467</v>
      </c>
      <c r="C106" s="45" t="s">
        <v>13</v>
      </c>
      <c r="D106" s="53">
        <v>40817</v>
      </c>
      <c r="E106" s="47">
        <v>41167</v>
      </c>
      <c r="G106" s="93" t="s">
        <v>83</v>
      </c>
      <c r="I106" t="str">
        <f t="shared" si="2"/>
        <v>ELI-463</v>
      </c>
      <c r="J106" s="8">
        <f t="shared" si="3"/>
        <v>0.95890410958904104</v>
      </c>
    </row>
    <row r="107" spans="1:10" x14ac:dyDescent="0.25">
      <c r="A107" s="45" t="s">
        <v>468</v>
      </c>
      <c r="B107" s="45" t="s">
        <v>469</v>
      </c>
      <c r="C107" s="45" t="s">
        <v>23</v>
      </c>
      <c r="D107" s="53">
        <v>40817</v>
      </c>
      <c r="E107" s="47">
        <v>41167</v>
      </c>
      <c r="G107" s="93" t="s">
        <v>86</v>
      </c>
      <c r="I107" t="str">
        <f t="shared" si="2"/>
        <v>ELI-464</v>
      </c>
      <c r="J107" s="8">
        <f t="shared" si="3"/>
        <v>0.95890410958904104</v>
      </c>
    </row>
    <row r="108" spans="1:10" x14ac:dyDescent="0.25">
      <c r="A108" s="45" t="s">
        <v>259</v>
      </c>
      <c r="B108" s="45" t="s">
        <v>260</v>
      </c>
      <c r="C108" s="45" t="s">
        <v>13</v>
      </c>
      <c r="D108" s="36">
        <v>40819</v>
      </c>
      <c r="E108" s="47">
        <v>41197</v>
      </c>
      <c r="G108" s="93" t="s">
        <v>88</v>
      </c>
      <c r="I108" t="str">
        <f t="shared" si="2"/>
        <v>ELI-532</v>
      </c>
      <c r="J108" s="8">
        <f t="shared" si="3"/>
        <v>1.0356164383561643</v>
      </c>
    </row>
    <row r="109" spans="1:10" x14ac:dyDescent="0.25">
      <c r="A109" s="45" t="s">
        <v>261</v>
      </c>
      <c r="B109" s="45" t="s">
        <v>262</v>
      </c>
      <c r="C109" s="45" t="s">
        <v>23</v>
      </c>
      <c r="D109" s="36">
        <v>40819</v>
      </c>
      <c r="E109" s="47">
        <v>41197</v>
      </c>
      <c r="G109" s="93" t="s">
        <v>90</v>
      </c>
      <c r="I109" t="str">
        <f t="shared" si="2"/>
        <v>ELI-533</v>
      </c>
      <c r="J109" s="8">
        <f t="shared" si="3"/>
        <v>1.0356164383561643</v>
      </c>
    </row>
    <row r="110" spans="1:10" x14ac:dyDescent="0.25">
      <c r="A110" s="45" t="s">
        <v>263</v>
      </c>
      <c r="B110" s="45" t="s">
        <v>264</v>
      </c>
      <c r="C110" s="45" t="s">
        <v>23</v>
      </c>
      <c r="D110" s="36">
        <v>40819</v>
      </c>
      <c r="E110" s="47">
        <v>41197</v>
      </c>
      <c r="G110" s="93" t="s">
        <v>92</v>
      </c>
      <c r="I110" t="str">
        <f t="shared" si="2"/>
        <v>ELI-534</v>
      </c>
      <c r="J110" s="8">
        <f t="shared" si="3"/>
        <v>1.0356164383561643</v>
      </c>
    </row>
    <row r="111" spans="1:10" x14ac:dyDescent="0.25">
      <c r="A111" s="2"/>
      <c r="B111" s="2"/>
      <c r="C111" s="2"/>
      <c r="D111" s="18"/>
      <c r="E111" s="5"/>
      <c r="G111" s="93" t="s">
        <v>476</v>
      </c>
    </row>
    <row r="112" spans="1:10" x14ac:dyDescent="0.25">
      <c r="A112" s="2"/>
      <c r="B112" s="2"/>
      <c r="C112" s="2"/>
      <c r="D112" s="18"/>
      <c r="E112" s="5"/>
      <c r="G112" s="93" t="s">
        <v>478</v>
      </c>
    </row>
    <row r="113" spans="1:10" x14ac:dyDescent="0.25">
      <c r="A113" s="45" t="s">
        <v>265</v>
      </c>
      <c r="B113" s="45" t="s">
        <v>266</v>
      </c>
      <c r="C113" s="45" t="s">
        <v>23</v>
      </c>
      <c r="D113" s="81">
        <v>41000</v>
      </c>
      <c r="E113" s="47">
        <v>41197</v>
      </c>
      <c r="G113" s="93" t="s">
        <v>94</v>
      </c>
      <c r="I113" t="str">
        <f t="shared" si="2"/>
        <v>ELI-535</v>
      </c>
      <c r="J113" s="8">
        <f t="shared" si="3"/>
        <v>0.53972602739726028</v>
      </c>
    </row>
    <row r="114" spans="1:10" x14ac:dyDescent="0.25">
      <c r="A114" s="45" t="s">
        <v>267</v>
      </c>
      <c r="B114" s="45" t="s">
        <v>268</v>
      </c>
      <c r="C114" s="45" t="s">
        <v>23</v>
      </c>
      <c r="D114" s="81">
        <v>41000</v>
      </c>
      <c r="E114" s="47">
        <v>41197</v>
      </c>
      <c r="G114" s="93" t="s">
        <v>96</v>
      </c>
      <c r="I114" t="str">
        <f t="shared" si="2"/>
        <v>ELI-536</v>
      </c>
      <c r="J114" s="8">
        <f t="shared" si="3"/>
        <v>0.53972602739726028</v>
      </c>
    </row>
    <row r="115" spans="1:10" x14ac:dyDescent="0.25">
      <c r="A115" s="45" t="s">
        <v>474</v>
      </c>
      <c r="B115" s="45" t="s">
        <v>475</v>
      </c>
      <c r="C115" s="45" t="s">
        <v>23</v>
      </c>
      <c r="D115" s="79">
        <v>41075</v>
      </c>
      <c r="E115" s="47">
        <v>41228</v>
      </c>
      <c r="G115" s="93" t="s">
        <v>98</v>
      </c>
      <c r="I115" t="str">
        <f t="shared" si="2"/>
        <v>ELI-553</v>
      </c>
      <c r="J115" s="8">
        <f t="shared" si="3"/>
        <v>0.41917808219178082</v>
      </c>
    </row>
    <row r="116" spans="1:10" x14ac:dyDescent="0.25">
      <c r="A116" s="45" t="s">
        <v>470</v>
      </c>
      <c r="B116" s="45" t="s">
        <v>471</v>
      </c>
      <c r="C116" s="45" t="s">
        <v>13</v>
      </c>
      <c r="D116" s="46">
        <v>41157</v>
      </c>
      <c r="E116" s="47">
        <v>41197</v>
      </c>
      <c r="G116" s="93" t="s">
        <v>100</v>
      </c>
      <c r="I116" t="str">
        <f t="shared" si="2"/>
        <v>ELI-515</v>
      </c>
      <c r="J116" s="8">
        <f t="shared" si="3"/>
        <v>0.1095890410958904</v>
      </c>
    </row>
    <row r="117" spans="1:10" x14ac:dyDescent="0.25">
      <c r="A117" s="45" t="s">
        <v>191</v>
      </c>
      <c r="B117" s="45" t="s">
        <v>192</v>
      </c>
      <c r="C117" s="45" t="s">
        <v>28</v>
      </c>
      <c r="D117" s="54">
        <v>41166</v>
      </c>
      <c r="E117" s="47">
        <v>41197</v>
      </c>
      <c r="G117" s="93" t="s">
        <v>102</v>
      </c>
      <c r="I117" t="str">
        <f t="shared" si="2"/>
        <v>ELI-523</v>
      </c>
      <c r="J117" s="8">
        <f t="shared" si="3"/>
        <v>8.4931506849315067E-2</v>
      </c>
    </row>
    <row r="118" spans="1:10" x14ac:dyDescent="0.25">
      <c r="A118" s="45" t="s">
        <v>193</v>
      </c>
      <c r="B118" s="45" t="s">
        <v>194</v>
      </c>
      <c r="C118" s="45" t="s">
        <v>28</v>
      </c>
      <c r="D118" s="54">
        <v>41166</v>
      </c>
      <c r="E118" s="47">
        <v>41197</v>
      </c>
      <c r="G118" s="93" t="s">
        <v>104</v>
      </c>
      <c r="I118" t="str">
        <f t="shared" si="2"/>
        <v>ELI-524</v>
      </c>
      <c r="J118" s="8">
        <f t="shared" si="3"/>
        <v>8.4931506849315067E-2</v>
      </c>
    </row>
    <row r="119" spans="1:10" x14ac:dyDescent="0.25">
      <c r="A119" s="45" t="s">
        <v>195</v>
      </c>
      <c r="B119" s="45" t="s">
        <v>196</v>
      </c>
      <c r="C119" s="45" t="s">
        <v>28</v>
      </c>
      <c r="D119" s="54">
        <v>41166</v>
      </c>
      <c r="E119" s="47">
        <v>41197</v>
      </c>
      <c r="G119" s="93" t="s">
        <v>106</v>
      </c>
      <c r="I119" t="str">
        <f t="shared" si="2"/>
        <v>ELI-525</v>
      </c>
      <c r="J119" s="8">
        <f t="shared" si="3"/>
        <v>8.4931506849315067E-2</v>
      </c>
    </row>
    <row r="120" spans="1:10" x14ac:dyDescent="0.25">
      <c r="A120" s="45" t="s">
        <v>161</v>
      </c>
      <c r="B120" s="45" t="s">
        <v>162</v>
      </c>
      <c r="C120" s="45" t="s">
        <v>13</v>
      </c>
      <c r="D120" s="36">
        <v>41205</v>
      </c>
      <c r="E120" s="47">
        <v>41228</v>
      </c>
      <c r="G120" s="93" t="s">
        <v>625</v>
      </c>
      <c r="I120" t="str">
        <f t="shared" si="2"/>
        <v>ELI-554</v>
      </c>
      <c r="J120" s="8">
        <f t="shared" si="3"/>
        <v>6.3013698630136991E-2</v>
      </c>
    </row>
    <row r="121" spans="1:10" x14ac:dyDescent="0.25">
      <c r="A121" s="45" t="s">
        <v>164</v>
      </c>
      <c r="B121" s="45" t="s">
        <v>165</v>
      </c>
      <c r="C121" s="45" t="s">
        <v>13</v>
      </c>
      <c r="D121" s="36">
        <v>41205</v>
      </c>
      <c r="E121" s="47">
        <v>41228</v>
      </c>
      <c r="G121" s="93" t="s">
        <v>627</v>
      </c>
      <c r="I121" t="str">
        <f t="shared" si="2"/>
        <v>ELI-555</v>
      </c>
      <c r="J121" s="8">
        <f t="shared" si="3"/>
        <v>6.3013698630136991E-2</v>
      </c>
    </row>
    <row r="122" spans="1:10" x14ac:dyDescent="0.25">
      <c r="A122" s="45" t="s">
        <v>166</v>
      </c>
      <c r="B122" s="45" t="s">
        <v>167</v>
      </c>
      <c r="C122" s="45" t="s">
        <v>23</v>
      </c>
      <c r="D122" s="36">
        <v>41205</v>
      </c>
      <c r="E122" s="47">
        <v>41228</v>
      </c>
      <c r="G122" s="93" t="s">
        <v>628</v>
      </c>
      <c r="I122" t="str">
        <f t="shared" si="2"/>
        <v>ELI-556</v>
      </c>
      <c r="J122" s="8">
        <f t="shared" si="3"/>
        <v>6.3013698630136991E-2</v>
      </c>
    </row>
    <row r="123" spans="1:10" x14ac:dyDescent="0.25">
      <c r="A123" s="45" t="s">
        <v>225</v>
      </c>
      <c r="B123" s="45" t="s">
        <v>226</v>
      </c>
      <c r="C123" s="45" t="s">
        <v>13</v>
      </c>
      <c r="D123" s="46" t="s">
        <v>47</v>
      </c>
      <c r="E123" s="47">
        <v>40040</v>
      </c>
      <c r="G123" s="93" t="s">
        <v>629</v>
      </c>
      <c r="I123" t="e">
        <f t="shared" si="2"/>
        <v>#N/A</v>
      </c>
      <c r="J123" s="8" t="e">
        <f t="shared" si="3"/>
        <v>#VALUE!</v>
      </c>
    </row>
    <row r="124" spans="1:10" x14ac:dyDescent="0.25">
      <c r="A124" s="45" t="s">
        <v>311</v>
      </c>
      <c r="B124" s="45" t="s">
        <v>312</v>
      </c>
      <c r="C124" s="45" t="s">
        <v>13</v>
      </c>
      <c r="D124" s="46" t="s">
        <v>47</v>
      </c>
      <c r="E124" s="47">
        <v>40071</v>
      </c>
      <c r="G124" s="93" t="s">
        <v>630</v>
      </c>
      <c r="I124" t="e">
        <f t="shared" si="2"/>
        <v>#N/A</v>
      </c>
      <c r="J124" s="8" t="e">
        <f t="shared" si="3"/>
        <v>#VALUE!</v>
      </c>
    </row>
    <row r="125" spans="1:10" x14ac:dyDescent="0.25">
      <c r="A125" s="45" t="s">
        <v>247</v>
      </c>
      <c r="B125" s="45" t="s">
        <v>248</v>
      </c>
      <c r="C125" s="45" t="s">
        <v>13</v>
      </c>
      <c r="D125" s="46" t="s">
        <v>47</v>
      </c>
      <c r="E125" s="47">
        <v>40771</v>
      </c>
      <c r="G125" s="93" t="s">
        <v>631</v>
      </c>
      <c r="I125" t="e">
        <f t="shared" si="2"/>
        <v>#N/A</v>
      </c>
      <c r="J125" s="8" t="e">
        <f t="shared" si="3"/>
        <v>#VALUE!</v>
      </c>
    </row>
    <row r="126" spans="1:10" x14ac:dyDescent="0.25">
      <c r="G126" s="93" t="s">
        <v>632</v>
      </c>
    </row>
    <row r="127" spans="1:10" x14ac:dyDescent="0.25">
      <c r="G127" s="93" t="s">
        <v>633</v>
      </c>
    </row>
    <row r="128" spans="1:10" x14ac:dyDescent="0.25">
      <c r="G128" s="93" t="s">
        <v>634</v>
      </c>
    </row>
    <row r="129" spans="7:7" x14ac:dyDescent="0.25">
      <c r="G129" s="93" t="s">
        <v>635</v>
      </c>
    </row>
    <row r="130" spans="7:7" x14ac:dyDescent="0.25">
      <c r="G130" s="93" t="s">
        <v>636</v>
      </c>
    </row>
    <row r="131" spans="7:7" x14ac:dyDescent="0.25">
      <c r="G131" s="93" t="s">
        <v>637</v>
      </c>
    </row>
    <row r="132" spans="7:7" x14ac:dyDescent="0.25">
      <c r="G132" s="93" t="s">
        <v>638</v>
      </c>
    </row>
    <row r="133" spans="7:7" x14ac:dyDescent="0.25">
      <c r="G133" s="93" t="s">
        <v>639</v>
      </c>
    </row>
    <row r="134" spans="7:7" x14ac:dyDescent="0.25">
      <c r="G134" s="93" t="s">
        <v>640</v>
      </c>
    </row>
    <row r="135" spans="7:7" x14ac:dyDescent="0.25">
      <c r="G135" s="93" t="s">
        <v>641</v>
      </c>
    </row>
    <row r="136" spans="7:7" x14ac:dyDescent="0.25">
      <c r="G136" s="93" t="s">
        <v>642</v>
      </c>
    </row>
    <row r="137" spans="7:7" x14ac:dyDescent="0.25">
      <c r="G137" s="93" t="s">
        <v>643</v>
      </c>
    </row>
    <row r="138" spans="7:7" x14ac:dyDescent="0.25">
      <c r="G138" s="93" t="s">
        <v>646</v>
      </c>
    </row>
    <row r="139" spans="7:7" x14ac:dyDescent="0.25">
      <c r="G139" s="93" t="s">
        <v>647</v>
      </c>
    </row>
    <row r="140" spans="7:7" x14ac:dyDescent="0.25">
      <c r="G140" s="93" t="s">
        <v>648</v>
      </c>
    </row>
    <row r="141" spans="7:7" x14ac:dyDescent="0.25">
      <c r="G141" s="93" t="s">
        <v>649</v>
      </c>
    </row>
    <row r="142" spans="7:7" x14ac:dyDescent="0.25">
      <c r="G142" s="93" t="s">
        <v>650</v>
      </c>
    </row>
    <row r="143" spans="7:7" x14ac:dyDescent="0.25">
      <c r="G143" s="93" t="s">
        <v>651</v>
      </c>
    </row>
    <row r="144" spans="7:7" x14ac:dyDescent="0.25">
      <c r="G144" s="93" t="s">
        <v>652</v>
      </c>
    </row>
    <row r="145" spans="7:7" x14ac:dyDescent="0.25">
      <c r="G145" s="93" t="s">
        <v>653</v>
      </c>
    </row>
    <row r="146" spans="7:7" x14ac:dyDescent="0.25">
      <c r="G146" s="93" t="s">
        <v>654</v>
      </c>
    </row>
    <row r="147" spans="7:7" x14ac:dyDescent="0.25">
      <c r="G147" s="93" t="s">
        <v>655</v>
      </c>
    </row>
    <row r="148" spans="7:7" x14ac:dyDescent="0.25">
      <c r="G148" s="93" t="s">
        <v>656</v>
      </c>
    </row>
    <row r="149" spans="7:7" x14ac:dyDescent="0.25">
      <c r="G149" s="93" t="s">
        <v>657</v>
      </c>
    </row>
    <row r="150" spans="7:7" x14ac:dyDescent="0.25">
      <c r="G150" s="93" t="s">
        <v>658</v>
      </c>
    </row>
    <row r="151" spans="7:7" x14ac:dyDescent="0.25">
      <c r="G151" s="93" t="s">
        <v>662</v>
      </c>
    </row>
    <row r="152" spans="7:7" x14ac:dyDescent="0.25">
      <c r="G152" s="93" t="s">
        <v>664</v>
      </c>
    </row>
    <row r="153" spans="7:7" x14ac:dyDescent="0.25">
      <c r="G153" s="93" t="s">
        <v>668</v>
      </c>
    </row>
    <row r="154" spans="7:7" x14ac:dyDescent="0.25">
      <c r="G154" s="93" t="s">
        <v>669</v>
      </c>
    </row>
    <row r="155" spans="7:7" x14ac:dyDescent="0.25">
      <c r="G155" s="93" t="s">
        <v>672</v>
      </c>
    </row>
    <row r="156" spans="7:7" x14ac:dyDescent="0.25">
      <c r="G156" s="93" t="s">
        <v>673</v>
      </c>
    </row>
    <row r="157" spans="7:7" x14ac:dyDescent="0.25">
      <c r="G157" s="93" t="s">
        <v>674</v>
      </c>
    </row>
    <row r="158" spans="7:7" x14ac:dyDescent="0.25">
      <c r="G158" s="93" t="s">
        <v>675</v>
      </c>
    </row>
    <row r="159" spans="7:7" x14ac:dyDescent="0.25">
      <c r="G159" s="93" t="s">
        <v>676</v>
      </c>
    </row>
    <row r="160" spans="7:7" x14ac:dyDescent="0.25">
      <c r="G160" s="93" t="s">
        <v>677</v>
      </c>
    </row>
    <row r="161" spans="7:7" x14ac:dyDescent="0.25">
      <c r="G161" s="93" t="s">
        <v>678</v>
      </c>
    </row>
    <row r="162" spans="7:7" x14ac:dyDescent="0.25">
      <c r="G162" s="93" t="s">
        <v>679</v>
      </c>
    </row>
    <row r="163" spans="7:7" x14ac:dyDescent="0.25">
      <c r="G163" s="93" t="s">
        <v>680</v>
      </c>
    </row>
    <row r="164" spans="7:7" x14ac:dyDescent="0.25">
      <c r="G164" s="93" t="s">
        <v>681</v>
      </c>
    </row>
    <row r="165" spans="7:7" x14ac:dyDescent="0.25">
      <c r="G165" s="93" t="s">
        <v>682</v>
      </c>
    </row>
    <row r="166" spans="7:7" x14ac:dyDescent="0.25">
      <c r="G166" s="93" t="s">
        <v>683</v>
      </c>
    </row>
    <row r="167" spans="7:7" x14ac:dyDescent="0.25">
      <c r="G167" s="93" t="s">
        <v>684</v>
      </c>
    </row>
    <row r="168" spans="7:7" x14ac:dyDescent="0.25">
      <c r="G168" s="93" t="s">
        <v>685</v>
      </c>
    </row>
    <row r="169" spans="7:7" x14ac:dyDescent="0.25">
      <c r="G169" s="93" t="s">
        <v>686</v>
      </c>
    </row>
    <row r="170" spans="7:7" x14ac:dyDescent="0.25">
      <c r="G170" s="93" t="s">
        <v>687</v>
      </c>
    </row>
    <row r="171" spans="7:7" x14ac:dyDescent="0.25">
      <c r="G171" s="93" t="s">
        <v>688</v>
      </c>
    </row>
    <row r="172" spans="7:7" x14ac:dyDescent="0.25">
      <c r="G172" s="93" t="s">
        <v>689</v>
      </c>
    </row>
    <row r="173" spans="7:7" x14ac:dyDescent="0.25">
      <c r="G173" s="93" t="s">
        <v>690</v>
      </c>
    </row>
    <row r="174" spans="7:7" x14ac:dyDescent="0.25">
      <c r="G174" s="93" t="s">
        <v>691</v>
      </c>
    </row>
    <row r="175" spans="7:7" x14ac:dyDescent="0.25">
      <c r="G175" s="93" t="s">
        <v>692</v>
      </c>
    </row>
    <row r="176" spans="7:7" x14ac:dyDescent="0.25">
      <c r="G176" s="93" t="s">
        <v>693</v>
      </c>
    </row>
    <row r="177" spans="7:7" x14ac:dyDescent="0.25">
      <c r="G177" s="93" t="s">
        <v>694</v>
      </c>
    </row>
    <row r="178" spans="7:7" x14ac:dyDescent="0.25">
      <c r="G178" s="93" t="s">
        <v>695</v>
      </c>
    </row>
    <row r="179" spans="7:7" x14ac:dyDescent="0.25">
      <c r="G179" s="93" t="s">
        <v>696</v>
      </c>
    </row>
    <row r="180" spans="7:7" x14ac:dyDescent="0.25">
      <c r="G180" s="93" t="s">
        <v>697</v>
      </c>
    </row>
    <row r="181" spans="7:7" x14ac:dyDescent="0.25">
      <c r="G181" s="93" t="s">
        <v>698</v>
      </c>
    </row>
    <row r="182" spans="7:7" x14ac:dyDescent="0.25">
      <c r="G182" s="93" t="s">
        <v>699</v>
      </c>
    </row>
    <row r="183" spans="7:7" x14ac:dyDescent="0.25">
      <c r="G183" s="93" t="s">
        <v>700</v>
      </c>
    </row>
    <row r="184" spans="7:7" x14ac:dyDescent="0.25">
      <c r="G184" s="93" t="s">
        <v>701</v>
      </c>
    </row>
    <row r="185" spans="7:7" x14ac:dyDescent="0.25">
      <c r="G185" s="93" t="s">
        <v>702</v>
      </c>
    </row>
    <row r="186" spans="7:7" x14ac:dyDescent="0.25">
      <c r="G186" s="93" t="s">
        <v>703</v>
      </c>
    </row>
    <row r="187" spans="7:7" x14ac:dyDescent="0.25">
      <c r="G187" s="93" t="s">
        <v>704</v>
      </c>
    </row>
    <row r="188" spans="7:7" x14ac:dyDescent="0.25">
      <c r="G188" s="93" t="s">
        <v>706</v>
      </c>
    </row>
    <row r="189" spans="7:7" x14ac:dyDescent="0.25">
      <c r="G189" s="93" t="s">
        <v>707</v>
      </c>
    </row>
    <row r="190" spans="7:7" x14ac:dyDescent="0.25">
      <c r="G190" s="93" t="s">
        <v>708</v>
      </c>
    </row>
    <row r="191" spans="7:7" x14ac:dyDescent="0.25">
      <c r="G191" s="93" t="s">
        <v>709</v>
      </c>
    </row>
    <row r="192" spans="7:7" x14ac:dyDescent="0.25">
      <c r="G192" s="93" t="s">
        <v>710</v>
      </c>
    </row>
    <row r="193" spans="7:7" x14ac:dyDescent="0.25">
      <c r="G193" s="93" t="s">
        <v>711</v>
      </c>
    </row>
    <row r="194" spans="7:7" x14ac:dyDescent="0.25">
      <c r="G194" s="93" t="s">
        <v>712</v>
      </c>
    </row>
    <row r="195" spans="7:7" x14ac:dyDescent="0.25">
      <c r="G195" s="93" t="s">
        <v>713</v>
      </c>
    </row>
    <row r="196" spans="7:7" x14ac:dyDescent="0.25">
      <c r="G196" s="93" t="s">
        <v>716</v>
      </c>
    </row>
    <row r="197" spans="7:7" x14ac:dyDescent="0.25">
      <c r="G197" s="93" t="s">
        <v>718</v>
      </c>
    </row>
    <row r="198" spans="7:7" x14ac:dyDescent="0.25">
      <c r="G198" s="93" t="s">
        <v>720</v>
      </c>
    </row>
    <row r="199" spans="7:7" x14ac:dyDescent="0.25">
      <c r="G199" s="93" t="s">
        <v>722</v>
      </c>
    </row>
    <row r="200" spans="7:7" x14ac:dyDescent="0.25">
      <c r="G200" s="93" t="s">
        <v>724</v>
      </c>
    </row>
    <row r="201" spans="7:7" x14ac:dyDescent="0.25">
      <c r="G201" s="93" t="s">
        <v>726</v>
      </c>
    </row>
    <row r="202" spans="7:7" x14ac:dyDescent="0.25">
      <c r="G202" s="93" t="s">
        <v>728</v>
      </c>
    </row>
    <row r="203" spans="7:7" x14ac:dyDescent="0.25">
      <c r="G203" s="93" t="s">
        <v>730</v>
      </c>
    </row>
    <row r="204" spans="7:7" x14ac:dyDescent="0.25">
      <c r="G204" s="93" t="s">
        <v>732</v>
      </c>
    </row>
    <row r="205" spans="7:7" x14ac:dyDescent="0.25">
      <c r="G205" s="93" t="s">
        <v>734</v>
      </c>
    </row>
    <row r="206" spans="7:7" x14ac:dyDescent="0.25">
      <c r="G206" s="93" t="s">
        <v>736</v>
      </c>
    </row>
    <row r="207" spans="7:7" x14ac:dyDescent="0.25">
      <c r="G207" s="93" t="s">
        <v>738</v>
      </c>
    </row>
    <row r="208" spans="7:7" x14ac:dyDescent="0.25">
      <c r="G208" s="93" t="s">
        <v>740</v>
      </c>
    </row>
    <row r="209" spans="7:7" x14ac:dyDescent="0.25">
      <c r="G209" s="93" t="s">
        <v>742</v>
      </c>
    </row>
    <row r="210" spans="7:7" x14ac:dyDescent="0.25">
      <c r="G210" s="93" t="s">
        <v>744</v>
      </c>
    </row>
    <row r="211" spans="7:7" x14ac:dyDescent="0.25">
      <c r="G211" s="93" t="s">
        <v>746</v>
      </c>
    </row>
    <row r="212" spans="7:7" x14ac:dyDescent="0.25">
      <c r="G212" s="93" t="s">
        <v>748</v>
      </c>
    </row>
    <row r="213" spans="7:7" x14ac:dyDescent="0.25">
      <c r="G213" s="93" t="s">
        <v>750</v>
      </c>
    </row>
    <row r="214" spans="7:7" x14ac:dyDescent="0.25">
      <c r="G214" s="93" t="s">
        <v>752</v>
      </c>
    </row>
    <row r="215" spans="7:7" x14ac:dyDescent="0.25">
      <c r="G215" s="93" t="s">
        <v>754</v>
      </c>
    </row>
    <row r="216" spans="7:7" x14ac:dyDescent="0.25">
      <c r="G216" s="93" t="s">
        <v>756</v>
      </c>
    </row>
    <row r="217" spans="7:7" x14ac:dyDescent="0.25">
      <c r="G217" s="93" t="s">
        <v>758</v>
      </c>
    </row>
    <row r="218" spans="7:7" x14ac:dyDescent="0.25">
      <c r="G218" s="93" t="s">
        <v>760</v>
      </c>
    </row>
    <row r="219" spans="7:7" x14ac:dyDescent="0.25">
      <c r="G219" s="93" t="s">
        <v>762</v>
      </c>
    </row>
    <row r="220" spans="7:7" x14ac:dyDescent="0.25">
      <c r="G220" s="93" t="s">
        <v>764</v>
      </c>
    </row>
    <row r="221" spans="7:7" x14ac:dyDescent="0.25">
      <c r="G221" s="93" t="s">
        <v>766</v>
      </c>
    </row>
    <row r="222" spans="7:7" x14ac:dyDescent="0.25">
      <c r="G222" s="93" t="s">
        <v>768</v>
      </c>
    </row>
    <row r="223" spans="7:7" x14ac:dyDescent="0.25">
      <c r="G223" s="93" t="s">
        <v>509</v>
      </c>
    </row>
    <row r="224" spans="7:7" x14ac:dyDescent="0.25">
      <c r="G224" s="93" t="s">
        <v>512</v>
      </c>
    </row>
    <row r="225" spans="7:7" x14ac:dyDescent="0.25">
      <c r="G225" s="93" t="s">
        <v>775</v>
      </c>
    </row>
    <row r="226" spans="7:7" x14ac:dyDescent="0.25">
      <c r="G226" s="93" t="s">
        <v>777</v>
      </c>
    </row>
    <row r="227" spans="7:7" x14ac:dyDescent="0.25">
      <c r="G227" s="93" t="s">
        <v>779</v>
      </c>
    </row>
    <row r="228" spans="7:7" x14ac:dyDescent="0.25">
      <c r="G228" s="93" t="s">
        <v>781</v>
      </c>
    </row>
    <row r="229" spans="7:7" x14ac:dyDescent="0.25">
      <c r="G229" s="93" t="s">
        <v>783</v>
      </c>
    </row>
    <row r="230" spans="7:7" x14ac:dyDescent="0.25">
      <c r="G230" s="93" t="s">
        <v>785</v>
      </c>
    </row>
    <row r="231" spans="7:7" x14ac:dyDescent="0.25">
      <c r="G231" s="93" t="s">
        <v>787</v>
      </c>
    </row>
    <row r="232" spans="7:7" x14ac:dyDescent="0.25">
      <c r="G232" s="93" t="s">
        <v>808</v>
      </c>
    </row>
  </sheetData>
  <sortState xmlns:xlrd2="http://schemas.microsoft.com/office/spreadsheetml/2017/richdata2" ref="A2:E117">
    <sortCondition ref="D2:D117"/>
  </sortState>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All Lions</vt:lpstr>
      <vt:lpstr>Cubs-2013-15</vt:lpstr>
      <vt:lpstr>08-12 Cubs by litter</vt:lpstr>
    </vt:vector>
  </TitlesOfParts>
  <Company>Snre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Zambia Lions</dc:creator>
  <cp:lastModifiedBy>David Alan Christianson</cp:lastModifiedBy>
  <dcterms:created xsi:type="dcterms:W3CDTF">2016-11-17T06:35:59Z</dcterms:created>
  <dcterms:modified xsi:type="dcterms:W3CDTF">2026-04-09T23:04:00Z</dcterms:modified>
</cp:coreProperties>
</file>