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22260" windowHeight="12650"/>
  </bookViews>
  <sheets>
    <sheet name="Sheet2" sheetId="6" r:id="rId1"/>
    <sheet name="litters(&lt;2yrs at first detect)" sheetId="4" r:id="rId2"/>
  </sheets>
  <calcPr calcId="162913"/>
  <pivotCaches>
    <pivotCache cacheId="23" r:id="rId3"/>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89" i="6" l="1"/>
  <c r="F89" i="6"/>
  <c r="H41" i="6"/>
  <c r="G41" i="6"/>
  <c r="F41" i="6"/>
  <c r="B3" i="4" l="1"/>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2" i="4"/>
  <c r="A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F93" i="4" l="1"/>
  <c r="F92" i="4"/>
  <c r="F91" i="4"/>
  <c r="F90" i="4"/>
  <c r="F61" i="4"/>
  <c r="F84" i="4"/>
  <c r="F75" i="4"/>
  <c r="F62" i="4"/>
  <c r="F60" i="4"/>
  <c r="F51" i="4"/>
  <c r="F50" i="4"/>
  <c r="F89" i="4" l="1"/>
  <c r="F88" i="4"/>
  <c r="F87" i="4"/>
  <c r="F86" i="4"/>
  <c r="F85" i="4"/>
  <c r="F83" i="4"/>
  <c r="F82" i="4"/>
  <c r="F81" i="4"/>
  <c r="F80" i="4"/>
  <c r="F79" i="4"/>
  <c r="F78" i="4"/>
  <c r="F77" i="4"/>
  <c r="F76" i="4"/>
  <c r="F74" i="4"/>
  <c r="F73" i="4"/>
  <c r="F72" i="4"/>
  <c r="F71" i="4"/>
  <c r="F70" i="4"/>
  <c r="F69" i="4"/>
  <c r="F68" i="4"/>
  <c r="F67" i="4"/>
  <c r="F66" i="4"/>
  <c r="F65" i="4"/>
  <c r="F64" i="4"/>
  <c r="F63" i="4"/>
  <c r="F59" i="4"/>
  <c r="F58" i="4"/>
  <c r="F57" i="4"/>
  <c r="F56" i="4"/>
  <c r="F55" i="4"/>
  <c r="F54" i="4"/>
  <c r="F53" i="4"/>
  <c r="F52"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alcChain>
</file>

<file path=xl/sharedStrings.xml><?xml version="1.0" encoding="utf-8"?>
<sst xmlns="http://schemas.openxmlformats.org/spreadsheetml/2006/main" count="487" uniqueCount="318">
  <si>
    <t>dob</t>
  </si>
  <si>
    <t>death</t>
  </si>
  <si>
    <t>mother</t>
  </si>
  <si>
    <t>size</t>
  </si>
  <si>
    <t>males</t>
  </si>
  <si>
    <t>females</t>
  </si>
  <si>
    <t>unknown</t>
  </si>
  <si>
    <t>pride</t>
  </si>
  <si>
    <t>nsefu</t>
  </si>
  <si>
    <t>bigpride</t>
  </si>
  <si>
    <t>ELI-826</t>
  </si>
  <si>
    <t>ELI-827</t>
  </si>
  <si>
    <t>ELI-828</t>
  </si>
  <si>
    <t>ELI-829</t>
  </si>
  <si>
    <t>ELI-830</t>
  </si>
  <si>
    <t>ELI-831</t>
  </si>
  <si>
    <t>ELI-816</t>
  </si>
  <si>
    <t>ELI-817</t>
  </si>
  <si>
    <t>ELI-819</t>
  </si>
  <si>
    <t>ELI-821</t>
  </si>
  <si>
    <t>ELI-822</t>
  </si>
  <si>
    <t>ELI-815</t>
  </si>
  <si>
    <t>ELI-818</t>
  </si>
  <si>
    <t>ELI-820</t>
  </si>
  <si>
    <t>date of last cub detected</t>
  </si>
  <si>
    <t>date of first cub detected</t>
  </si>
  <si>
    <t>ELI-823</t>
  </si>
  <si>
    <t>ELI-824</t>
  </si>
  <si>
    <t>ELI-825</t>
  </si>
  <si>
    <t>mwamba2</t>
  </si>
  <si>
    <t>ELI-966</t>
  </si>
  <si>
    <t>ELI-967</t>
  </si>
  <si>
    <t>ELI-970</t>
  </si>
  <si>
    <t>nsolo2</t>
  </si>
  <si>
    <t>ELI-832</t>
  </si>
  <si>
    <t>ELI-833</t>
  </si>
  <si>
    <t>ELI-969</t>
  </si>
  <si>
    <t>ELI-971</t>
  </si>
  <si>
    <t>mwamba1</t>
  </si>
  <si>
    <t>ELI-801</t>
  </si>
  <si>
    <t>ELI-802</t>
  </si>
  <si>
    <t>ELI-803</t>
  </si>
  <si>
    <t>ELI-804</t>
  </si>
  <si>
    <t>ELI-965</t>
  </si>
  <si>
    <t>ELI-968</t>
  </si>
  <si>
    <t>ELI-992</t>
  </si>
  <si>
    <t>ELI-813</t>
  </si>
  <si>
    <t>ELI-814</t>
  </si>
  <si>
    <t>luwi</t>
  </si>
  <si>
    <t>ELI-810</t>
  </si>
  <si>
    <t>ELI-811</t>
  </si>
  <si>
    <t>ELI-812</t>
  </si>
  <si>
    <t>hollywood</t>
  </si>
  <si>
    <t>NA</t>
  </si>
  <si>
    <t>tena</t>
  </si>
  <si>
    <t>chichele</t>
  </si>
  <si>
    <t>ELI-698</t>
  </si>
  <si>
    <t>ELI-750</t>
  </si>
  <si>
    <t>ELI-751</t>
  </si>
  <si>
    <t>ELI-738</t>
  </si>
  <si>
    <t>ELI-739</t>
  </si>
  <si>
    <t>ELI-717</t>
  </si>
  <si>
    <t>ELI-718</t>
  </si>
  <si>
    <t>ELI-713</t>
  </si>
  <si>
    <t>ELI-714</t>
  </si>
  <si>
    <t>ELI-715</t>
  </si>
  <si>
    <t>ELI-716</t>
  </si>
  <si>
    <t>ELI-721</t>
  </si>
  <si>
    <t>ELI-722</t>
  </si>
  <si>
    <t>ELI-773</t>
  </si>
  <si>
    <t>ELI-720</t>
  </si>
  <si>
    <t>ELI-719</t>
  </si>
  <si>
    <t>ELI-771</t>
  </si>
  <si>
    <t>ELI-772</t>
  </si>
  <si>
    <t>ELI-765</t>
  </si>
  <si>
    <t>ELI-766</t>
  </si>
  <si>
    <t>ELI-767</t>
  </si>
  <si>
    <t>ELI-768</t>
  </si>
  <si>
    <t>ELI-769</t>
  </si>
  <si>
    <t>ELI-752</t>
  </si>
  <si>
    <t>ELI-753</t>
  </si>
  <si>
    <t>ELI-754</t>
  </si>
  <si>
    <t>ELI-604</t>
  </si>
  <si>
    <t>ELI-606</t>
  </si>
  <si>
    <t>ELI-607</t>
  </si>
  <si>
    <t>ELI-736</t>
  </si>
  <si>
    <t>ELI-708</t>
  </si>
  <si>
    <t>ELI-709</t>
  </si>
  <si>
    <t>ELI-710</t>
  </si>
  <si>
    <t>ELI-711</t>
  </si>
  <si>
    <t>ID1</t>
  </si>
  <si>
    <t>ID2</t>
  </si>
  <si>
    <t>ID3</t>
  </si>
  <si>
    <t>ID4</t>
  </si>
  <si>
    <t>ID5</t>
  </si>
  <si>
    <t>nchindeni</t>
  </si>
  <si>
    <t>hotsprings</t>
  </si>
  <si>
    <t>mwamba</t>
  </si>
  <si>
    <t>saltpan</t>
  </si>
  <si>
    <t>ELI-735</t>
  </si>
  <si>
    <t>ELI-737</t>
  </si>
  <si>
    <t>ELI-755</t>
  </si>
  <si>
    <t>ELI-756</t>
  </si>
  <si>
    <t>ELI-757</t>
  </si>
  <si>
    <t>ELI-758</t>
  </si>
  <si>
    <t>ELI-759</t>
  </si>
  <si>
    <t>ELI-618</t>
  </si>
  <si>
    <t>ELI-619</t>
  </si>
  <si>
    <t>ELI-775</t>
  </si>
  <si>
    <t>ELI-776</t>
  </si>
  <si>
    <t>ELI-777</t>
  </si>
  <si>
    <t>ELI-778</t>
  </si>
  <si>
    <t>ELI-615</t>
  </si>
  <si>
    <t>ELI-616</t>
  </si>
  <si>
    <t>ELI-617</t>
  </si>
  <si>
    <t>ELI-600</t>
  </si>
  <si>
    <t>ELI-601</t>
  </si>
  <si>
    <t>ELI-612</t>
  </si>
  <si>
    <t>ELI-613</t>
  </si>
  <si>
    <t>ELI-657</t>
  </si>
  <si>
    <t>ELI-590</t>
  </si>
  <si>
    <t>ELI-591</t>
  </si>
  <si>
    <t>ELI-592</t>
  </si>
  <si>
    <t>ELI-608</t>
  </si>
  <si>
    <t>ELI-609</t>
  </si>
  <si>
    <t>ELI-611</t>
  </si>
  <si>
    <t>ELI-649</t>
  </si>
  <si>
    <t>ELI-650</t>
  </si>
  <si>
    <t>ELI-651</t>
  </si>
  <si>
    <t>ELI-652</t>
  </si>
  <si>
    <t>ELI-653</t>
  </si>
  <si>
    <t>ELI-588</t>
  </si>
  <si>
    <t>ELI-589</t>
  </si>
  <si>
    <t>ELI-583</t>
  </si>
  <si>
    <t>ELI-584</t>
  </si>
  <si>
    <t>ELI-585</t>
  </si>
  <si>
    <t>ELI-586</t>
  </si>
  <si>
    <t>ELI-587</t>
  </si>
  <si>
    <t>ELI-647</t>
  </si>
  <si>
    <t>ELI-648</t>
  </si>
  <si>
    <t>ELI-HW2</t>
  </si>
  <si>
    <t>chinzombo</t>
  </si>
  <si>
    <t>ELI-703</t>
  </si>
  <si>
    <t>ELI-800</t>
  </si>
  <si>
    <t>chamilandu</t>
  </si>
  <si>
    <t>mfuwe</t>
  </si>
  <si>
    <t>nsolo</t>
  </si>
  <si>
    <t>pukuridge</t>
  </si>
  <si>
    <t>chowo</t>
  </si>
  <si>
    <t>ELI-130</t>
  </si>
  <si>
    <t>ELI-131</t>
  </si>
  <si>
    <t>ELI-158</t>
  </si>
  <si>
    <t>ELI-159</t>
  </si>
  <si>
    <t>ELI-160</t>
  </si>
  <si>
    <t>ELI-161</t>
  </si>
  <si>
    <t>ELI-119</t>
  </si>
  <si>
    <t>ELI-121</t>
  </si>
  <si>
    <t>ELI-122</t>
  </si>
  <si>
    <t>ELI-219</t>
  </si>
  <si>
    <t>ELI-220</t>
  </si>
  <si>
    <t>ELI-218</t>
  </si>
  <si>
    <t>ELI-143</t>
  </si>
  <si>
    <t>ELI-213</t>
  </si>
  <si>
    <t>ELI-214</t>
  </si>
  <si>
    <t>ELI-215</t>
  </si>
  <si>
    <t>ELI-257</t>
  </si>
  <si>
    <t>ELI-221</t>
  </si>
  <si>
    <t>ELI-222</t>
  </si>
  <si>
    <t>ELI-267</t>
  </si>
  <si>
    <t>ELI-445</t>
  </si>
  <si>
    <t>ELI-414</t>
  </si>
  <si>
    <t>ELI-261</t>
  </si>
  <si>
    <t>ELI-162</t>
  </si>
  <si>
    <t>ELI-163</t>
  </si>
  <si>
    <t>ELI-404</t>
  </si>
  <si>
    <t>ELI-238</t>
  </si>
  <si>
    <t>kapamba</t>
  </si>
  <si>
    <t>ELI-167</t>
  </si>
  <si>
    <t>ELI-168</t>
  </si>
  <si>
    <t>ELI-169</t>
  </si>
  <si>
    <t>ELI-231</t>
  </si>
  <si>
    <t>ELI-232</t>
  </si>
  <si>
    <t>ELI-233</t>
  </si>
  <si>
    <t>ELI-251</t>
  </si>
  <si>
    <t>ELI-252</t>
  </si>
  <si>
    <t>ELI-254</t>
  </si>
  <si>
    <t>ELI-255</t>
  </si>
  <si>
    <t>ELI-244</t>
  </si>
  <si>
    <t>ELI-400</t>
  </si>
  <si>
    <t>ELI-401</t>
  </si>
  <si>
    <t>ELI-369</t>
  </si>
  <si>
    <t>ELI-370</t>
  </si>
  <si>
    <t>ELI-371</t>
  </si>
  <si>
    <t>ELI-372</t>
  </si>
  <si>
    <t>ELI-397</t>
  </si>
  <si>
    <t>ELI-373</t>
  </si>
  <si>
    <t>ELI-374</t>
  </si>
  <si>
    <t>ELI-379</t>
  </si>
  <si>
    <t>ELI-380</t>
  </si>
  <si>
    <t>ELI-375</t>
  </si>
  <si>
    <t>ELI-376</t>
  </si>
  <si>
    <t>ELI-377</t>
  </si>
  <si>
    <t>ELI-378</t>
  </si>
  <si>
    <t>ELI-494</t>
  </si>
  <si>
    <t>ELI-566</t>
  </si>
  <si>
    <t>ELI-567</t>
  </si>
  <si>
    <t>ELI-461</t>
  </si>
  <si>
    <t>ELI-399</t>
  </si>
  <si>
    <t>ELI-409</t>
  </si>
  <si>
    <t>ELI-410</t>
  </si>
  <si>
    <t>ELI-467</t>
  </si>
  <si>
    <t>ELI-468</t>
  </si>
  <si>
    <t>ELI-458</t>
  </si>
  <si>
    <t>ELI-459</t>
  </si>
  <si>
    <t>ELI-454</t>
  </si>
  <si>
    <t>ELI-455</t>
  </si>
  <si>
    <t>ELI-456</t>
  </si>
  <si>
    <t>ELI-457</t>
  </si>
  <si>
    <t>ELI-460</t>
  </si>
  <si>
    <t>ELI-437</t>
  </si>
  <si>
    <t>ELI-438</t>
  </si>
  <si>
    <t>ELI-439</t>
  </si>
  <si>
    <t>ELI-443</t>
  </si>
  <si>
    <t>ELI-440</t>
  </si>
  <si>
    <t>ELI-441</t>
  </si>
  <si>
    <t>ELI-442</t>
  </si>
  <si>
    <t>ELI-463</t>
  </si>
  <si>
    <t>ELI-464</t>
  </si>
  <si>
    <t>ELI-532</t>
  </si>
  <si>
    <t>ELI-533</t>
  </si>
  <si>
    <t>ELI-534</t>
  </si>
  <si>
    <t>ELI-535</t>
  </si>
  <si>
    <t>ELI-536</t>
  </si>
  <si>
    <t>ELI-553</t>
  </si>
  <si>
    <t>ELI-515</t>
  </si>
  <si>
    <t>ELI-523</t>
  </si>
  <si>
    <t>ELI-524</t>
  </si>
  <si>
    <t>ELI-525</t>
  </si>
  <si>
    <t>ELI-554</t>
  </si>
  <si>
    <t>ELI-555</t>
  </si>
  <si>
    <t>ELI-556</t>
  </si>
  <si>
    <t>ageatfirst</t>
  </si>
  <si>
    <t>ELI-385</t>
  </si>
  <si>
    <t>ELI-386</t>
  </si>
  <si>
    <t>ELI-387</t>
  </si>
  <si>
    <t>ELI-245</t>
  </si>
  <si>
    <t>ELI-117</t>
  </si>
  <si>
    <t>ELI-118</t>
  </si>
  <si>
    <t>ELI-129</t>
  </si>
  <si>
    <t>ELI-164</t>
  </si>
  <si>
    <t>ELI-165</t>
  </si>
  <si>
    <t>ELI-186</t>
  </si>
  <si>
    <t>ELI-189</t>
  </si>
  <si>
    <t>ELI-223</t>
  </si>
  <si>
    <t>ELI-260</t>
  </si>
  <si>
    <t>ELI-466</t>
  </si>
  <si>
    <t>ELI-581</t>
  </si>
  <si>
    <t>ELI-593</t>
  </si>
  <si>
    <t>ELI-594</t>
  </si>
  <si>
    <t>ELI-595</t>
  </si>
  <si>
    <t>ELI-596</t>
  </si>
  <si>
    <t>ELI-597</t>
  </si>
  <si>
    <t>ELI-598</t>
  </si>
  <si>
    <t>ELI-599</t>
  </si>
  <si>
    <t>ELI-658</t>
  </si>
  <si>
    <t>ELI-659</t>
  </si>
  <si>
    <t>ELI-660</t>
  </si>
  <si>
    <t>ELI-661</t>
  </si>
  <si>
    <t>ELI-662</t>
  </si>
  <si>
    <t>ELI-666</t>
  </si>
  <si>
    <t>ELI-115</t>
  </si>
  <si>
    <t>father</t>
  </si>
  <si>
    <t>ELI-113</t>
  </si>
  <si>
    <t>idnote</t>
  </si>
  <si>
    <t>Ginger</t>
  </si>
  <si>
    <t>manky ear</t>
  </si>
  <si>
    <t>ELI-187</t>
  </si>
  <si>
    <t>ELI-190</t>
  </si>
  <si>
    <t>ELI-172</t>
  </si>
  <si>
    <t>ELI-368</t>
  </si>
  <si>
    <t>dod</t>
  </si>
  <si>
    <t>not previously group in same litter but DOB's of 23feb,26mar,1apr all within 45 days of each and error on age of 90, 180, 180 d, all first seen on same day, so DC grouped them in one litter</t>
  </si>
  <si>
    <t>ELI-597 died on 10/3/13 due to snaring</t>
  </si>
  <si>
    <t>ELI-493</t>
  </si>
  <si>
    <t>ELI-701</t>
  </si>
  <si>
    <t>ELI-154</t>
  </si>
  <si>
    <t>ELI-138</t>
  </si>
  <si>
    <t>ELI-155</t>
  </si>
  <si>
    <t>ELI-235</t>
  </si>
  <si>
    <t>701F</t>
  </si>
  <si>
    <t>779M</t>
  </si>
  <si>
    <t>ELI-462</t>
  </si>
  <si>
    <t>ELI-243</t>
  </si>
  <si>
    <t>ELI-258</t>
  </si>
  <si>
    <t>ELI-247</t>
  </si>
  <si>
    <t>ELI-256</t>
  </si>
  <si>
    <t>ELI-116</t>
  </si>
  <si>
    <t>123776</t>
  </si>
  <si>
    <t>1203740</t>
  </si>
  <si>
    <t>69</t>
  </si>
  <si>
    <t>178</t>
  </si>
  <si>
    <t>ELI-250</t>
  </si>
  <si>
    <t>ELI-234</t>
  </si>
  <si>
    <t>ELI-248</t>
  </si>
  <si>
    <t>247</t>
  </si>
  <si>
    <t>175</t>
  </si>
  <si>
    <t>Infanticide</t>
  </si>
  <si>
    <t>Unknown</t>
  </si>
  <si>
    <t>Snaring</t>
  </si>
  <si>
    <t>Row Labels</t>
  </si>
  <si>
    <t>Grand Total</t>
  </si>
  <si>
    <t>yearofbirth</t>
  </si>
  <si>
    <t>yearofdetection</t>
  </si>
  <si>
    <t>(Multiple Items)</t>
  </si>
  <si>
    <t>Count of yearofdetection</t>
  </si>
  <si>
    <t>Sum of size</t>
  </si>
  <si>
    <t>Sum of males</t>
  </si>
  <si>
    <t>Sum of females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</si>
</sst>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indexed="8"/>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16">
    <xf numFmtId="0" fontId="0" fillId="0" borderId="0" xfId="0"/>
    <xf numFmtId="14" fontId="0" fillId="0" borderId="0" xfId="0" applyNumberFormat="1"/>
    <xf numFmtId="14" fontId="0" fillId="0" borderId="0" xfId="0" applyNumberFormat="1" applyFill="1"/>
    <xf numFmtId="14" fontId="1" fillId="0" borderId="0" xfId="1" applyNumberFormat="1" applyFill="1"/>
    <xf numFmtId="1" fontId="0" fillId="0" borderId="0" xfId="0" applyNumberFormat="1"/>
    <xf numFmtId="1" fontId="0" fillId="0" borderId="0" xfId="0" applyNumberFormat="1" applyFill="1"/>
    <xf numFmtId="0" fontId="0" fillId="2" borderId="0" xfId="0" applyFill="1"/>
    <xf numFmtId="0" fontId="1" fillId="0" borderId="0" xfId="1" applyFill="1"/>
    <xf numFmtId="0" fontId="0" fillId="0" borderId="0" xfId="0" applyFill="1"/>
    <xf numFmtId="0" fontId="0" fillId="0" borderId="0" xfId="0" applyAlignment="1">
      <alignment horizontal="left"/>
    </xf>
    <xf numFmtId="0" fontId="1" fillId="0" borderId="0" xfId="1"/>
    <xf numFmtId="14" fontId="1" fillId="0" borderId="0" xfId="1" applyNumberFormat="1" applyFont="1" applyAlignment="1" applyProtection="1">
      <alignment vertical="center"/>
    </xf>
    <xf numFmtId="14" fontId="1" fillId="0" borderId="0" xfId="1" applyNumberFormat="1"/>
    <xf numFmtId="0" fontId="0" fillId="0" borderId="0" xfId="0" pivotButton="1"/>
    <xf numFmtId="0" fontId="0" fillId="0" borderId="0" xfId="0" applyNumberFormat="1"/>
    <xf numFmtId="0" fontId="0" fillId="0" borderId="0" xfId="0" applyAlignment="1">
      <alignment horizontal="left" indent="1"/>
    </xf>
  </cellXfs>
  <cellStyles count="2">
    <cellStyle name="Excel Built-in Normal"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3123.437670370367" createdVersion="6" refreshedVersion="6" minRefreshableVersion="3" recordCount="92">
  <cacheSource type="worksheet">
    <worksheetSource ref="A1:U93" sheet="litters(&lt;2yrs at first detect)"/>
  </cacheSource>
  <cacheFields count="21">
    <cacheField name="yearofbirth" numFmtId="0">
      <sharedItems containsSemiMixedTypes="0" containsString="0" containsNumber="1" containsInteger="1" minValue="2006" maxValue="2015"/>
    </cacheField>
    <cacheField name="yearofdetection" numFmtId="0">
      <sharedItems containsSemiMixedTypes="0" containsString="0" containsNumber="1" containsInteger="1" minValue="2008" maxValue="2015" count="8">
        <n v="2015"/>
        <n v="2014"/>
        <n v="2013"/>
        <n v="2008"/>
        <n v="2009"/>
        <n v="2010"/>
        <n v="2012"/>
        <n v="2011"/>
      </sharedItems>
    </cacheField>
    <cacheField name="dob" numFmtId="14">
      <sharedItems containsSemiMixedTypes="0" containsNonDate="0" containsDate="1" containsString="0" minDate="2006-11-01T00:00:00" maxDate="2015-08-16T00:00:00"/>
    </cacheField>
    <cacheField name="date of first cub detected" numFmtId="14">
      <sharedItems containsSemiMixedTypes="0" containsNonDate="0" containsDate="1" containsString="0" minDate="2008-04-15T00:00:00" maxDate="2015-09-23T00:00:00"/>
    </cacheField>
    <cacheField name="date of last cub detected" numFmtId="14">
      <sharedItems containsNonDate="0" containsDate="1" containsString="0" containsBlank="1" minDate="2009-04-28T00:00:00" maxDate="2015-08-12T00:00:00"/>
    </cacheField>
    <cacheField name="ageatfirst" numFmtId="1">
      <sharedItems containsSemiMixedTypes="0" containsString="0" containsNumber="1" containsInteger="1" minValue="9" maxValue="728" count="75">
        <n v="38"/>
        <n v="69"/>
        <n v="27"/>
        <n v="57"/>
        <n v="85"/>
        <n v="92"/>
        <n v="130"/>
        <n v="136"/>
        <n v="86"/>
        <n v="153"/>
        <n v="127"/>
        <n v="186"/>
        <n v="26"/>
        <n v="64"/>
        <n v="72"/>
        <n v="61"/>
        <n v="75"/>
        <n v="502"/>
        <n v="87"/>
        <n v="105"/>
        <n v="563"/>
        <n v="91"/>
        <n v="154"/>
        <n v="70"/>
        <n v="167"/>
        <n v="144"/>
        <n v="212"/>
        <n v="220"/>
        <n v="251"/>
        <n v="29"/>
        <n v="369"/>
        <n v="17"/>
        <n v="93"/>
        <n v="48"/>
        <n v="121"/>
        <n v="12"/>
        <n v="101"/>
        <n v="67"/>
        <n v="160"/>
        <n v="182"/>
        <n v="297"/>
        <n v="318"/>
        <n v="258"/>
        <n v="165"/>
        <n v="60"/>
        <n v="366"/>
        <n v="228"/>
        <n v="197"/>
        <n v="593"/>
        <n v="349"/>
        <n v="106"/>
        <n v="728"/>
        <n v="380"/>
        <n v="580"/>
        <n v="592"/>
        <n v="59"/>
        <n v="49"/>
        <n v="214"/>
        <n v="55"/>
        <n v="73"/>
        <n v="9"/>
        <n v="54"/>
        <n v="714"/>
        <n v="410"/>
        <n v="28"/>
        <n v="119"/>
        <n v="198"/>
        <n v="62"/>
        <n v="350"/>
        <n v="378"/>
        <n v="40"/>
        <n v="31"/>
        <n v="23"/>
        <n v="697"/>
        <n v="288"/>
      </sharedItems>
    </cacheField>
    <cacheField name="death" numFmtId="0">
      <sharedItems containsBlank="1"/>
    </cacheField>
    <cacheField name="dod" numFmtId="14">
      <sharedItems containsNonDate="0" containsDate="1" containsString="0" containsBlank="1" minDate="2009-04-28T00:00:00" maxDate="2013-10-04T00:00:00"/>
    </cacheField>
    <cacheField name="males" numFmtId="1">
      <sharedItems containsSemiMixedTypes="0" containsString="0" containsNumber="1" containsInteger="1" minValue="0" maxValue="3"/>
    </cacheField>
    <cacheField name="females" numFmtId="1">
      <sharedItems containsSemiMixedTypes="0" containsString="0" containsNumber="1" containsInteger="1" minValue="0" maxValue="5"/>
    </cacheField>
    <cacheField name="unknown" numFmtId="1">
      <sharedItems containsSemiMixedTypes="0" containsString="0" containsNumber="1" containsInteger="1" minValue="0" maxValue="5"/>
    </cacheField>
    <cacheField name="mother" numFmtId="0">
      <sharedItems containsBlank="1"/>
    </cacheField>
    <cacheField name="father" numFmtId="0">
      <sharedItems containsBlank="1"/>
    </cacheField>
    <cacheField name="pride" numFmtId="0">
      <sharedItems/>
    </cacheField>
    <cacheField name="size" numFmtId="0">
      <sharedItems containsSemiMixedTypes="0" containsString="0" containsNumber="1" containsInteger="1" minValue="1" maxValue="5"/>
    </cacheField>
    <cacheField name="idnote" numFmtId="0">
      <sharedItems containsBlank="1"/>
    </cacheField>
    <cacheField name="ID1" numFmtId="0">
      <sharedItems count="92">
        <s v="ELI-826"/>
        <s v="ELI-830"/>
        <s v="ELI-816"/>
        <s v="ELI-821"/>
        <s v="ELI-815"/>
        <s v="ELI-823"/>
        <s v="ELI-966"/>
        <s v="ELI-832"/>
        <s v="ELI-969"/>
        <s v="ELI-801"/>
        <s v="ELI-965"/>
        <s v="ELI-813"/>
        <s v="ELI-810"/>
        <s v="ELI-698"/>
        <s v="ELI-750"/>
        <s v="ELI-738"/>
        <s v="ELI-717"/>
        <s v="ELI-713"/>
        <s v="ELI-721"/>
        <s v="ELI-773"/>
        <s v="ELI-720"/>
        <s v="ELI-719"/>
        <s v="ELI-771"/>
        <s v="ELI-765"/>
        <s v="ELI-752"/>
        <s v="ELI-604"/>
        <s v="ELI-736"/>
        <s v="ELI-708"/>
        <s v="ELI-735"/>
        <s v="ELI-755"/>
        <s v="ELI-758"/>
        <s v="ELI-618"/>
        <s v="ELI-775"/>
        <s v="ELI-615"/>
        <s v="ELI-600"/>
        <s v="ELI-612"/>
        <s v="ELI-657"/>
        <s v="ELI-590"/>
        <s v="ELI-608"/>
        <s v="ELI-649"/>
        <s v="ELI-588"/>
        <s v="ELI-583"/>
        <s v="ELI-647"/>
        <s v="ELI-703"/>
        <s v="ELI-800"/>
        <s v="ELI-129"/>
        <s v="ELI-158"/>
        <s v="ELI-119"/>
        <s v="ELI-117"/>
        <s v="ELI-219"/>
        <s v="ELI-213"/>
        <s v="ELI-257"/>
        <s v="ELI-221"/>
        <s v="ELI-267"/>
        <s v="ELI-261"/>
        <s v="ELI-162"/>
        <s v="ELI-404"/>
        <s v="ELI-238"/>
        <s v="ELI-186"/>
        <s v="ELI-245"/>
        <s v="ELI-260"/>
        <s v="ELI-167"/>
        <s v="ELI-231"/>
        <s v="ELI-251"/>
        <s v="ELI-244"/>
        <s v="ELI-400"/>
        <s v="ELI-369"/>
        <s v="ELI-397"/>
        <s v="ELI-373"/>
        <s v="ELI-379"/>
        <s v="ELI-375"/>
        <s v="ELI-494"/>
        <s v="ELI-461"/>
        <s v="ELI-385"/>
        <s v="ELI-399"/>
        <s v="ELI-467"/>
        <s v="ELI-458"/>
        <s v="ELI-455"/>
        <s v="ELI-437"/>
        <s v="ELI-440"/>
        <s v="ELI-463"/>
        <s v="ELI-532"/>
        <s v="ELI-466"/>
        <s v="ELI-535"/>
        <s v="ELI-553"/>
        <s v="ELI-515"/>
        <s v="ELI-523"/>
        <s v="ELI-554"/>
        <s v="ELI-593"/>
        <s v="ELI-597"/>
        <s v="ELI-658"/>
        <s v="ELI-659"/>
      </sharedItems>
    </cacheField>
    <cacheField name="ID2" numFmtId="0">
      <sharedItems containsBlank="1"/>
    </cacheField>
    <cacheField name="ID3" numFmtId="0">
      <sharedItems containsBlank="1"/>
    </cacheField>
    <cacheField name="ID4" numFmtId="0">
      <sharedItems containsBlank="1"/>
    </cacheField>
    <cacheField name="ID5"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2">
  <r>
    <n v="2015"/>
    <x v="0"/>
    <d v="2015-08-15T00:00:00"/>
    <d v="2015-09-22T00:00:00"/>
    <m/>
    <x v="0"/>
    <m/>
    <m/>
    <n v="2"/>
    <n v="0"/>
    <n v="0"/>
    <m/>
    <m/>
    <s v="nsefu"/>
    <n v="4"/>
    <m/>
    <x v="0"/>
    <s v="ELI-827"/>
    <s v="ELI-828"/>
    <s v="ELI-829"/>
    <m/>
  </r>
  <r>
    <n v="2015"/>
    <x v="0"/>
    <d v="2015-07-15T00:00:00"/>
    <d v="2015-09-22T00:00:00"/>
    <m/>
    <x v="1"/>
    <m/>
    <m/>
    <n v="1"/>
    <n v="1"/>
    <n v="0"/>
    <m/>
    <m/>
    <s v="nsefu"/>
    <n v="2"/>
    <m/>
    <x v="1"/>
    <s v="ELI-831"/>
    <m/>
    <m/>
    <m/>
  </r>
  <r>
    <n v="2015"/>
    <x v="0"/>
    <d v="2015-07-01T00:00:00"/>
    <d v="2015-07-28T00:00:00"/>
    <d v="2015-08-11T00:00:00"/>
    <x v="2"/>
    <m/>
    <m/>
    <n v="2"/>
    <n v="1"/>
    <n v="0"/>
    <m/>
    <m/>
    <s v="bigpride"/>
    <n v="3"/>
    <m/>
    <x v="2"/>
    <s v="ELI-817"/>
    <s v="ELI-819"/>
    <m/>
    <m/>
  </r>
  <r>
    <n v="2015"/>
    <x v="0"/>
    <d v="2015-06-15T00:00:00"/>
    <d v="2015-08-11T00:00:00"/>
    <m/>
    <x v="3"/>
    <m/>
    <m/>
    <n v="0"/>
    <n v="2"/>
    <n v="0"/>
    <s v="ELI-218"/>
    <m/>
    <s v="bigpride"/>
    <n v="2"/>
    <m/>
    <x v="3"/>
    <s v="ELI-822"/>
    <m/>
    <m/>
    <m/>
  </r>
  <r>
    <n v="2015"/>
    <x v="0"/>
    <d v="2015-06-01T00:00:00"/>
    <d v="2015-07-28T00:00:00"/>
    <d v="2015-08-11T00:00:00"/>
    <x v="3"/>
    <m/>
    <m/>
    <n v="2"/>
    <n v="1"/>
    <n v="0"/>
    <m/>
    <m/>
    <s v="bigpride"/>
    <n v="3"/>
    <m/>
    <x v="4"/>
    <s v="ELI-818"/>
    <s v="ELI-820"/>
    <m/>
    <m/>
  </r>
  <r>
    <n v="2015"/>
    <x v="0"/>
    <d v="2015-06-01T00:00:00"/>
    <d v="2015-08-25T00:00:00"/>
    <m/>
    <x v="4"/>
    <m/>
    <m/>
    <n v="0"/>
    <n v="0"/>
    <n v="3"/>
    <s v="ELI-378"/>
    <m/>
    <s v="nsefu"/>
    <n v="3"/>
    <m/>
    <x v="5"/>
    <s v="ELI-824"/>
    <s v="ELI-825"/>
    <m/>
    <m/>
  </r>
  <r>
    <n v="2015"/>
    <x v="0"/>
    <d v="2015-05-15T00:00:00"/>
    <d v="2015-08-15T00:00:00"/>
    <m/>
    <x v="5"/>
    <m/>
    <m/>
    <n v="0"/>
    <n v="3"/>
    <n v="0"/>
    <m/>
    <m/>
    <s v="mwamba2"/>
    <n v="3"/>
    <m/>
    <x v="6"/>
    <s v="ELI-967"/>
    <s v="ELI-970"/>
    <m/>
    <m/>
  </r>
  <r>
    <n v="2015"/>
    <x v="0"/>
    <d v="2015-04-01T00:00:00"/>
    <d v="2015-08-09T00:00:00"/>
    <m/>
    <x v="6"/>
    <m/>
    <m/>
    <n v="1"/>
    <n v="1"/>
    <n v="0"/>
    <s v="ELI-701"/>
    <m/>
    <s v="nsolo2"/>
    <n v="2"/>
    <m/>
    <x v="7"/>
    <s v="ELI-833"/>
    <m/>
    <m/>
    <m/>
  </r>
  <r>
    <n v="2015"/>
    <x v="0"/>
    <d v="2015-04-01T00:00:00"/>
    <d v="2015-08-15T00:00:00"/>
    <m/>
    <x v="7"/>
    <m/>
    <m/>
    <n v="1"/>
    <n v="1"/>
    <n v="0"/>
    <m/>
    <m/>
    <s v="mwamba2"/>
    <n v="2"/>
    <m/>
    <x v="8"/>
    <s v="ELI-971"/>
    <m/>
    <m/>
    <m/>
  </r>
  <r>
    <n v="2015"/>
    <x v="0"/>
    <d v="2015-03-15T00:00:00"/>
    <d v="2015-06-09T00:00:00"/>
    <m/>
    <x v="8"/>
    <m/>
    <m/>
    <n v="3"/>
    <n v="1"/>
    <n v="0"/>
    <m/>
    <m/>
    <s v="mwamba1"/>
    <n v="4"/>
    <m/>
    <x v="9"/>
    <s v="ELI-802"/>
    <s v="ELI-803"/>
    <s v="ELI-804"/>
    <m/>
  </r>
  <r>
    <n v="2015"/>
    <x v="0"/>
    <d v="2015-03-15T00:00:00"/>
    <d v="2015-08-15T00:00:00"/>
    <m/>
    <x v="9"/>
    <m/>
    <m/>
    <n v="1"/>
    <n v="1"/>
    <n v="1"/>
    <m/>
    <m/>
    <s v="mwamba2"/>
    <n v="3"/>
    <m/>
    <x v="10"/>
    <s v="ELI-968"/>
    <s v="ELI-992"/>
    <m/>
    <m/>
  </r>
  <r>
    <n v="2015"/>
    <x v="0"/>
    <d v="2015-03-01T00:00:00"/>
    <d v="2015-07-06T00:00:00"/>
    <m/>
    <x v="10"/>
    <m/>
    <m/>
    <n v="2"/>
    <n v="0"/>
    <n v="0"/>
    <s v="ELI-159"/>
    <m/>
    <s v="luwi"/>
    <n v="2"/>
    <m/>
    <x v="11"/>
    <s v="ELI-814"/>
    <m/>
    <m/>
    <m/>
  </r>
  <r>
    <n v="2015"/>
    <x v="0"/>
    <d v="2015-01-01T00:00:00"/>
    <d v="2015-07-06T00:00:00"/>
    <m/>
    <x v="11"/>
    <m/>
    <m/>
    <n v="2"/>
    <n v="1"/>
    <n v="0"/>
    <s v="ELI-369"/>
    <m/>
    <s v="luwi"/>
    <n v="3"/>
    <m/>
    <x v="12"/>
    <s v="ELI-811"/>
    <s v="ELI-812"/>
    <m/>
    <m/>
  </r>
  <r>
    <n v="2014"/>
    <x v="1"/>
    <d v="2014-10-01T00:00:00"/>
    <d v="2014-10-27T00:00:00"/>
    <m/>
    <x v="12"/>
    <m/>
    <m/>
    <n v="0"/>
    <n v="0"/>
    <n v="1"/>
    <m/>
    <m/>
    <s v="nsefu"/>
    <n v="1"/>
    <m/>
    <x v="13"/>
    <m/>
    <m/>
    <m/>
    <m/>
  </r>
  <r>
    <n v="2014"/>
    <x v="1"/>
    <d v="2014-08-15T00:00:00"/>
    <d v="2014-10-18T00:00:00"/>
    <m/>
    <x v="13"/>
    <m/>
    <m/>
    <n v="0"/>
    <n v="0"/>
    <n v="2"/>
    <s v="ELI-154"/>
    <m/>
    <s v="luwi"/>
    <n v="2"/>
    <m/>
    <x v="14"/>
    <s v="ELI-751"/>
    <m/>
    <m/>
    <m/>
  </r>
  <r>
    <n v="2014"/>
    <x v="1"/>
    <d v="2014-07-20T00:00:00"/>
    <d v="2014-09-30T00:00:00"/>
    <m/>
    <x v="14"/>
    <m/>
    <m/>
    <n v="0"/>
    <n v="2"/>
    <n v="0"/>
    <s v="ELI-231"/>
    <m/>
    <s v="hollywood"/>
    <n v="2"/>
    <m/>
    <x v="15"/>
    <s v="ELI-739"/>
    <m/>
    <m/>
    <m/>
  </r>
  <r>
    <n v="2014"/>
    <x v="1"/>
    <d v="2014-05-15T00:00:00"/>
    <d v="2014-07-15T00:00:00"/>
    <m/>
    <x v="15"/>
    <m/>
    <m/>
    <n v="2"/>
    <n v="0"/>
    <n v="0"/>
    <m/>
    <m/>
    <s v="nsefu"/>
    <n v="2"/>
    <m/>
    <x v="16"/>
    <s v="ELI-718"/>
    <m/>
    <m/>
    <m/>
  </r>
  <r>
    <n v="2014"/>
    <x v="1"/>
    <d v="2014-05-01T00:00:00"/>
    <d v="2014-07-15T00:00:00"/>
    <m/>
    <x v="16"/>
    <m/>
    <m/>
    <n v="3"/>
    <n v="1"/>
    <n v="0"/>
    <m/>
    <m/>
    <s v="nsefu"/>
    <n v="4"/>
    <m/>
    <x v="17"/>
    <s v="ELI-714"/>
    <s v="ELI-715"/>
    <s v="ELI-716"/>
    <m/>
  </r>
  <r>
    <n v="2014"/>
    <x v="1"/>
    <d v="2014-05-01T00:00:00"/>
    <d v="2014-07-09T00:00:00"/>
    <m/>
    <x v="1"/>
    <m/>
    <m/>
    <n v="0"/>
    <n v="0"/>
    <n v="2"/>
    <s v="ELI-138"/>
    <m/>
    <s v="mwamba1"/>
    <n v="2"/>
    <m/>
    <x v="18"/>
    <s v="ELI-722"/>
    <m/>
    <m/>
    <m/>
  </r>
  <r>
    <n v="2014"/>
    <x v="0"/>
    <d v="2014-05-01T00:00:00"/>
    <d v="2015-09-15T00:00:00"/>
    <m/>
    <x v="17"/>
    <m/>
    <m/>
    <n v="0"/>
    <n v="1"/>
    <n v="0"/>
    <m/>
    <m/>
    <s v="NA"/>
    <n v="1"/>
    <m/>
    <x v="19"/>
    <m/>
    <m/>
    <m/>
    <m/>
  </r>
  <r>
    <n v="2014"/>
    <x v="1"/>
    <d v="2014-04-15T00:00:00"/>
    <d v="2014-07-11T00:00:00"/>
    <m/>
    <x v="18"/>
    <m/>
    <m/>
    <n v="0"/>
    <n v="1"/>
    <n v="0"/>
    <s v="ELI-155"/>
    <m/>
    <s v="luwi"/>
    <n v="1"/>
    <m/>
    <x v="20"/>
    <m/>
    <m/>
    <m/>
    <m/>
  </r>
  <r>
    <n v="2014"/>
    <x v="1"/>
    <d v="2014-04-01T00:00:00"/>
    <d v="2014-07-15T00:00:00"/>
    <m/>
    <x v="19"/>
    <m/>
    <m/>
    <n v="1"/>
    <n v="0"/>
    <n v="0"/>
    <m/>
    <m/>
    <s v="nsefu"/>
    <n v="1"/>
    <m/>
    <x v="21"/>
    <m/>
    <m/>
    <m/>
    <m/>
  </r>
  <r>
    <n v="2014"/>
    <x v="0"/>
    <d v="2014-03-01T00:00:00"/>
    <d v="2015-09-15T00:00:00"/>
    <m/>
    <x v="20"/>
    <m/>
    <m/>
    <n v="0"/>
    <n v="2"/>
    <n v="0"/>
    <m/>
    <m/>
    <s v="NA"/>
    <n v="2"/>
    <m/>
    <x v="22"/>
    <s v="ELI-772"/>
    <m/>
    <m/>
    <m/>
  </r>
  <r>
    <n v="2014"/>
    <x v="1"/>
    <d v="2014-01-23T00:00:00"/>
    <d v="2014-04-24T00:00:00"/>
    <m/>
    <x v="21"/>
    <m/>
    <m/>
    <n v="0"/>
    <n v="5"/>
    <n v="0"/>
    <m/>
    <m/>
    <s v="bigpride"/>
    <n v="5"/>
    <m/>
    <x v="23"/>
    <s v="ELI-766"/>
    <s v="ELI-767"/>
    <s v="ELI-768"/>
    <s v="ELI-769"/>
  </r>
  <r>
    <n v="2014"/>
    <x v="1"/>
    <d v="2014-01-20T00:00:00"/>
    <d v="2014-06-23T00:00:00"/>
    <m/>
    <x v="22"/>
    <m/>
    <m/>
    <n v="1"/>
    <n v="1"/>
    <n v="1"/>
    <m/>
    <m/>
    <s v="tena"/>
    <n v="3"/>
    <m/>
    <x v="24"/>
    <s v="ELI-753"/>
    <s v="ELI-754"/>
    <m/>
    <m/>
  </r>
  <r>
    <n v="2014"/>
    <x v="1"/>
    <d v="2014-01-15T00:00:00"/>
    <d v="2014-03-26T00:00:00"/>
    <m/>
    <x v="23"/>
    <m/>
    <m/>
    <n v="1"/>
    <n v="2"/>
    <n v="0"/>
    <s v="ELI-235"/>
    <m/>
    <s v="chichele"/>
    <n v="3"/>
    <m/>
    <x v="25"/>
    <s v="ELI-606"/>
    <s v="ELI-607"/>
    <m/>
    <m/>
  </r>
  <r>
    <n v="2014"/>
    <x v="1"/>
    <d v="2014-01-15T00:00:00"/>
    <d v="2014-07-01T00:00:00"/>
    <m/>
    <x v="24"/>
    <m/>
    <m/>
    <n v="0"/>
    <n v="1"/>
    <n v="0"/>
    <m/>
    <m/>
    <s v="hollywood"/>
    <n v="1"/>
    <m/>
    <x v="26"/>
    <m/>
    <m/>
    <m/>
    <m/>
  </r>
  <r>
    <n v="2014"/>
    <x v="1"/>
    <d v="2014-01-11T00:00:00"/>
    <d v="2014-06-04T00:00:00"/>
    <m/>
    <x v="25"/>
    <m/>
    <m/>
    <n v="0"/>
    <n v="4"/>
    <n v="0"/>
    <s v="701F"/>
    <s v="779M"/>
    <s v="nsolo2"/>
    <n v="4"/>
    <m/>
    <x v="27"/>
    <s v="ELI-709"/>
    <s v="ELI-710"/>
    <s v="ELI-711"/>
    <m/>
  </r>
  <r>
    <n v="2013"/>
    <x v="1"/>
    <d v="2013-12-01T00:00:00"/>
    <d v="2014-07-01T00:00:00"/>
    <m/>
    <x v="26"/>
    <m/>
    <m/>
    <n v="1"/>
    <n v="1"/>
    <n v="0"/>
    <m/>
    <m/>
    <s v="hollywood"/>
    <n v="2"/>
    <m/>
    <x v="28"/>
    <s v="ELI-737"/>
    <m/>
    <m/>
    <m/>
  </r>
  <r>
    <n v="2013"/>
    <x v="1"/>
    <d v="2013-11-15T00:00:00"/>
    <d v="2014-06-23T00:00:00"/>
    <m/>
    <x v="27"/>
    <m/>
    <m/>
    <n v="0"/>
    <n v="0"/>
    <n v="3"/>
    <m/>
    <m/>
    <s v="tena"/>
    <n v="3"/>
    <m/>
    <x v="29"/>
    <s v="ELI-756"/>
    <s v="ELI-757"/>
    <m/>
    <m/>
  </r>
  <r>
    <n v="2013"/>
    <x v="1"/>
    <d v="2013-10-15T00:00:00"/>
    <d v="2014-06-23T00:00:00"/>
    <m/>
    <x v="28"/>
    <m/>
    <m/>
    <n v="0"/>
    <n v="0"/>
    <n v="2"/>
    <m/>
    <m/>
    <s v="tena"/>
    <n v="2"/>
    <m/>
    <x v="30"/>
    <s v="ELI-759"/>
    <m/>
    <m/>
    <m/>
  </r>
  <r>
    <n v="2013"/>
    <x v="2"/>
    <d v="2013-09-10T00:00:00"/>
    <d v="2013-10-09T00:00:00"/>
    <m/>
    <x v="29"/>
    <m/>
    <m/>
    <n v="0"/>
    <n v="1"/>
    <n v="2"/>
    <m/>
    <m/>
    <s v="hollywood"/>
    <n v="3"/>
    <m/>
    <x v="31"/>
    <s v="ELI-619"/>
    <s v="ELI-HW2"/>
    <m/>
    <m/>
  </r>
  <r>
    <n v="2013"/>
    <x v="1"/>
    <d v="2013-09-01T00:00:00"/>
    <d v="2014-09-05T00:00:00"/>
    <m/>
    <x v="30"/>
    <m/>
    <m/>
    <n v="0"/>
    <n v="4"/>
    <n v="0"/>
    <m/>
    <m/>
    <s v="nchindeni"/>
    <n v="4"/>
    <m/>
    <x v="32"/>
    <s v="ELI-776"/>
    <s v="ELI-777"/>
    <s v="ELI-778"/>
    <m/>
  </r>
  <r>
    <n v="2013"/>
    <x v="2"/>
    <d v="2013-08-15T00:00:00"/>
    <d v="2013-09-01T00:00:00"/>
    <m/>
    <x v="31"/>
    <m/>
    <m/>
    <n v="2"/>
    <n v="1"/>
    <n v="0"/>
    <m/>
    <m/>
    <s v="hollywood"/>
    <n v="3"/>
    <m/>
    <x v="33"/>
    <s v="ELI-616"/>
    <s v="ELI-617"/>
    <m/>
    <m/>
  </r>
  <r>
    <n v="2013"/>
    <x v="2"/>
    <d v="2013-07-15T00:00:00"/>
    <d v="2013-10-16T00:00:00"/>
    <m/>
    <x v="32"/>
    <m/>
    <m/>
    <n v="0"/>
    <n v="0"/>
    <n v="2"/>
    <s v="ELI-462"/>
    <m/>
    <s v="nsefu"/>
    <n v="2"/>
    <m/>
    <x v="34"/>
    <s v="ELI-601"/>
    <m/>
    <m/>
    <m/>
  </r>
  <r>
    <n v="2013"/>
    <x v="2"/>
    <d v="2013-07-15T00:00:00"/>
    <d v="2013-09-01T00:00:00"/>
    <m/>
    <x v="33"/>
    <m/>
    <m/>
    <n v="0"/>
    <n v="2"/>
    <n v="0"/>
    <m/>
    <m/>
    <s v="hollywood"/>
    <n v="2"/>
    <m/>
    <x v="35"/>
    <s v="ELI-613"/>
    <m/>
    <m/>
    <m/>
  </r>
  <r>
    <n v="2013"/>
    <x v="2"/>
    <d v="2013-05-01T00:00:00"/>
    <d v="2013-08-30T00:00:00"/>
    <m/>
    <x v="34"/>
    <m/>
    <m/>
    <n v="1"/>
    <n v="0"/>
    <n v="0"/>
    <m/>
    <m/>
    <s v="mwamba1"/>
    <n v="1"/>
    <m/>
    <x v="36"/>
    <m/>
    <m/>
    <m/>
    <m/>
  </r>
  <r>
    <n v="2013"/>
    <x v="2"/>
    <d v="2013-04-15T00:00:00"/>
    <d v="2013-04-27T00:00:00"/>
    <m/>
    <x v="35"/>
    <m/>
    <m/>
    <n v="0"/>
    <n v="2"/>
    <n v="1"/>
    <s v="ELI-243"/>
    <m/>
    <s v="bigpride"/>
    <n v="3"/>
    <m/>
    <x v="37"/>
    <s v="ELI-591"/>
    <s v="ELI-592"/>
    <m/>
    <m/>
  </r>
  <r>
    <n v="2013"/>
    <x v="2"/>
    <d v="2013-04-01T00:00:00"/>
    <d v="2013-07-11T00:00:00"/>
    <m/>
    <x v="36"/>
    <m/>
    <m/>
    <n v="2"/>
    <n v="1"/>
    <n v="0"/>
    <s v="ELI-258"/>
    <m/>
    <s v="hotsprings"/>
    <n v="3"/>
    <m/>
    <x v="38"/>
    <s v="ELI-609"/>
    <s v="ELI-611"/>
    <m/>
    <m/>
  </r>
  <r>
    <n v="2013"/>
    <x v="2"/>
    <d v="2013-03-24T00:00:00"/>
    <d v="2013-08-01T00:00:00"/>
    <m/>
    <x v="6"/>
    <s v="Infanticide"/>
    <d v="2013-08-06T00:00:00"/>
    <n v="0"/>
    <n v="0"/>
    <n v="5"/>
    <m/>
    <m/>
    <s v="mwamba2"/>
    <n v="5"/>
    <m/>
    <x v="39"/>
    <s v="ELI-650"/>
    <s v="ELI-651"/>
    <s v="ELI-652"/>
    <s v="ELI-653"/>
  </r>
  <r>
    <n v="2013"/>
    <x v="2"/>
    <d v="2013-03-09T00:00:00"/>
    <d v="2013-05-15T00:00:00"/>
    <m/>
    <x v="37"/>
    <m/>
    <m/>
    <n v="1"/>
    <n v="1"/>
    <n v="0"/>
    <s v="ELI-247"/>
    <m/>
    <s v="nsefu"/>
    <n v="2"/>
    <m/>
    <x v="40"/>
    <s v="ELI-589"/>
    <m/>
    <m/>
    <m/>
  </r>
  <r>
    <n v="2013"/>
    <x v="2"/>
    <d v="2013-02-05T00:00:00"/>
    <d v="2013-07-15T00:00:00"/>
    <m/>
    <x v="38"/>
    <m/>
    <m/>
    <n v="1"/>
    <n v="3"/>
    <n v="1"/>
    <m/>
    <m/>
    <s v="bigpride"/>
    <n v="5"/>
    <m/>
    <x v="41"/>
    <s v="ELI-584"/>
    <s v="ELI-585"/>
    <s v="ELI-586"/>
    <s v="ELI-587"/>
  </r>
  <r>
    <n v="2013"/>
    <x v="2"/>
    <d v="2013-01-31T00:00:00"/>
    <d v="2013-08-01T00:00:00"/>
    <m/>
    <x v="39"/>
    <m/>
    <m/>
    <n v="0"/>
    <n v="1"/>
    <n v="1"/>
    <m/>
    <m/>
    <s v="mwamba"/>
    <n v="2"/>
    <m/>
    <x v="42"/>
    <s v="ELI-648"/>
    <m/>
    <m/>
    <m/>
  </r>
  <r>
    <n v="2013"/>
    <x v="1"/>
    <d v="2013-07-22T00:00:00"/>
    <d v="2014-05-15T00:00:00"/>
    <m/>
    <x v="40"/>
    <m/>
    <m/>
    <n v="0"/>
    <n v="1"/>
    <n v="0"/>
    <m/>
    <m/>
    <s v="chinzombo"/>
    <n v="1"/>
    <m/>
    <x v="43"/>
    <m/>
    <m/>
    <m/>
    <m/>
  </r>
  <r>
    <n v="2013"/>
    <x v="1"/>
    <d v="2013-12-01T00:00:00"/>
    <d v="2014-10-15T00:00:00"/>
    <m/>
    <x v="41"/>
    <m/>
    <m/>
    <n v="1"/>
    <n v="0"/>
    <n v="0"/>
    <s v="ELI-256"/>
    <m/>
    <s v="hotsprings"/>
    <n v="1"/>
    <m/>
    <x v="44"/>
    <m/>
    <m/>
    <m/>
    <m/>
  </r>
  <r>
    <n v="2008"/>
    <x v="3"/>
    <d v="2008-01-01T00:00:00"/>
    <d v="2008-09-15T00:00:00"/>
    <m/>
    <x v="42"/>
    <m/>
    <m/>
    <n v="2"/>
    <n v="1"/>
    <n v="0"/>
    <m/>
    <m/>
    <s v="mwamba"/>
    <n v="3"/>
    <m/>
    <x v="45"/>
    <s v="ELI-130"/>
    <s v="ELI-131"/>
    <m/>
    <m/>
  </r>
  <r>
    <n v="2008"/>
    <x v="3"/>
    <d v="2008-01-02T00:00:00"/>
    <d v="2008-06-15T00:00:00"/>
    <m/>
    <x v="43"/>
    <m/>
    <m/>
    <n v="2"/>
    <n v="2"/>
    <n v="0"/>
    <m/>
    <m/>
    <s v="luwi"/>
    <n v="4"/>
    <s v="manky ear"/>
    <x v="46"/>
    <s v="ELI-159"/>
    <s v="ELI-160"/>
    <s v="ELI-161"/>
    <m/>
  </r>
  <r>
    <n v="2008"/>
    <x v="3"/>
    <d v="2008-02-15T00:00:00"/>
    <d v="2008-04-15T00:00:00"/>
    <m/>
    <x v="44"/>
    <s v="Unknown"/>
    <d v="2009-04-28T00:00:00"/>
    <n v="1"/>
    <n v="2"/>
    <n v="0"/>
    <s v="ELI-116"/>
    <s v="ELI-113"/>
    <s v="mfuwe"/>
    <n v="3"/>
    <m/>
    <x v="47"/>
    <s v="ELI-121"/>
    <s v="ELI-122"/>
    <m/>
    <m/>
  </r>
  <r>
    <n v="2007"/>
    <x v="3"/>
    <d v="2007-04-15T00:00:00"/>
    <d v="2008-04-15T00:00:00"/>
    <m/>
    <x v="45"/>
    <m/>
    <m/>
    <n v="1"/>
    <n v="1"/>
    <n v="0"/>
    <s v="ELI-115"/>
    <s v="ELI-113"/>
    <s v="mfuwe"/>
    <n v="2"/>
    <m/>
    <x v="48"/>
    <s v="ELI-118"/>
    <m/>
    <m/>
    <m/>
  </r>
  <r>
    <n v="2008"/>
    <x v="3"/>
    <d v="2008-03-01T00:00:00"/>
    <d v="2008-10-15T00:00:00"/>
    <d v="2009-07-15T00:00:00"/>
    <x v="46"/>
    <m/>
    <m/>
    <n v="0"/>
    <n v="4"/>
    <n v="0"/>
    <m/>
    <m/>
    <s v="bigpride"/>
    <n v="4"/>
    <m/>
    <x v="49"/>
    <s v="ELI-220"/>
    <s v="ELI-218"/>
    <s v="ELI-143"/>
    <m/>
  </r>
  <r>
    <n v="2008"/>
    <x v="3"/>
    <d v="2008-04-01T00:00:00"/>
    <d v="2008-10-15T00:00:00"/>
    <m/>
    <x v="47"/>
    <m/>
    <m/>
    <n v="2"/>
    <n v="1"/>
    <n v="0"/>
    <m/>
    <m/>
    <s v="nsolo"/>
    <n v="3"/>
    <m/>
    <x v="50"/>
    <s v="ELI-214"/>
    <s v="ELI-215"/>
    <m/>
    <m/>
  </r>
  <r>
    <n v="2008"/>
    <x v="4"/>
    <d v="2008-04-01T00:00:00"/>
    <d v="2009-11-15T00:00:00"/>
    <m/>
    <x v="48"/>
    <m/>
    <m/>
    <n v="0"/>
    <n v="1"/>
    <n v="0"/>
    <s v="123776"/>
    <m/>
    <s v="saltpan"/>
    <n v="1"/>
    <m/>
    <x v="51"/>
    <m/>
    <m/>
    <m/>
    <m/>
  </r>
  <r>
    <n v="2008"/>
    <x v="4"/>
    <d v="2008-05-01T00:00:00"/>
    <d v="2009-04-15T00:00:00"/>
    <m/>
    <x v="49"/>
    <m/>
    <m/>
    <n v="2"/>
    <n v="0"/>
    <n v="0"/>
    <m/>
    <m/>
    <s v="bigpride"/>
    <n v="2"/>
    <m/>
    <x v="52"/>
    <s v="ELI-222"/>
    <m/>
    <m/>
    <m/>
  </r>
  <r>
    <n v="2008"/>
    <x v="4"/>
    <d v="2008-05-01T00:00:00"/>
    <d v="2009-11-15T00:00:00"/>
    <m/>
    <x v="20"/>
    <m/>
    <m/>
    <n v="1"/>
    <n v="0"/>
    <n v="0"/>
    <m/>
    <m/>
    <s v="pukuridge"/>
    <n v="1"/>
    <m/>
    <x v="53"/>
    <m/>
    <m/>
    <m/>
    <m/>
  </r>
  <r>
    <n v="2008"/>
    <x v="3"/>
    <d v="2008-06-01T00:00:00"/>
    <d v="2008-08-15T00:00:00"/>
    <m/>
    <x v="16"/>
    <m/>
    <m/>
    <n v="0"/>
    <n v="1"/>
    <n v="0"/>
    <m/>
    <m/>
    <s v="saltpan"/>
    <n v="1"/>
    <m/>
    <x v="54"/>
    <m/>
    <m/>
    <m/>
    <m/>
  </r>
  <r>
    <n v="2008"/>
    <x v="3"/>
    <d v="2008-07-01T00:00:00"/>
    <d v="2008-10-15T00:00:00"/>
    <d v="2009-04-28T00:00:00"/>
    <x v="50"/>
    <m/>
    <m/>
    <n v="2"/>
    <n v="0"/>
    <n v="2"/>
    <m/>
    <m/>
    <s v="luwi"/>
    <n v="4"/>
    <s v="Ginger"/>
    <x v="55"/>
    <s v="ELI-163"/>
    <s v="ELI-164"/>
    <s v="ELI-165"/>
    <m/>
  </r>
  <r>
    <n v="2008"/>
    <x v="5"/>
    <d v="2008-08-17T00:00:00"/>
    <d v="2010-08-15T00:00:00"/>
    <m/>
    <x v="51"/>
    <m/>
    <m/>
    <n v="1"/>
    <n v="0"/>
    <n v="0"/>
    <m/>
    <m/>
    <s v="chamilandu"/>
    <n v="1"/>
    <m/>
    <x v="56"/>
    <m/>
    <m/>
    <m/>
    <m/>
  </r>
  <r>
    <n v="2008"/>
    <x v="4"/>
    <d v="2008-12-15T00:00:00"/>
    <d v="2009-04-15T00:00:00"/>
    <m/>
    <x v="34"/>
    <m/>
    <m/>
    <n v="1"/>
    <n v="0"/>
    <n v="0"/>
    <m/>
    <m/>
    <s v="chichele"/>
    <n v="1"/>
    <m/>
    <x v="57"/>
    <m/>
    <m/>
    <m/>
    <m/>
  </r>
  <r>
    <n v="2007"/>
    <x v="3"/>
    <d v="2007-08-01T00:00:00"/>
    <d v="2008-08-15T00:00:00"/>
    <d v="2010-09-15T00:00:00"/>
    <x v="52"/>
    <m/>
    <m/>
    <n v="3"/>
    <n v="1"/>
    <n v="0"/>
    <m/>
    <m/>
    <s v="saltpan"/>
    <n v="4"/>
    <m/>
    <x v="58"/>
    <s v="ELI-187"/>
    <s v="ELI-189"/>
    <s v="ELI-190"/>
    <m/>
  </r>
  <r>
    <n v="2007"/>
    <x v="3"/>
    <d v="2007-03-15T00:00:00"/>
    <d v="2008-10-15T00:00:00"/>
    <m/>
    <x v="53"/>
    <m/>
    <m/>
    <n v="0"/>
    <n v="3"/>
    <n v="0"/>
    <m/>
    <m/>
    <s v="bigpride"/>
    <n v="3"/>
    <s v="not previously group in same litter but DOB's of 23feb,26mar,1apr all within 45 days of each and error on age of 90, 180, 180 d, all first seen on same day, so DC grouped them in one litter"/>
    <x v="59"/>
    <s v="ELI-223"/>
    <s v="ELI-581"/>
    <m/>
    <m/>
  </r>
  <r>
    <n v="2006"/>
    <x v="3"/>
    <d v="2006-11-01T00:00:00"/>
    <d v="2008-06-15T00:00:00"/>
    <m/>
    <x v="54"/>
    <m/>
    <m/>
    <n v="0"/>
    <n v="1"/>
    <n v="0"/>
    <m/>
    <m/>
    <s v="tena"/>
    <n v="1"/>
    <m/>
    <x v="60"/>
    <m/>
    <m/>
    <m/>
    <m/>
  </r>
  <r>
    <n v="2009"/>
    <x v="4"/>
    <d v="2009-02-15T00:00:00"/>
    <d v="2009-04-15T00:00:00"/>
    <m/>
    <x v="55"/>
    <m/>
    <m/>
    <n v="3"/>
    <n v="0"/>
    <n v="0"/>
    <s v="1203740"/>
    <m/>
    <s v="bigpride"/>
    <n v="3"/>
    <m/>
    <x v="61"/>
    <s v="ELI-168"/>
    <s v="ELI-169"/>
    <m/>
    <m/>
  </r>
  <r>
    <n v="2009"/>
    <x v="4"/>
    <d v="2009-05-15T00:00:00"/>
    <d v="2009-08-15T00:00:00"/>
    <m/>
    <x v="5"/>
    <m/>
    <m/>
    <n v="1"/>
    <n v="2"/>
    <n v="0"/>
    <m/>
    <m/>
    <s v="hollywood"/>
    <n v="3"/>
    <m/>
    <x v="62"/>
    <s v="ELI-232"/>
    <s v="ELI-233"/>
    <m/>
    <m/>
  </r>
  <r>
    <n v="2009"/>
    <x v="4"/>
    <d v="2009-08-01T00:00:00"/>
    <d v="2009-10-15T00:00:00"/>
    <m/>
    <x v="16"/>
    <s v="Unknown"/>
    <d v="2010-02-01T00:00:00"/>
    <n v="1"/>
    <n v="3"/>
    <n v="0"/>
    <m/>
    <m/>
    <s v="nsefu"/>
    <n v="4"/>
    <m/>
    <x v="63"/>
    <s v="ELI-252"/>
    <s v="ELI-254"/>
    <s v="ELI-255"/>
    <m/>
  </r>
  <r>
    <n v="2009"/>
    <x v="4"/>
    <d v="2009-09-27T00:00:00"/>
    <d v="2009-11-15T00:00:00"/>
    <m/>
    <x v="56"/>
    <s v="Unknown"/>
    <d v="2009-11-01T00:00:00"/>
    <n v="0"/>
    <n v="1"/>
    <n v="0"/>
    <s v="ELI-243"/>
    <s v="ELI-172"/>
    <s v="bigpride"/>
    <n v="1"/>
    <m/>
    <x v="64"/>
    <m/>
    <m/>
    <m/>
    <m/>
  </r>
  <r>
    <n v="2010"/>
    <x v="5"/>
    <d v="2010-03-15T00:00:00"/>
    <d v="2010-10-15T00:00:00"/>
    <m/>
    <x v="57"/>
    <m/>
    <m/>
    <n v="0"/>
    <n v="0"/>
    <n v="2"/>
    <m/>
    <m/>
    <s v="hollywood"/>
    <n v="2"/>
    <m/>
    <x v="65"/>
    <s v="ELI-401"/>
    <m/>
    <m/>
    <m/>
  </r>
  <r>
    <n v="2010"/>
    <x v="5"/>
    <d v="2010-03-21T00:00:00"/>
    <d v="2010-05-15T00:00:00"/>
    <m/>
    <x v="58"/>
    <m/>
    <m/>
    <n v="1"/>
    <n v="1"/>
    <n v="2"/>
    <s v="69"/>
    <s v="178"/>
    <s v="luwi"/>
    <n v="4"/>
    <m/>
    <x v="66"/>
    <s v="ELI-370"/>
    <s v="ELI-371"/>
    <s v="ELI-372"/>
    <m/>
  </r>
  <r>
    <n v="2010"/>
    <x v="5"/>
    <d v="2010-04-28T00:00:00"/>
    <d v="2010-06-15T00:00:00"/>
    <m/>
    <x v="33"/>
    <s v="Unknown"/>
    <d v="2011-08-15T00:00:00"/>
    <n v="1"/>
    <n v="0"/>
    <n v="0"/>
    <m/>
    <m/>
    <s v="chichele"/>
    <n v="1"/>
    <m/>
    <x v="67"/>
    <m/>
    <m/>
    <m/>
    <m/>
  </r>
  <r>
    <n v="2010"/>
    <x v="5"/>
    <d v="2010-05-03T00:00:00"/>
    <d v="2010-07-15T00:00:00"/>
    <m/>
    <x v="59"/>
    <m/>
    <m/>
    <n v="1"/>
    <n v="0"/>
    <n v="1"/>
    <s v="ELI-250"/>
    <m/>
    <s v="nsefu"/>
    <n v="2"/>
    <m/>
    <x v="68"/>
    <s v="ELI-374"/>
    <m/>
    <m/>
    <m/>
  </r>
  <r>
    <n v="2010"/>
    <x v="5"/>
    <d v="2010-06-06T00:00:00"/>
    <d v="2010-06-15T00:00:00"/>
    <m/>
    <x v="60"/>
    <m/>
    <m/>
    <n v="2"/>
    <n v="0"/>
    <n v="0"/>
    <s v="ELI-258"/>
    <m/>
    <s v="hotsprings"/>
    <n v="2"/>
    <m/>
    <x v="69"/>
    <s v="ELI-380"/>
    <m/>
    <m/>
    <m/>
  </r>
  <r>
    <n v="2010"/>
    <x v="5"/>
    <d v="2010-08-22T00:00:00"/>
    <d v="2010-10-15T00:00:00"/>
    <m/>
    <x v="61"/>
    <m/>
    <m/>
    <n v="3"/>
    <n v="1"/>
    <n v="0"/>
    <s v="ELI-247"/>
    <m/>
    <s v="nsefu"/>
    <n v="4"/>
    <m/>
    <x v="70"/>
    <s v="ELI-376"/>
    <s v="ELI-377"/>
    <s v="ELI-378"/>
    <m/>
  </r>
  <r>
    <n v="2010"/>
    <x v="6"/>
    <d v="2010-09-01T00:00:00"/>
    <d v="2012-08-15T00:00:00"/>
    <m/>
    <x v="62"/>
    <m/>
    <m/>
    <n v="0"/>
    <n v="2"/>
    <n v="1"/>
    <m/>
    <m/>
    <s v="chowo"/>
    <n v="3"/>
    <m/>
    <x v="71"/>
    <s v="ELI-566"/>
    <s v="ELI-567"/>
    <m/>
    <m/>
  </r>
  <r>
    <n v="2010"/>
    <x v="7"/>
    <d v="2010-10-01T00:00:00"/>
    <d v="2011-11-15T00:00:00"/>
    <m/>
    <x v="63"/>
    <m/>
    <m/>
    <n v="1"/>
    <n v="0"/>
    <n v="0"/>
    <m/>
    <m/>
    <s v="nsolo"/>
    <n v="1"/>
    <m/>
    <x v="72"/>
    <m/>
    <m/>
    <m/>
    <m/>
  </r>
  <r>
    <n v="2010"/>
    <x v="5"/>
    <d v="2010-09-04T00:00:00"/>
    <d v="2010-10-02T00:00:00"/>
    <m/>
    <x v="64"/>
    <s v="Infanticide"/>
    <d v="2010-11-10T00:00:00"/>
    <n v="0"/>
    <n v="0"/>
    <n v="3"/>
    <s v="ELI-245"/>
    <s v="ELI-172"/>
    <s v="bigpride"/>
    <n v="3"/>
    <m/>
    <x v="73"/>
    <s v="ELI-386"/>
    <s v="ELI-387"/>
    <m/>
    <m/>
  </r>
  <r>
    <n v="2011"/>
    <x v="7"/>
    <d v="2011-01-16T00:00:00"/>
    <d v="2011-05-15T00:00:00"/>
    <m/>
    <x v="65"/>
    <s v="Unknown"/>
    <d v="2011-08-01T00:00:00"/>
    <n v="0"/>
    <n v="1"/>
    <n v="2"/>
    <s v="ELI-223"/>
    <s v="ELI-234"/>
    <s v="bigpride"/>
    <n v="3"/>
    <m/>
    <x v="74"/>
    <s v="ELI-409"/>
    <s v="ELI-410"/>
    <m/>
    <m/>
  </r>
  <r>
    <n v="2011"/>
    <x v="7"/>
    <d v="2011-04-01T00:00:00"/>
    <d v="2011-10-15T00:00:00"/>
    <m/>
    <x v="47"/>
    <m/>
    <m/>
    <n v="0"/>
    <n v="1"/>
    <n v="1"/>
    <m/>
    <m/>
    <s v="saltpan"/>
    <n v="2"/>
    <m/>
    <x v="75"/>
    <s v="ELI-468"/>
    <m/>
    <m/>
    <m/>
  </r>
  <r>
    <n v="2011"/>
    <x v="7"/>
    <d v="2011-05-01T00:00:00"/>
    <d v="2011-10-15T00:00:00"/>
    <m/>
    <x v="24"/>
    <m/>
    <m/>
    <n v="0"/>
    <n v="2"/>
    <n v="1"/>
    <m/>
    <m/>
    <s v="nsolo"/>
    <n v="3"/>
    <m/>
    <x v="76"/>
    <s v="ELI-459"/>
    <s v="ELI-454"/>
    <m/>
    <m/>
  </r>
  <r>
    <n v="2011"/>
    <x v="7"/>
    <d v="2011-05-01T00:00:00"/>
    <d v="2011-11-15T00:00:00"/>
    <m/>
    <x v="66"/>
    <m/>
    <m/>
    <n v="3"/>
    <n v="1"/>
    <n v="0"/>
    <m/>
    <m/>
    <s v="nsolo"/>
    <n v="4"/>
    <m/>
    <x v="77"/>
    <s v="ELI-456"/>
    <s v="ELI-457"/>
    <s v="ELI-460"/>
    <m/>
  </r>
  <r>
    <n v="2011"/>
    <x v="7"/>
    <d v="2011-06-01T00:00:00"/>
    <d v="2011-09-15T00:00:00"/>
    <m/>
    <x v="50"/>
    <m/>
    <m/>
    <n v="0"/>
    <n v="2"/>
    <n v="2"/>
    <m/>
    <m/>
    <s v="chamilandu"/>
    <n v="4"/>
    <m/>
    <x v="78"/>
    <s v="ELI-438"/>
    <s v="ELI-439"/>
    <s v="ELI-443"/>
    <m/>
  </r>
  <r>
    <n v="2011"/>
    <x v="7"/>
    <d v="2011-07-15T00:00:00"/>
    <d v="2011-09-15T00:00:00"/>
    <m/>
    <x v="67"/>
    <m/>
    <m/>
    <n v="0"/>
    <n v="1"/>
    <n v="2"/>
    <m/>
    <m/>
    <s v="chamilandu"/>
    <n v="3"/>
    <m/>
    <x v="79"/>
    <s v="ELI-441"/>
    <s v="ELI-442"/>
    <m/>
    <m/>
  </r>
  <r>
    <n v="2011"/>
    <x v="6"/>
    <d v="2011-10-01T00:00:00"/>
    <d v="2012-09-15T00:00:00"/>
    <m/>
    <x v="68"/>
    <m/>
    <m/>
    <n v="1"/>
    <n v="1"/>
    <n v="0"/>
    <s v="ELI-462"/>
    <m/>
    <s v="nsefu"/>
    <n v="2"/>
    <m/>
    <x v="80"/>
    <s v="ELI-464"/>
    <m/>
    <m/>
    <m/>
  </r>
  <r>
    <n v="2011"/>
    <x v="6"/>
    <d v="2011-10-03T00:00:00"/>
    <d v="2012-10-15T00:00:00"/>
    <m/>
    <x v="69"/>
    <m/>
    <m/>
    <n v="2"/>
    <n v="0"/>
    <n v="0"/>
    <m/>
    <m/>
    <s v="kapamba"/>
    <n v="3"/>
    <m/>
    <x v="81"/>
    <s v="ELI-533"/>
    <s v="ELI-534"/>
    <m/>
    <m/>
  </r>
  <r>
    <n v="2011"/>
    <x v="7"/>
    <d v="2011-02-01T00:00:00"/>
    <d v="2011-08-02T00:00:00"/>
    <m/>
    <x v="39"/>
    <m/>
    <m/>
    <n v="0"/>
    <n v="1"/>
    <n v="0"/>
    <s v="ELI-368"/>
    <m/>
    <s v="hotsprings"/>
    <n v="1"/>
    <m/>
    <x v="82"/>
    <m/>
    <m/>
    <m/>
    <m/>
  </r>
  <r>
    <n v="2012"/>
    <x v="6"/>
    <d v="2012-04-01T00:00:00"/>
    <d v="2012-10-15T00:00:00"/>
    <m/>
    <x v="47"/>
    <m/>
    <m/>
    <n v="2"/>
    <n v="0"/>
    <n v="0"/>
    <m/>
    <m/>
    <s v="kapamba"/>
    <n v="2"/>
    <m/>
    <x v="83"/>
    <s v="ELI-536"/>
    <m/>
    <m/>
    <m/>
  </r>
  <r>
    <n v="2012"/>
    <x v="6"/>
    <d v="2012-06-15T00:00:00"/>
    <d v="2012-11-15T00:00:00"/>
    <m/>
    <x v="9"/>
    <m/>
    <m/>
    <n v="1"/>
    <n v="0"/>
    <n v="0"/>
    <s v="ELI-248"/>
    <m/>
    <s v="nsefu"/>
    <n v="1"/>
    <m/>
    <x v="84"/>
    <m/>
    <m/>
    <m/>
    <m/>
  </r>
  <r>
    <n v="2012"/>
    <x v="6"/>
    <d v="2012-09-05T00:00:00"/>
    <d v="2012-10-15T00:00:00"/>
    <m/>
    <x v="70"/>
    <m/>
    <m/>
    <n v="0"/>
    <n v="1"/>
    <n v="0"/>
    <s v="247"/>
    <s v="175"/>
    <s v="nsefu"/>
    <n v="1"/>
    <m/>
    <x v="85"/>
    <m/>
    <m/>
    <m/>
    <m/>
  </r>
  <r>
    <n v="2012"/>
    <x v="6"/>
    <d v="2012-09-14T00:00:00"/>
    <d v="2012-10-15T00:00:00"/>
    <m/>
    <x v="71"/>
    <m/>
    <m/>
    <n v="0"/>
    <n v="0"/>
    <n v="3"/>
    <s v="ELI-414"/>
    <m/>
    <s v="chowo"/>
    <n v="3"/>
    <m/>
    <x v="86"/>
    <s v="ELI-524"/>
    <s v="ELI-525"/>
    <m/>
    <m/>
  </r>
  <r>
    <n v="2012"/>
    <x v="6"/>
    <d v="2012-10-23T00:00:00"/>
    <d v="2012-11-15T00:00:00"/>
    <m/>
    <x v="72"/>
    <m/>
    <m/>
    <n v="1"/>
    <n v="2"/>
    <n v="0"/>
    <s v="ELI-235"/>
    <s v="ELI-445"/>
    <s v="chichele"/>
    <n v="3"/>
    <m/>
    <x v="87"/>
    <s v="ELI-555"/>
    <s v="ELI-556"/>
    <m/>
    <m/>
  </r>
  <r>
    <n v="2012"/>
    <x v="2"/>
    <d v="2012-12-15T00:00:00"/>
    <d v="2013-07-15T00:00:00"/>
    <m/>
    <x v="26"/>
    <m/>
    <m/>
    <n v="2"/>
    <n v="1"/>
    <n v="0"/>
    <m/>
    <m/>
    <s v="bigpride"/>
    <n v="4"/>
    <m/>
    <x v="88"/>
    <s v="ELI-594"/>
    <s v="ELI-595"/>
    <s v="ELI-596"/>
    <m/>
  </r>
  <r>
    <n v="2012"/>
    <x v="2"/>
    <d v="2012-12-01T00:00:00"/>
    <d v="2013-04-16T00:00:00"/>
    <m/>
    <x v="7"/>
    <s v="Snaring"/>
    <d v="2013-10-03T00:00:00"/>
    <n v="0"/>
    <n v="3"/>
    <n v="0"/>
    <s v="ELI-493"/>
    <m/>
    <s v="chowo"/>
    <n v="3"/>
    <s v="ELI-597 died on 10/3/13 due to snaring"/>
    <x v="89"/>
    <s v="ELI-598"/>
    <s v="ELI-599"/>
    <m/>
    <m/>
  </r>
  <r>
    <n v="2012"/>
    <x v="2"/>
    <d v="2012-01-01T00:00:00"/>
    <d v="2013-11-28T00:00:00"/>
    <m/>
    <x v="73"/>
    <m/>
    <m/>
    <n v="0"/>
    <n v="1"/>
    <n v="0"/>
    <m/>
    <m/>
    <s v="mwamba1"/>
    <n v="1"/>
    <m/>
    <x v="90"/>
    <m/>
    <m/>
    <m/>
    <m/>
  </r>
  <r>
    <n v="2012"/>
    <x v="2"/>
    <d v="2012-11-15T00:00:00"/>
    <d v="2013-08-30T00:00:00"/>
    <d v="2013-11-07T00:00:00"/>
    <x v="74"/>
    <m/>
    <m/>
    <n v="1"/>
    <n v="4"/>
    <n v="0"/>
    <m/>
    <m/>
    <s v="mwamba1"/>
    <n v="5"/>
    <m/>
    <x v="91"/>
    <s v="ELI-660"/>
    <s v="ELI-661"/>
    <s v="ELI-662"/>
    <s v="ELI-6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90" firstHeaderRow="0" firstDataRow="1" firstDataCol="1" rowPageCount="1" colPageCount="1"/>
  <pivotFields count="21">
    <pivotField showAll="0" defaultSubtotal="0"/>
    <pivotField axis="axisRow" dataField="1" showAll="0" defaultSubtotal="0">
      <items count="8">
        <item x="3"/>
        <item x="4"/>
        <item x="5"/>
        <item x="7"/>
        <item x="6"/>
        <item x="2"/>
        <item x="1"/>
        <item x="0"/>
      </items>
    </pivotField>
    <pivotField numFmtId="14" showAll="0"/>
    <pivotField numFmtId="14" showAll="0"/>
    <pivotField showAll="0"/>
    <pivotField axis="axisPage" numFmtId="1" multipleItemSelectionAllowed="1" showAll="0">
      <items count="76">
        <item x="60"/>
        <item x="35"/>
        <item x="31"/>
        <item x="72"/>
        <item x="12"/>
        <item x="2"/>
        <item x="64"/>
        <item x="29"/>
        <item x="71"/>
        <item x="0"/>
        <item x="70"/>
        <item x="33"/>
        <item x="56"/>
        <item x="61"/>
        <item x="58"/>
        <item x="3"/>
        <item x="55"/>
        <item x="44"/>
        <item x="15"/>
        <item x="67"/>
        <item x="13"/>
        <item x="37"/>
        <item x="1"/>
        <item x="23"/>
        <item x="14"/>
        <item x="59"/>
        <item x="16"/>
        <item x="4"/>
        <item x="8"/>
        <item x="18"/>
        <item x="21"/>
        <item x="5"/>
        <item x="32"/>
        <item x="36"/>
        <item x="19"/>
        <item x="50"/>
        <item x="65"/>
        <item x="34"/>
        <item x="10"/>
        <item x="6"/>
        <item x="7"/>
        <item x="25"/>
        <item x="9"/>
        <item x="22"/>
        <item x="38"/>
        <item x="43"/>
        <item x="24"/>
        <item x="39"/>
        <item x="11"/>
        <item x="47"/>
        <item x="66"/>
        <item x="26"/>
        <item x="57"/>
        <item x="27"/>
        <item x="46"/>
        <item x="28"/>
        <item x="42"/>
        <item x="74"/>
        <item x="40"/>
        <item x="41"/>
        <item x="49"/>
        <item x="68"/>
        <item h="1" x="45"/>
        <item h="1" x="30"/>
        <item h="1" x="69"/>
        <item h="1" x="52"/>
        <item h="1" x="63"/>
        <item h="1" x="17"/>
        <item h="1" x="20"/>
        <item h="1" x="53"/>
        <item h="1" x="54"/>
        <item h="1" x="48"/>
        <item h="1" x="73"/>
        <item h="1" x="62"/>
        <item h="1" x="51"/>
        <item t="default"/>
      </items>
    </pivotField>
    <pivotField showAll="0"/>
    <pivotField showAll="0"/>
    <pivotField dataField="1" numFmtId="1" showAll="0"/>
    <pivotField dataField="1" numFmtId="1" showAll="0"/>
    <pivotField numFmtId="1" showAll="0"/>
    <pivotField showAll="0"/>
    <pivotField showAll="0"/>
    <pivotField showAll="0"/>
    <pivotField dataField="1" showAll="0"/>
    <pivotField showAll="0"/>
    <pivotField axis="axisRow" showAll="0" defaultSubtotal="0">
      <items count="92">
        <item x="48"/>
        <item x="47"/>
        <item x="45"/>
        <item x="46"/>
        <item x="55"/>
        <item x="61"/>
        <item x="58"/>
        <item x="50"/>
        <item x="49"/>
        <item x="52"/>
        <item x="62"/>
        <item x="57"/>
        <item x="64"/>
        <item x="59"/>
        <item x="63"/>
        <item x="51"/>
        <item x="60"/>
        <item x="54"/>
        <item x="53"/>
        <item x="66"/>
        <item x="68"/>
        <item x="70"/>
        <item x="69"/>
        <item x="73"/>
        <item x="67"/>
        <item x="74"/>
        <item x="65"/>
        <item x="56"/>
        <item x="78"/>
        <item x="79"/>
        <item x="77"/>
        <item x="76"/>
        <item x="72"/>
        <item x="80"/>
        <item x="82"/>
        <item x="75"/>
        <item x="71"/>
        <item x="85"/>
        <item x="86"/>
        <item x="81"/>
        <item x="83"/>
        <item x="84"/>
        <item x="87"/>
        <item x="41"/>
        <item x="40"/>
        <item x="37"/>
        <item x="88"/>
        <item x="89"/>
        <item x="34"/>
        <item x="25"/>
        <item x="38"/>
        <item x="35"/>
        <item x="33"/>
        <item x="31"/>
        <item x="42"/>
        <item x="39"/>
        <item x="36"/>
        <item x="90"/>
        <item x="91"/>
        <item x="13"/>
        <item x="43"/>
        <item x="27"/>
        <item x="17"/>
        <item x="16"/>
        <item x="21"/>
        <item x="20"/>
        <item x="18"/>
        <item x="28"/>
        <item x="26"/>
        <item x="15"/>
        <item x="14"/>
        <item x="24"/>
        <item x="29"/>
        <item x="30"/>
        <item x="23"/>
        <item x="22"/>
        <item x="19"/>
        <item x="32"/>
        <item x="44"/>
        <item x="9"/>
        <item x="12"/>
        <item x="11"/>
        <item x="4"/>
        <item x="2"/>
        <item x="3"/>
        <item x="5"/>
        <item x="0"/>
        <item x="1"/>
        <item x="7"/>
        <item x="10"/>
        <item x="6"/>
        <item x="8"/>
      </items>
    </pivotField>
    <pivotField showAll="0"/>
    <pivotField showAll="0"/>
    <pivotField showAll="0"/>
    <pivotField showAll="0"/>
  </pivotFields>
  <rowFields count="2">
    <field x="1"/>
    <field x="16"/>
  </rowFields>
  <rowItems count="87">
    <i>
      <x/>
    </i>
    <i r="1">
      <x v="1"/>
    </i>
    <i r="1">
      <x v="2"/>
    </i>
    <i r="1">
      <x v="3"/>
    </i>
    <i r="1">
      <x v="4"/>
    </i>
    <i r="1">
      <x v="7"/>
    </i>
    <i r="1">
      <x v="8"/>
    </i>
    <i r="1">
      <x v="17"/>
    </i>
    <i>
      <x v="1"/>
    </i>
    <i r="1">
      <x v="5"/>
    </i>
    <i r="1">
      <x v="9"/>
    </i>
    <i r="1">
      <x v="10"/>
    </i>
    <i r="1">
      <x v="11"/>
    </i>
    <i r="1">
      <x v="12"/>
    </i>
    <i r="1">
      <x v="14"/>
    </i>
    <i>
      <x v="2"/>
    </i>
    <i r="1">
      <x v="19"/>
    </i>
    <i r="1">
      <x v="20"/>
    </i>
    <i r="1">
      <x v="21"/>
    </i>
    <i r="1">
      <x v="22"/>
    </i>
    <i r="1">
      <x v="23"/>
    </i>
    <i r="1">
      <x v="24"/>
    </i>
    <i r="1">
      <x v="26"/>
    </i>
    <i>
      <x v="3"/>
    </i>
    <i r="1">
      <x v="25"/>
    </i>
    <i r="1">
      <x v="28"/>
    </i>
    <i r="1">
      <x v="29"/>
    </i>
    <i r="1">
      <x v="30"/>
    </i>
    <i r="1">
      <x v="31"/>
    </i>
    <i r="1">
      <x v="34"/>
    </i>
    <i r="1">
      <x v="35"/>
    </i>
    <i>
      <x v="4"/>
    </i>
    <i r="1">
      <x v="33"/>
    </i>
    <i r="1">
      <x v="37"/>
    </i>
    <i r="1">
      <x v="38"/>
    </i>
    <i r="1">
      <x v="40"/>
    </i>
    <i r="1">
      <x v="41"/>
    </i>
    <i r="1">
      <x v="42"/>
    </i>
    <i>
      <x v="5"/>
    </i>
    <i r="1">
      <x v="43"/>
    </i>
    <i r="1">
      <x v="44"/>
    </i>
    <i r="1">
      <x v="45"/>
    </i>
    <i r="1">
      <x v="46"/>
    </i>
    <i r="1">
      <x v="47"/>
    </i>
    <i r="1">
      <x v="48"/>
    </i>
    <i r="1">
      <x v="50"/>
    </i>
    <i r="1">
      <x v="51"/>
    </i>
    <i r="1">
      <x v="52"/>
    </i>
    <i r="1">
      <x v="53"/>
    </i>
    <i r="1">
      <x v="54"/>
    </i>
    <i r="1">
      <x v="55"/>
    </i>
    <i r="1">
      <x v="56"/>
    </i>
    <i r="1">
      <x v="58"/>
    </i>
    <i>
      <x v="6"/>
    </i>
    <i r="1">
      <x v="49"/>
    </i>
    <i r="1">
      <x v="59"/>
    </i>
    <i r="1">
      <x v="60"/>
    </i>
    <i r="1">
      <x v="61"/>
    </i>
    <i r="1">
      <x v="62"/>
    </i>
    <i r="1">
      <x v="63"/>
    </i>
    <i r="1">
      <x v="64"/>
    </i>
    <i r="1">
      <x v="65"/>
    </i>
    <i r="1">
      <x v="66"/>
    </i>
    <i r="1">
      <x v="67"/>
    </i>
    <i r="1">
      <x v="68"/>
    </i>
    <i r="1">
      <x v="69"/>
    </i>
    <i r="1">
      <x v="70"/>
    </i>
    <i r="1">
      <x v="71"/>
    </i>
    <i r="1">
      <x v="72"/>
    </i>
    <i r="1">
      <x v="73"/>
    </i>
    <i r="1">
      <x v="74"/>
    </i>
    <i r="1">
      <x v="78"/>
    </i>
    <i>
      <x v="7"/>
    </i>
    <i r="1">
      <x v="79"/>
    </i>
    <i r="1">
      <x v="80"/>
    </i>
    <i r="1">
      <x v="81"/>
    </i>
    <i r="1">
      <x v="82"/>
    </i>
    <i r="1">
      <x v="83"/>
    </i>
    <i r="1">
      <x v="84"/>
    </i>
    <i r="1">
      <x v="85"/>
    </i>
    <i r="1">
      <x v="86"/>
    </i>
    <i r="1">
      <x v="87"/>
    </i>
    <i r="1">
      <x v="88"/>
    </i>
    <i r="1">
      <x v="89"/>
    </i>
    <i r="1">
      <x v="90"/>
    </i>
    <i r="1">
      <x v="91"/>
    </i>
    <i t="grand">
      <x/>
    </i>
  </rowItems>
  <colFields count="1">
    <field x="-2"/>
  </colFields>
  <colItems count="4">
    <i>
      <x/>
    </i>
    <i i="1">
      <x v="1"/>
    </i>
    <i i="2">
      <x v="2"/>
    </i>
    <i i="3">
      <x v="3"/>
    </i>
  </colItems>
  <pageFields count="1">
    <pageField fld="5" hier="-1"/>
  </pageFields>
  <dataFields count="4">
    <dataField name="Count of yearofdetection" fld="1" subtotal="count" baseField="1" baseItem="0"/>
    <dataField name="Sum of size" fld="14" baseField="0" baseItem="0"/>
    <dataField name="Sum of males" fld="8" baseField="0" baseItem="0"/>
    <dataField name="Sum of fem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0"/>
  <sheetViews>
    <sheetView tabSelected="1" topLeftCell="A37" workbookViewId="0">
      <selection activeCell="H89" sqref="H89"/>
    </sheetView>
  </sheetViews>
  <sheetFormatPr defaultRowHeight="14.5" x14ac:dyDescent="0.35"/>
  <cols>
    <col min="1" max="1" width="12.36328125" customWidth="1"/>
    <col min="2" max="2" width="22.1796875" customWidth="1"/>
    <col min="3" max="3" width="10.1796875" bestFit="1" customWidth="1"/>
    <col min="4" max="4" width="12" customWidth="1"/>
    <col min="5" max="5" width="13.7265625" customWidth="1"/>
    <col min="6" max="7" width="4.81640625" customWidth="1"/>
    <col min="8" max="8" width="27" customWidth="1"/>
    <col min="9" max="9" width="15" customWidth="1"/>
    <col min="10" max="69" width="6.81640625" customWidth="1"/>
    <col min="70" max="70" width="10.1796875" bestFit="1" customWidth="1"/>
    <col min="71" max="147" width="6.81640625" customWidth="1"/>
    <col min="148" max="148" width="27" bestFit="1" customWidth="1"/>
    <col min="149" max="149" width="15" bestFit="1" customWidth="1"/>
  </cols>
  <sheetData>
    <row r="1" spans="1:5" x14ac:dyDescent="0.35">
      <c r="A1" s="13" t="s">
        <v>241</v>
      </c>
      <c r="B1" t="s">
        <v>313</v>
      </c>
    </row>
    <row r="3" spans="1:5" x14ac:dyDescent="0.35">
      <c r="A3" s="13" t="s">
        <v>309</v>
      </c>
      <c r="B3" t="s">
        <v>314</v>
      </c>
      <c r="C3" t="s">
        <v>315</v>
      </c>
      <c r="D3" t="s">
        <v>316</v>
      </c>
      <c r="E3" t="s">
        <v>317</v>
      </c>
    </row>
    <row r="4" spans="1:5" x14ac:dyDescent="0.35">
      <c r="A4" s="9">
        <v>2008</v>
      </c>
      <c r="B4" s="14"/>
      <c r="C4" s="14"/>
      <c r="D4" s="14"/>
      <c r="E4" s="14"/>
    </row>
    <row r="5" spans="1:5" x14ac:dyDescent="0.35">
      <c r="A5" s="15" t="s">
        <v>155</v>
      </c>
      <c r="B5" s="14">
        <v>1</v>
      </c>
      <c r="C5" s="14">
        <v>3</v>
      </c>
      <c r="D5" s="14">
        <v>1</v>
      </c>
      <c r="E5" s="14">
        <v>2</v>
      </c>
    </row>
    <row r="6" spans="1:5" x14ac:dyDescent="0.35">
      <c r="A6" s="15" t="s">
        <v>248</v>
      </c>
      <c r="B6" s="14">
        <v>1</v>
      </c>
      <c r="C6" s="14">
        <v>3</v>
      </c>
      <c r="D6" s="14">
        <v>2</v>
      </c>
      <c r="E6" s="14">
        <v>1</v>
      </c>
    </row>
    <row r="7" spans="1:5" x14ac:dyDescent="0.35">
      <c r="A7" s="15" t="s">
        <v>151</v>
      </c>
      <c r="B7" s="14">
        <v>1</v>
      </c>
      <c r="C7" s="14">
        <v>4</v>
      </c>
      <c r="D7" s="14">
        <v>2</v>
      </c>
      <c r="E7" s="14">
        <v>2</v>
      </c>
    </row>
    <row r="8" spans="1:5" x14ac:dyDescent="0.35">
      <c r="A8" s="15" t="s">
        <v>172</v>
      </c>
      <c r="B8" s="14">
        <v>1</v>
      </c>
      <c r="C8" s="14">
        <v>4</v>
      </c>
      <c r="D8" s="14">
        <v>2</v>
      </c>
      <c r="E8" s="14">
        <v>0</v>
      </c>
    </row>
    <row r="9" spans="1:5" x14ac:dyDescent="0.35">
      <c r="A9" s="15" t="s">
        <v>162</v>
      </c>
      <c r="B9" s="14">
        <v>1</v>
      </c>
      <c r="C9" s="14">
        <v>3</v>
      </c>
      <c r="D9" s="14">
        <v>2</v>
      </c>
      <c r="E9" s="14">
        <v>1</v>
      </c>
    </row>
    <row r="10" spans="1:5" x14ac:dyDescent="0.35">
      <c r="A10" s="15" t="s">
        <v>158</v>
      </c>
      <c r="B10" s="14">
        <v>1</v>
      </c>
      <c r="C10" s="14">
        <v>4</v>
      </c>
      <c r="D10" s="14">
        <v>0</v>
      </c>
      <c r="E10" s="14">
        <v>4</v>
      </c>
    </row>
    <row r="11" spans="1:5" x14ac:dyDescent="0.35">
      <c r="A11" s="15" t="s">
        <v>171</v>
      </c>
      <c r="B11" s="14">
        <v>1</v>
      </c>
      <c r="C11" s="14">
        <v>1</v>
      </c>
      <c r="D11" s="14">
        <v>0</v>
      </c>
      <c r="E11" s="14">
        <v>1</v>
      </c>
    </row>
    <row r="12" spans="1:5" x14ac:dyDescent="0.35">
      <c r="A12" s="9">
        <v>2009</v>
      </c>
      <c r="B12" s="14"/>
      <c r="C12" s="14"/>
      <c r="D12" s="14"/>
      <c r="E12" s="14"/>
    </row>
    <row r="13" spans="1:5" x14ac:dyDescent="0.35">
      <c r="A13" s="15" t="s">
        <v>177</v>
      </c>
      <c r="B13" s="14">
        <v>1</v>
      </c>
      <c r="C13" s="14">
        <v>3</v>
      </c>
      <c r="D13" s="14">
        <v>3</v>
      </c>
      <c r="E13" s="14">
        <v>0</v>
      </c>
    </row>
    <row r="14" spans="1:5" x14ac:dyDescent="0.35">
      <c r="A14" s="15" t="s">
        <v>166</v>
      </c>
      <c r="B14" s="14">
        <v>1</v>
      </c>
      <c r="C14" s="14">
        <v>2</v>
      </c>
      <c r="D14" s="14">
        <v>2</v>
      </c>
      <c r="E14" s="14">
        <v>0</v>
      </c>
    </row>
    <row r="15" spans="1:5" x14ac:dyDescent="0.35">
      <c r="A15" s="15" t="s">
        <v>180</v>
      </c>
      <c r="B15" s="14">
        <v>1</v>
      </c>
      <c r="C15" s="14">
        <v>3</v>
      </c>
      <c r="D15" s="14">
        <v>1</v>
      </c>
      <c r="E15" s="14">
        <v>2</v>
      </c>
    </row>
    <row r="16" spans="1:5" x14ac:dyDescent="0.35">
      <c r="A16" s="15" t="s">
        <v>175</v>
      </c>
      <c r="B16" s="14">
        <v>1</v>
      </c>
      <c r="C16" s="14">
        <v>1</v>
      </c>
      <c r="D16" s="14">
        <v>1</v>
      </c>
      <c r="E16" s="14">
        <v>0</v>
      </c>
    </row>
    <row r="17" spans="1:5" x14ac:dyDescent="0.35">
      <c r="A17" s="15" t="s">
        <v>187</v>
      </c>
      <c r="B17" s="14">
        <v>1</v>
      </c>
      <c r="C17" s="14">
        <v>1</v>
      </c>
      <c r="D17" s="14">
        <v>0</v>
      </c>
      <c r="E17" s="14">
        <v>1</v>
      </c>
    </row>
    <row r="18" spans="1:5" x14ac:dyDescent="0.35">
      <c r="A18" s="15" t="s">
        <v>183</v>
      </c>
      <c r="B18" s="14">
        <v>1</v>
      </c>
      <c r="C18" s="14">
        <v>4</v>
      </c>
      <c r="D18" s="14">
        <v>1</v>
      </c>
      <c r="E18" s="14">
        <v>3</v>
      </c>
    </row>
    <row r="19" spans="1:5" x14ac:dyDescent="0.35">
      <c r="A19" s="9">
        <v>2010</v>
      </c>
      <c r="B19" s="14"/>
      <c r="C19" s="14"/>
      <c r="D19" s="14"/>
      <c r="E19" s="14"/>
    </row>
    <row r="20" spans="1:5" x14ac:dyDescent="0.35">
      <c r="A20" s="15" t="s">
        <v>190</v>
      </c>
      <c r="B20" s="14">
        <v>1</v>
      </c>
      <c r="C20" s="14">
        <v>4</v>
      </c>
      <c r="D20" s="14">
        <v>1</v>
      </c>
      <c r="E20" s="14">
        <v>1</v>
      </c>
    </row>
    <row r="21" spans="1:5" x14ac:dyDescent="0.35">
      <c r="A21" s="15" t="s">
        <v>195</v>
      </c>
      <c r="B21" s="14">
        <v>1</v>
      </c>
      <c r="C21" s="14">
        <v>2</v>
      </c>
      <c r="D21" s="14">
        <v>1</v>
      </c>
      <c r="E21" s="14">
        <v>0</v>
      </c>
    </row>
    <row r="22" spans="1:5" x14ac:dyDescent="0.35">
      <c r="A22" s="15" t="s">
        <v>199</v>
      </c>
      <c r="B22" s="14">
        <v>1</v>
      </c>
      <c r="C22" s="14">
        <v>4</v>
      </c>
      <c r="D22" s="14">
        <v>3</v>
      </c>
      <c r="E22" s="14">
        <v>1</v>
      </c>
    </row>
    <row r="23" spans="1:5" x14ac:dyDescent="0.35">
      <c r="A23" s="15" t="s">
        <v>197</v>
      </c>
      <c r="B23" s="14">
        <v>1</v>
      </c>
      <c r="C23" s="14">
        <v>2</v>
      </c>
      <c r="D23" s="14">
        <v>2</v>
      </c>
      <c r="E23" s="14">
        <v>0</v>
      </c>
    </row>
    <row r="24" spans="1:5" x14ac:dyDescent="0.35">
      <c r="A24" s="15" t="s">
        <v>242</v>
      </c>
      <c r="B24" s="14">
        <v>1</v>
      </c>
      <c r="C24" s="14">
        <v>3</v>
      </c>
      <c r="D24" s="14">
        <v>0</v>
      </c>
      <c r="E24" s="14">
        <v>0</v>
      </c>
    </row>
    <row r="25" spans="1:5" x14ac:dyDescent="0.35">
      <c r="A25" s="15" t="s">
        <v>194</v>
      </c>
      <c r="B25" s="14">
        <v>1</v>
      </c>
      <c r="C25" s="14">
        <v>1</v>
      </c>
      <c r="D25" s="14">
        <v>1</v>
      </c>
      <c r="E25" s="14">
        <v>0</v>
      </c>
    </row>
    <row r="26" spans="1:5" x14ac:dyDescent="0.35">
      <c r="A26" s="15" t="s">
        <v>188</v>
      </c>
      <c r="B26" s="14">
        <v>1</v>
      </c>
      <c r="C26" s="14">
        <v>2</v>
      </c>
      <c r="D26" s="14">
        <v>0</v>
      </c>
      <c r="E26" s="14">
        <v>0</v>
      </c>
    </row>
    <row r="27" spans="1:5" x14ac:dyDescent="0.35">
      <c r="A27" s="9">
        <v>2011</v>
      </c>
      <c r="B27" s="14"/>
      <c r="C27" s="14"/>
      <c r="D27" s="14"/>
      <c r="E27" s="14"/>
    </row>
    <row r="28" spans="1:5" x14ac:dyDescent="0.35">
      <c r="A28" s="15" t="s">
        <v>207</v>
      </c>
      <c r="B28" s="14">
        <v>1</v>
      </c>
      <c r="C28" s="14">
        <v>3</v>
      </c>
      <c r="D28" s="14">
        <v>0</v>
      </c>
      <c r="E28" s="14">
        <v>1</v>
      </c>
    </row>
    <row r="29" spans="1:5" x14ac:dyDescent="0.35">
      <c r="A29" s="15" t="s">
        <v>219</v>
      </c>
      <c r="B29" s="14">
        <v>1</v>
      </c>
      <c r="C29" s="14">
        <v>4</v>
      </c>
      <c r="D29" s="14">
        <v>0</v>
      </c>
      <c r="E29" s="14">
        <v>2</v>
      </c>
    </row>
    <row r="30" spans="1:5" x14ac:dyDescent="0.35">
      <c r="A30" s="15" t="s">
        <v>223</v>
      </c>
      <c r="B30" s="14">
        <v>1</v>
      </c>
      <c r="C30" s="14">
        <v>3</v>
      </c>
      <c r="D30" s="14">
        <v>0</v>
      </c>
      <c r="E30" s="14">
        <v>1</v>
      </c>
    </row>
    <row r="31" spans="1:5" x14ac:dyDescent="0.35">
      <c r="A31" s="15" t="s">
        <v>215</v>
      </c>
      <c r="B31" s="14">
        <v>1</v>
      </c>
      <c r="C31" s="14">
        <v>4</v>
      </c>
      <c r="D31" s="14">
        <v>3</v>
      </c>
      <c r="E31" s="14">
        <v>1</v>
      </c>
    </row>
    <row r="32" spans="1:5" x14ac:dyDescent="0.35">
      <c r="A32" s="15" t="s">
        <v>212</v>
      </c>
      <c r="B32" s="14">
        <v>1</v>
      </c>
      <c r="C32" s="14">
        <v>3</v>
      </c>
      <c r="D32" s="14">
        <v>0</v>
      </c>
      <c r="E32" s="14">
        <v>2</v>
      </c>
    </row>
    <row r="33" spans="1:8" x14ac:dyDescent="0.35">
      <c r="A33" s="15" t="s">
        <v>255</v>
      </c>
      <c r="B33" s="14">
        <v>1</v>
      </c>
      <c r="C33" s="14">
        <v>1</v>
      </c>
      <c r="D33" s="14">
        <v>0</v>
      </c>
      <c r="E33" s="14">
        <v>1</v>
      </c>
    </row>
    <row r="34" spans="1:8" x14ac:dyDescent="0.35">
      <c r="A34" s="15" t="s">
        <v>210</v>
      </c>
      <c r="B34" s="14">
        <v>1</v>
      </c>
      <c r="C34" s="14">
        <v>2</v>
      </c>
      <c r="D34" s="14">
        <v>0</v>
      </c>
      <c r="E34" s="14">
        <v>1</v>
      </c>
    </row>
    <row r="35" spans="1:8" x14ac:dyDescent="0.35">
      <c r="A35" s="9">
        <v>2012</v>
      </c>
      <c r="B35" s="14"/>
      <c r="C35" s="14"/>
      <c r="D35" s="14"/>
      <c r="E35" s="14"/>
    </row>
    <row r="36" spans="1:8" x14ac:dyDescent="0.35">
      <c r="A36" s="15" t="s">
        <v>226</v>
      </c>
      <c r="B36" s="14">
        <v>1</v>
      </c>
      <c r="C36" s="14">
        <v>2</v>
      </c>
      <c r="D36" s="14">
        <v>1</v>
      </c>
      <c r="E36" s="14">
        <v>1</v>
      </c>
    </row>
    <row r="37" spans="1:8" x14ac:dyDescent="0.35">
      <c r="A37" s="15" t="s">
        <v>234</v>
      </c>
      <c r="B37" s="14">
        <v>1</v>
      </c>
      <c r="C37" s="14">
        <v>1</v>
      </c>
      <c r="D37" s="14">
        <v>0</v>
      </c>
      <c r="E37" s="14">
        <v>1</v>
      </c>
    </row>
    <row r="38" spans="1:8" x14ac:dyDescent="0.35">
      <c r="A38" s="15" t="s">
        <v>235</v>
      </c>
      <c r="B38" s="14">
        <v>1</v>
      </c>
      <c r="C38" s="14">
        <v>3</v>
      </c>
      <c r="D38" s="14">
        <v>0</v>
      </c>
      <c r="E38" s="14">
        <v>0</v>
      </c>
    </row>
    <row r="39" spans="1:8" x14ac:dyDescent="0.35">
      <c r="A39" s="15" t="s">
        <v>231</v>
      </c>
      <c r="B39" s="14">
        <v>1</v>
      </c>
      <c r="C39" s="14">
        <v>2</v>
      </c>
      <c r="D39" s="14">
        <v>2</v>
      </c>
      <c r="E39" s="14">
        <v>0</v>
      </c>
    </row>
    <row r="40" spans="1:8" x14ac:dyDescent="0.35">
      <c r="A40" s="15" t="s">
        <v>233</v>
      </c>
      <c r="B40" s="14">
        <v>1</v>
      </c>
      <c r="C40" s="14">
        <v>1</v>
      </c>
      <c r="D40" s="14">
        <v>1</v>
      </c>
      <c r="E40" s="14">
        <v>0</v>
      </c>
    </row>
    <row r="41" spans="1:8" x14ac:dyDescent="0.35">
      <c r="A41" s="15" t="s">
        <v>238</v>
      </c>
      <c r="B41" s="14">
        <v>1</v>
      </c>
      <c r="C41" s="14">
        <v>3</v>
      </c>
      <c r="D41" s="14">
        <v>1</v>
      </c>
      <c r="E41" s="14">
        <v>2</v>
      </c>
      <c r="F41">
        <f>SUM(D5:D42)</f>
        <v>33</v>
      </c>
      <c r="G41">
        <f>SUM(E5:E42)</f>
        <v>32</v>
      </c>
      <c r="H41">
        <f>SUM(C5:C41)</f>
        <v>86</v>
      </c>
    </row>
    <row r="42" spans="1:8" x14ac:dyDescent="0.35">
      <c r="A42" s="9">
        <v>2013</v>
      </c>
      <c r="B42" s="14"/>
      <c r="C42" s="14"/>
      <c r="D42" s="14"/>
      <c r="E42" s="14"/>
    </row>
    <row r="43" spans="1:8" x14ac:dyDescent="0.35">
      <c r="A43" s="15" t="s">
        <v>133</v>
      </c>
      <c r="B43" s="14">
        <v>1</v>
      </c>
      <c r="C43" s="14">
        <v>5</v>
      </c>
      <c r="D43" s="14">
        <v>1</v>
      </c>
      <c r="E43" s="14">
        <v>3</v>
      </c>
    </row>
    <row r="44" spans="1:8" x14ac:dyDescent="0.35">
      <c r="A44" s="15" t="s">
        <v>131</v>
      </c>
      <c r="B44" s="14">
        <v>1</v>
      </c>
      <c r="C44" s="14">
        <v>2</v>
      </c>
      <c r="D44" s="14">
        <v>1</v>
      </c>
      <c r="E44" s="14">
        <v>1</v>
      </c>
    </row>
    <row r="45" spans="1:8" x14ac:dyDescent="0.35">
      <c r="A45" s="15" t="s">
        <v>120</v>
      </c>
      <c r="B45" s="14">
        <v>1</v>
      </c>
      <c r="C45" s="14">
        <v>3</v>
      </c>
      <c r="D45" s="14">
        <v>0</v>
      </c>
      <c r="E45" s="14">
        <v>2</v>
      </c>
    </row>
    <row r="46" spans="1:8" x14ac:dyDescent="0.35">
      <c r="A46" s="15" t="s">
        <v>257</v>
      </c>
      <c r="B46" s="14">
        <v>1</v>
      </c>
      <c r="C46" s="14">
        <v>4</v>
      </c>
      <c r="D46" s="14">
        <v>2</v>
      </c>
      <c r="E46" s="14">
        <v>1</v>
      </c>
    </row>
    <row r="47" spans="1:8" x14ac:dyDescent="0.35">
      <c r="A47" s="15" t="s">
        <v>261</v>
      </c>
      <c r="B47" s="14">
        <v>1</v>
      </c>
      <c r="C47" s="14">
        <v>3</v>
      </c>
      <c r="D47" s="14">
        <v>0</v>
      </c>
      <c r="E47" s="14">
        <v>3</v>
      </c>
    </row>
    <row r="48" spans="1:8" x14ac:dyDescent="0.35">
      <c r="A48" s="15" t="s">
        <v>115</v>
      </c>
      <c r="B48" s="14">
        <v>1</v>
      </c>
      <c r="C48" s="14">
        <v>2</v>
      </c>
      <c r="D48" s="14">
        <v>0</v>
      </c>
      <c r="E48" s="14">
        <v>0</v>
      </c>
    </row>
    <row r="49" spans="1:5" x14ac:dyDescent="0.35">
      <c r="A49" s="15" t="s">
        <v>123</v>
      </c>
      <c r="B49" s="14">
        <v>1</v>
      </c>
      <c r="C49" s="14">
        <v>3</v>
      </c>
      <c r="D49" s="14">
        <v>2</v>
      </c>
      <c r="E49" s="14">
        <v>1</v>
      </c>
    </row>
    <row r="50" spans="1:5" x14ac:dyDescent="0.35">
      <c r="A50" s="15" t="s">
        <v>117</v>
      </c>
      <c r="B50" s="14">
        <v>1</v>
      </c>
      <c r="C50" s="14">
        <v>2</v>
      </c>
      <c r="D50" s="14">
        <v>0</v>
      </c>
      <c r="E50" s="14">
        <v>2</v>
      </c>
    </row>
    <row r="51" spans="1:5" x14ac:dyDescent="0.35">
      <c r="A51" s="15" t="s">
        <v>112</v>
      </c>
      <c r="B51" s="14">
        <v>1</v>
      </c>
      <c r="C51" s="14">
        <v>3</v>
      </c>
      <c r="D51" s="14">
        <v>2</v>
      </c>
      <c r="E51" s="14">
        <v>1</v>
      </c>
    </row>
    <row r="52" spans="1:5" x14ac:dyDescent="0.35">
      <c r="A52" s="15" t="s">
        <v>106</v>
      </c>
      <c r="B52" s="14">
        <v>1</v>
      </c>
      <c r="C52" s="14">
        <v>3</v>
      </c>
      <c r="D52" s="14">
        <v>0</v>
      </c>
      <c r="E52" s="14">
        <v>1</v>
      </c>
    </row>
    <row r="53" spans="1:5" x14ac:dyDescent="0.35">
      <c r="A53" s="15" t="s">
        <v>138</v>
      </c>
      <c r="B53" s="14">
        <v>1</v>
      </c>
      <c r="C53" s="14">
        <v>2</v>
      </c>
      <c r="D53" s="14">
        <v>0</v>
      </c>
      <c r="E53" s="14">
        <v>1</v>
      </c>
    </row>
    <row r="54" spans="1:5" x14ac:dyDescent="0.35">
      <c r="A54" s="15" t="s">
        <v>126</v>
      </c>
      <c r="B54" s="14">
        <v>1</v>
      </c>
      <c r="C54" s="14">
        <v>5</v>
      </c>
      <c r="D54" s="14">
        <v>0</v>
      </c>
      <c r="E54" s="14">
        <v>0</v>
      </c>
    </row>
    <row r="55" spans="1:5" x14ac:dyDescent="0.35">
      <c r="A55" s="15" t="s">
        <v>119</v>
      </c>
      <c r="B55" s="14">
        <v>1</v>
      </c>
      <c r="C55" s="14">
        <v>1</v>
      </c>
      <c r="D55" s="14">
        <v>1</v>
      </c>
      <c r="E55" s="14">
        <v>0</v>
      </c>
    </row>
    <row r="56" spans="1:5" x14ac:dyDescent="0.35">
      <c r="A56" s="15" t="s">
        <v>265</v>
      </c>
      <c r="B56" s="14">
        <v>1</v>
      </c>
      <c r="C56" s="14">
        <v>5</v>
      </c>
      <c r="D56" s="14">
        <v>1</v>
      </c>
      <c r="E56" s="14">
        <v>4</v>
      </c>
    </row>
    <row r="57" spans="1:5" x14ac:dyDescent="0.35">
      <c r="A57" s="9">
        <v>2014</v>
      </c>
      <c r="B57" s="14"/>
      <c r="C57" s="14"/>
      <c r="D57" s="14"/>
      <c r="E57" s="14"/>
    </row>
    <row r="58" spans="1:5" x14ac:dyDescent="0.35">
      <c r="A58" s="15" t="s">
        <v>82</v>
      </c>
      <c r="B58" s="14">
        <v>1</v>
      </c>
      <c r="C58" s="14">
        <v>3</v>
      </c>
      <c r="D58" s="14">
        <v>1</v>
      </c>
      <c r="E58" s="14">
        <v>2</v>
      </c>
    </row>
    <row r="59" spans="1:5" x14ac:dyDescent="0.35">
      <c r="A59" s="15" t="s">
        <v>56</v>
      </c>
      <c r="B59" s="14">
        <v>1</v>
      </c>
      <c r="C59" s="14">
        <v>1</v>
      </c>
      <c r="D59" s="14">
        <v>0</v>
      </c>
      <c r="E59" s="14">
        <v>0</v>
      </c>
    </row>
    <row r="60" spans="1:5" x14ac:dyDescent="0.35">
      <c r="A60" s="15" t="s">
        <v>142</v>
      </c>
      <c r="B60" s="14">
        <v>1</v>
      </c>
      <c r="C60" s="14">
        <v>1</v>
      </c>
      <c r="D60" s="14">
        <v>0</v>
      </c>
      <c r="E60" s="14">
        <v>1</v>
      </c>
    </row>
    <row r="61" spans="1:5" x14ac:dyDescent="0.35">
      <c r="A61" s="15" t="s">
        <v>86</v>
      </c>
      <c r="B61" s="14">
        <v>1</v>
      </c>
      <c r="C61" s="14">
        <v>4</v>
      </c>
      <c r="D61" s="14">
        <v>0</v>
      </c>
      <c r="E61" s="14">
        <v>4</v>
      </c>
    </row>
    <row r="62" spans="1:5" x14ac:dyDescent="0.35">
      <c r="A62" s="15" t="s">
        <v>63</v>
      </c>
      <c r="B62" s="14">
        <v>1</v>
      </c>
      <c r="C62" s="14">
        <v>4</v>
      </c>
      <c r="D62" s="14">
        <v>3</v>
      </c>
      <c r="E62" s="14">
        <v>1</v>
      </c>
    </row>
    <row r="63" spans="1:5" x14ac:dyDescent="0.35">
      <c r="A63" s="15" t="s">
        <v>61</v>
      </c>
      <c r="B63" s="14">
        <v>1</v>
      </c>
      <c r="C63" s="14">
        <v>2</v>
      </c>
      <c r="D63" s="14">
        <v>2</v>
      </c>
      <c r="E63" s="14">
        <v>0</v>
      </c>
    </row>
    <row r="64" spans="1:5" x14ac:dyDescent="0.35">
      <c r="A64" s="15" t="s">
        <v>71</v>
      </c>
      <c r="B64" s="14">
        <v>1</v>
      </c>
      <c r="C64" s="14">
        <v>1</v>
      </c>
      <c r="D64" s="14">
        <v>1</v>
      </c>
      <c r="E64" s="14">
        <v>0</v>
      </c>
    </row>
    <row r="65" spans="1:5" x14ac:dyDescent="0.35">
      <c r="A65" s="15" t="s">
        <v>70</v>
      </c>
      <c r="B65" s="14">
        <v>1</v>
      </c>
      <c r="C65" s="14">
        <v>1</v>
      </c>
      <c r="D65" s="14">
        <v>0</v>
      </c>
      <c r="E65" s="14">
        <v>1</v>
      </c>
    </row>
    <row r="66" spans="1:5" x14ac:dyDescent="0.35">
      <c r="A66" s="15" t="s">
        <v>67</v>
      </c>
      <c r="B66" s="14">
        <v>1</v>
      </c>
      <c r="C66" s="14">
        <v>2</v>
      </c>
      <c r="D66" s="14">
        <v>0</v>
      </c>
      <c r="E66" s="14">
        <v>0</v>
      </c>
    </row>
    <row r="67" spans="1:5" x14ac:dyDescent="0.35">
      <c r="A67" s="15" t="s">
        <v>99</v>
      </c>
      <c r="B67" s="14">
        <v>1</v>
      </c>
      <c r="C67" s="14">
        <v>2</v>
      </c>
      <c r="D67" s="14">
        <v>1</v>
      </c>
      <c r="E67" s="14">
        <v>1</v>
      </c>
    </row>
    <row r="68" spans="1:5" x14ac:dyDescent="0.35">
      <c r="A68" s="15" t="s">
        <v>85</v>
      </c>
      <c r="B68" s="14">
        <v>1</v>
      </c>
      <c r="C68" s="14">
        <v>1</v>
      </c>
      <c r="D68" s="14">
        <v>0</v>
      </c>
      <c r="E68" s="14">
        <v>1</v>
      </c>
    </row>
    <row r="69" spans="1:5" x14ac:dyDescent="0.35">
      <c r="A69" s="15" t="s">
        <v>59</v>
      </c>
      <c r="B69" s="14">
        <v>1</v>
      </c>
      <c r="C69" s="14">
        <v>2</v>
      </c>
      <c r="D69" s="14">
        <v>0</v>
      </c>
      <c r="E69" s="14">
        <v>2</v>
      </c>
    </row>
    <row r="70" spans="1:5" x14ac:dyDescent="0.35">
      <c r="A70" s="15" t="s">
        <v>57</v>
      </c>
      <c r="B70" s="14">
        <v>1</v>
      </c>
      <c r="C70" s="14">
        <v>2</v>
      </c>
      <c r="D70" s="14">
        <v>0</v>
      </c>
      <c r="E70" s="14">
        <v>0</v>
      </c>
    </row>
    <row r="71" spans="1:5" x14ac:dyDescent="0.35">
      <c r="A71" s="15" t="s">
        <v>79</v>
      </c>
      <c r="B71" s="14">
        <v>1</v>
      </c>
      <c r="C71" s="14">
        <v>3</v>
      </c>
      <c r="D71" s="14">
        <v>1</v>
      </c>
      <c r="E71" s="14">
        <v>1</v>
      </c>
    </row>
    <row r="72" spans="1:5" x14ac:dyDescent="0.35">
      <c r="A72" s="15" t="s">
        <v>101</v>
      </c>
      <c r="B72" s="14">
        <v>1</v>
      </c>
      <c r="C72" s="14">
        <v>3</v>
      </c>
      <c r="D72" s="14">
        <v>0</v>
      </c>
      <c r="E72" s="14">
        <v>0</v>
      </c>
    </row>
    <row r="73" spans="1:5" x14ac:dyDescent="0.35">
      <c r="A73" s="15" t="s">
        <v>104</v>
      </c>
      <c r="B73" s="14">
        <v>1</v>
      </c>
      <c r="C73" s="14">
        <v>2</v>
      </c>
      <c r="D73" s="14">
        <v>0</v>
      </c>
      <c r="E73" s="14">
        <v>0</v>
      </c>
    </row>
    <row r="74" spans="1:5" x14ac:dyDescent="0.35">
      <c r="A74" s="15" t="s">
        <v>74</v>
      </c>
      <c r="B74" s="14">
        <v>1</v>
      </c>
      <c r="C74" s="14">
        <v>5</v>
      </c>
      <c r="D74" s="14">
        <v>0</v>
      </c>
      <c r="E74" s="14">
        <v>5</v>
      </c>
    </row>
    <row r="75" spans="1:5" x14ac:dyDescent="0.35">
      <c r="A75" s="15" t="s">
        <v>143</v>
      </c>
      <c r="B75" s="14">
        <v>1</v>
      </c>
      <c r="C75" s="14">
        <v>1</v>
      </c>
      <c r="D75" s="14">
        <v>1</v>
      </c>
      <c r="E75" s="14">
        <v>0</v>
      </c>
    </row>
    <row r="76" spans="1:5" x14ac:dyDescent="0.35">
      <c r="A76" s="9">
        <v>2015</v>
      </c>
      <c r="B76" s="14"/>
      <c r="C76" s="14"/>
      <c r="D76" s="14"/>
      <c r="E76" s="14"/>
    </row>
    <row r="77" spans="1:5" x14ac:dyDescent="0.35">
      <c r="A77" s="15" t="s">
        <v>39</v>
      </c>
      <c r="B77" s="14">
        <v>1</v>
      </c>
      <c r="C77" s="14">
        <v>4</v>
      </c>
      <c r="D77" s="14">
        <v>3</v>
      </c>
      <c r="E77" s="14">
        <v>1</v>
      </c>
    </row>
    <row r="78" spans="1:5" x14ac:dyDescent="0.35">
      <c r="A78" s="15" t="s">
        <v>49</v>
      </c>
      <c r="B78" s="14">
        <v>1</v>
      </c>
      <c r="C78" s="14">
        <v>3</v>
      </c>
      <c r="D78" s="14">
        <v>2</v>
      </c>
      <c r="E78" s="14">
        <v>1</v>
      </c>
    </row>
    <row r="79" spans="1:5" x14ac:dyDescent="0.35">
      <c r="A79" s="15" t="s">
        <v>46</v>
      </c>
      <c r="B79" s="14">
        <v>1</v>
      </c>
      <c r="C79" s="14">
        <v>2</v>
      </c>
      <c r="D79" s="14">
        <v>2</v>
      </c>
      <c r="E79" s="14">
        <v>0</v>
      </c>
    </row>
    <row r="80" spans="1:5" x14ac:dyDescent="0.35">
      <c r="A80" s="15" t="s">
        <v>21</v>
      </c>
      <c r="B80" s="14">
        <v>1</v>
      </c>
      <c r="C80" s="14">
        <v>3</v>
      </c>
      <c r="D80" s="14">
        <v>2</v>
      </c>
      <c r="E80" s="14">
        <v>1</v>
      </c>
    </row>
    <row r="81" spans="1:7" x14ac:dyDescent="0.35">
      <c r="A81" s="15" t="s">
        <v>16</v>
      </c>
      <c r="B81" s="14">
        <v>1</v>
      </c>
      <c r="C81" s="14">
        <v>3</v>
      </c>
      <c r="D81" s="14">
        <v>2</v>
      </c>
      <c r="E81" s="14">
        <v>1</v>
      </c>
    </row>
    <row r="82" spans="1:7" x14ac:dyDescent="0.35">
      <c r="A82" s="15" t="s">
        <v>19</v>
      </c>
      <c r="B82" s="14">
        <v>1</v>
      </c>
      <c r="C82" s="14">
        <v>2</v>
      </c>
      <c r="D82" s="14">
        <v>0</v>
      </c>
      <c r="E82" s="14">
        <v>2</v>
      </c>
    </row>
    <row r="83" spans="1:7" x14ac:dyDescent="0.35">
      <c r="A83" s="15" t="s">
        <v>26</v>
      </c>
      <c r="B83" s="14">
        <v>1</v>
      </c>
      <c r="C83" s="14">
        <v>3</v>
      </c>
      <c r="D83" s="14">
        <v>0</v>
      </c>
      <c r="E83" s="14">
        <v>0</v>
      </c>
    </row>
    <row r="84" spans="1:7" x14ac:dyDescent="0.35">
      <c r="A84" s="15" t="s">
        <v>10</v>
      </c>
      <c r="B84" s="14">
        <v>1</v>
      </c>
      <c r="C84" s="14">
        <v>4</v>
      </c>
      <c r="D84" s="14">
        <v>2</v>
      </c>
      <c r="E84" s="14">
        <v>0</v>
      </c>
    </row>
    <row r="85" spans="1:7" x14ac:dyDescent="0.35">
      <c r="A85" s="15" t="s">
        <v>14</v>
      </c>
      <c r="B85" s="14">
        <v>1</v>
      </c>
      <c r="C85" s="14">
        <v>2</v>
      </c>
      <c r="D85" s="14">
        <v>1</v>
      </c>
      <c r="E85" s="14">
        <v>1</v>
      </c>
    </row>
    <row r="86" spans="1:7" x14ac:dyDescent="0.35">
      <c r="A86" s="15" t="s">
        <v>34</v>
      </c>
      <c r="B86" s="14">
        <v>1</v>
      </c>
      <c r="C86" s="14">
        <v>2</v>
      </c>
      <c r="D86" s="14">
        <v>1</v>
      </c>
      <c r="E86" s="14">
        <v>1</v>
      </c>
    </row>
    <row r="87" spans="1:7" x14ac:dyDescent="0.35">
      <c r="A87" s="15" t="s">
        <v>43</v>
      </c>
      <c r="B87" s="14">
        <v>1</v>
      </c>
      <c r="C87" s="14">
        <v>3</v>
      </c>
      <c r="D87" s="14">
        <v>1</v>
      </c>
      <c r="E87" s="14">
        <v>1</v>
      </c>
    </row>
    <row r="88" spans="1:7" x14ac:dyDescent="0.35">
      <c r="A88" s="15" t="s">
        <v>30</v>
      </c>
      <c r="B88" s="14">
        <v>1</v>
      </c>
      <c r="C88" s="14">
        <v>3</v>
      </c>
      <c r="D88" s="14">
        <v>0</v>
      </c>
      <c r="E88" s="14">
        <v>3</v>
      </c>
    </row>
    <row r="89" spans="1:7" x14ac:dyDescent="0.35">
      <c r="A89" s="15" t="s">
        <v>36</v>
      </c>
      <c r="B89" s="14">
        <v>1</v>
      </c>
      <c r="C89" s="14">
        <v>2</v>
      </c>
      <c r="D89" s="14">
        <v>1</v>
      </c>
      <c r="E89" s="14">
        <v>1</v>
      </c>
      <c r="F89">
        <f>SUM(D43:D89)</f>
        <v>37</v>
      </c>
      <c r="G89">
        <f>SUM(E43:E89)</f>
        <v>52</v>
      </c>
    </row>
    <row r="90" spans="1:7" x14ac:dyDescent="0.35">
      <c r="A90" s="9" t="s">
        <v>310</v>
      </c>
      <c r="B90" s="14">
        <v>78</v>
      </c>
      <c r="C90" s="14">
        <v>205</v>
      </c>
      <c r="D90" s="14">
        <v>70</v>
      </c>
      <c r="E90" s="14">
        <v>84</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U93"/>
  <sheetViews>
    <sheetView workbookViewId="0">
      <selection activeCell="F86" sqref="F86"/>
    </sheetView>
  </sheetViews>
  <sheetFormatPr defaultRowHeight="14.5" x14ac:dyDescent="0.35"/>
  <cols>
    <col min="2" max="2" width="14.08984375" bestFit="1" customWidth="1"/>
    <col min="3" max="3" width="13.26953125" style="1" customWidth="1"/>
    <col min="4" max="4" width="21.90625" style="1" bestFit="1" customWidth="1"/>
    <col min="5" max="5" width="21.54296875" style="2" bestFit="1" customWidth="1"/>
    <col min="6" max="6" width="21.54296875" style="5" customWidth="1"/>
    <col min="8" max="8" width="10.453125" style="1" bestFit="1" customWidth="1"/>
    <col min="9" max="11" width="8.7265625" style="4"/>
    <col min="14" max="14" width="10.81640625" customWidth="1"/>
  </cols>
  <sheetData>
    <row r="1" spans="1:21" x14ac:dyDescent="0.35">
      <c r="A1" t="s">
        <v>311</v>
      </c>
      <c r="B1" t="s">
        <v>312</v>
      </c>
      <c r="C1" s="1" t="s">
        <v>0</v>
      </c>
      <c r="D1" s="1" t="s">
        <v>25</v>
      </c>
      <c r="E1" s="2" t="s">
        <v>24</v>
      </c>
      <c r="F1" s="5" t="s">
        <v>241</v>
      </c>
      <c r="G1" t="s">
        <v>1</v>
      </c>
      <c r="H1" s="2" t="s">
        <v>280</v>
      </c>
      <c r="I1" s="4" t="s">
        <v>4</v>
      </c>
      <c r="J1" s="4" t="s">
        <v>5</v>
      </c>
      <c r="K1" s="4" t="s">
        <v>6</v>
      </c>
      <c r="L1" t="s">
        <v>2</v>
      </c>
      <c r="M1" s="4" t="s">
        <v>271</v>
      </c>
      <c r="N1" t="s">
        <v>7</v>
      </c>
      <c r="O1" t="s">
        <v>3</v>
      </c>
      <c r="P1" t="s">
        <v>273</v>
      </c>
      <c r="Q1" t="s">
        <v>90</v>
      </c>
      <c r="R1" t="s">
        <v>91</v>
      </c>
      <c r="S1" t="s">
        <v>92</v>
      </c>
      <c r="T1" t="s">
        <v>93</v>
      </c>
      <c r="U1" t="s">
        <v>94</v>
      </c>
    </row>
    <row r="2" spans="1:21" x14ac:dyDescent="0.35">
      <c r="A2">
        <f t="shared" ref="A2:B65" si="0">YEAR(C2)</f>
        <v>2015</v>
      </c>
      <c r="B2">
        <f>YEAR(D2)</f>
        <v>2015</v>
      </c>
      <c r="C2" s="1">
        <v>42231</v>
      </c>
      <c r="D2" s="1">
        <v>42269</v>
      </c>
      <c r="F2" s="5">
        <f>D2-C2</f>
        <v>38</v>
      </c>
      <c r="I2" s="4">
        <v>2</v>
      </c>
      <c r="J2" s="4">
        <v>0</v>
      </c>
      <c r="K2" s="4">
        <v>0</v>
      </c>
      <c r="N2" t="s">
        <v>8</v>
      </c>
      <c r="O2">
        <v>4</v>
      </c>
      <c r="Q2" t="s">
        <v>10</v>
      </c>
      <c r="R2" t="s">
        <v>11</v>
      </c>
      <c r="S2" t="s">
        <v>12</v>
      </c>
      <c r="T2" t="s">
        <v>13</v>
      </c>
    </row>
    <row r="3" spans="1:21" x14ac:dyDescent="0.35">
      <c r="A3">
        <f t="shared" si="0"/>
        <v>2015</v>
      </c>
      <c r="B3">
        <f t="shared" si="0"/>
        <v>2015</v>
      </c>
      <c r="C3" s="1">
        <v>42200</v>
      </c>
      <c r="D3" s="1">
        <v>42269</v>
      </c>
      <c r="F3" s="5">
        <f t="shared" ref="F3:F57" si="1">D3-C3</f>
        <v>69</v>
      </c>
      <c r="I3" s="4">
        <v>1</v>
      </c>
      <c r="J3" s="4">
        <v>1</v>
      </c>
      <c r="K3" s="4">
        <v>0</v>
      </c>
      <c r="N3" t="s">
        <v>8</v>
      </c>
      <c r="O3">
        <v>2</v>
      </c>
      <c r="Q3" t="s">
        <v>14</v>
      </c>
      <c r="R3" t="s">
        <v>15</v>
      </c>
    </row>
    <row r="4" spans="1:21" x14ac:dyDescent="0.35">
      <c r="A4">
        <f t="shared" si="0"/>
        <v>2015</v>
      </c>
      <c r="B4">
        <f t="shared" si="0"/>
        <v>2015</v>
      </c>
      <c r="C4" s="1">
        <v>42186</v>
      </c>
      <c r="D4" s="1">
        <v>42213</v>
      </c>
      <c r="E4" s="3">
        <v>42227</v>
      </c>
      <c r="F4" s="5">
        <f t="shared" si="1"/>
        <v>27</v>
      </c>
      <c r="I4" s="4">
        <v>2</v>
      </c>
      <c r="J4" s="4">
        <v>1</v>
      </c>
      <c r="K4" s="4">
        <v>0</v>
      </c>
      <c r="N4" t="s">
        <v>9</v>
      </c>
      <c r="O4">
        <v>3</v>
      </c>
      <c r="Q4" t="s">
        <v>16</v>
      </c>
      <c r="R4" t="s">
        <v>17</v>
      </c>
      <c r="S4" t="s">
        <v>18</v>
      </c>
    </row>
    <row r="5" spans="1:21" x14ac:dyDescent="0.35">
      <c r="A5">
        <f t="shared" si="0"/>
        <v>2015</v>
      </c>
      <c r="B5">
        <f t="shared" si="0"/>
        <v>2015</v>
      </c>
      <c r="C5" s="1">
        <v>42170</v>
      </c>
      <c r="D5" s="1">
        <v>42227</v>
      </c>
      <c r="F5" s="5">
        <f t="shared" si="1"/>
        <v>57</v>
      </c>
      <c r="I5" s="4">
        <v>0</v>
      </c>
      <c r="J5" s="4">
        <v>2</v>
      </c>
      <c r="K5" s="4">
        <v>0</v>
      </c>
      <c r="L5" t="s">
        <v>160</v>
      </c>
      <c r="N5" t="s">
        <v>9</v>
      </c>
      <c r="O5">
        <v>2</v>
      </c>
      <c r="Q5" t="s">
        <v>19</v>
      </c>
      <c r="R5" t="s">
        <v>20</v>
      </c>
    </row>
    <row r="6" spans="1:21" x14ac:dyDescent="0.35">
      <c r="A6">
        <f t="shared" si="0"/>
        <v>2015</v>
      </c>
      <c r="B6">
        <f t="shared" si="0"/>
        <v>2015</v>
      </c>
      <c r="C6" s="1">
        <v>42156</v>
      </c>
      <c r="D6" s="1">
        <v>42213</v>
      </c>
      <c r="E6" s="3">
        <v>42227</v>
      </c>
      <c r="F6" s="5">
        <f t="shared" si="1"/>
        <v>57</v>
      </c>
      <c r="I6" s="4">
        <v>2</v>
      </c>
      <c r="J6" s="4">
        <v>1</v>
      </c>
      <c r="K6" s="4">
        <v>0</v>
      </c>
      <c r="N6" t="s">
        <v>9</v>
      </c>
      <c r="O6">
        <v>3</v>
      </c>
      <c r="Q6" t="s">
        <v>21</v>
      </c>
      <c r="R6" t="s">
        <v>22</v>
      </c>
      <c r="S6" t="s">
        <v>23</v>
      </c>
    </row>
    <row r="7" spans="1:21" x14ac:dyDescent="0.35">
      <c r="A7">
        <f t="shared" si="0"/>
        <v>2015</v>
      </c>
      <c r="B7">
        <f t="shared" si="0"/>
        <v>2015</v>
      </c>
      <c r="C7" s="1">
        <v>42156</v>
      </c>
      <c r="D7" s="1">
        <v>42241</v>
      </c>
      <c r="F7" s="5">
        <f t="shared" si="1"/>
        <v>85</v>
      </c>
      <c r="I7" s="4">
        <v>0</v>
      </c>
      <c r="J7" s="4">
        <v>0</v>
      </c>
      <c r="K7" s="4">
        <v>3</v>
      </c>
      <c r="L7" t="s">
        <v>202</v>
      </c>
      <c r="N7" t="s">
        <v>8</v>
      </c>
      <c r="O7">
        <v>3</v>
      </c>
      <c r="Q7" t="s">
        <v>26</v>
      </c>
      <c r="R7" t="s">
        <v>27</v>
      </c>
      <c r="S7" t="s">
        <v>28</v>
      </c>
    </row>
    <row r="8" spans="1:21" x14ac:dyDescent="0.35">
      <c r="A8">
        <f t="shared" si="0"/>
        <v>2015</v>
      </c>
      <c r="B8">
        <f t="shared" si="0"/>
        <v>2015</v>
      </c>
      <c r="C8" s="1">
        <v>42139</v>
      </c>
      <c r="D8" s="1">
        <v>42231</v>
      </c>
      <c r="F8" s="5">
        <f t="shared" si="1"/>
        <v>92</v>
      </c>
      <c r="I8" s="4">
        <v>0</v>
      </c>
      <c r="J8" s="4">
        <v>3</v>
      </c>
      <c r="K8" s="4">
        <v>0</v>
      </c>
      <c r="N8" t="s">
        <v>29</v>
      </c>
      <c r="O8">
        <v>3</v>
      </c>
      <c r="Q8" t="s">
        <v>30</v>
      </c>
      <c r="R8" t="s">
        <v>31</v>
      </c>
      <c r="S8" t="s">
        <v>32</v>
      </c>
    </row>
    <row r="9" spans="1:21" x14ac:dyDescent="0.35">
      <c r="A9">
        <f t="shared" si="0"/>
        <v>2015</v>
      </c>
      <c r="B9">
        <f t="shared" si="0"/>
        <v>2015</v>
      </c>
      <c r="C9" s="1">
        <v>42095</v>
      </c>
      <c r="D9" s="1">
        <v>42225</v>
      </c>
      <c r="F9" s="5">
        <f t="shared" si="1"/>
        <v>130</v>
      </c>
      <c r="I9" s="4">
        <v>1</v>
      </c>
      <c r="J9" s="4">
        <v>1</v>
      </c>
      <c r="K9" s="4">
        <v>0</v>
      </c>
      <c r="L9" t="s">
        <v>284</v>
      </c>
      <c r="N9" t="s">
        <v>33</v>
      </c>
      <c r="O9">
        <v>2</v>
      </c>
      <c r="Q9" t="s">
        <v>34</v>
      </c>
      <c r="R9" t="s">
        <v>35</v>
      </c>
    </row>
    <row r="10" spans="1:21" x14ac:dyDescent="0.35">
      <c r="A10">
        <f t="shared" si="0"/>
        <v>2015</v>
      </c>
      <c r="B10">
        <f t="shared" si="0"/>
        <v>2015</v>
      </c>
      <c r="C10" s="1">
        <v>42095</v>
      </c>
      <c r="D10" s="2">
        <v>42231</v>
      </c>
      <c r="F10" s="5">
        <f t="shared" si="1"/>
        <v>136</v>
      </c>
      <c r="I10" s="4">
        <v>1</v>
      </c>
      <c r="J10" s="4">
        <v>1</v>
      </c>
      <c r="K10" s="4">
        <v>0</v>
      </c>
      <c r="N10" t="s">
        <v>29</v>
      </c>
      <c r="O10">
        <v>2</v>
      </c>
      <c r="Q10" t="s">
        <v>36</v>
      </c>
      <c r="R10" t="s">
        <v>37</v>
      </c>
    </row>
    <row r="11" spans="1:21" x14ac:dyDescent="0.35">
      <c r="A11">
        <f t="shared" si="0"/>
        <v>2015</v>
      </c>
      <c r="B11">
        <f t="shared" si="0"/>
        <v>2015</v>
      </c>
      <c r="C11" s="1">
        <v>42078</v>
      </c>
      <c r="D11" s="1">
        <v>42164</v>
      </c>
      <c r="F11" s="5">
        <f t="shared" si="1"/>
        <v>86</v>
      </c>
      <c r="I11" s="4">
        <v>3</v>
      </c>
      <c r="J11" s="4">
        <v>1</v>
      </c>
      <c r="K11" s="4">
        <v>0</v>
      </c>
      <c r="N11" t="s">
        <v>38</v>
      </c>
      <c r="O11">
        <v>4</v>
      </c>
      <c r="Q11" t="s">
        <v>39</v>
      </c>
      <c r="R11" t="s">
        <v>40</v>
      </c>
      <c r="S11" t="s">
        <v>41</v>
      </c>
      <c r="T11" t="s">
        <v>42</v>
      </c>
    </row>
    <row r="12" spans="1:21" x14ac:dyDescent="0.35">
      <c r="A12">
        <f t="shared" si="0"/>
        <v>2015</v>
      </c>
      <c r="B12">
        <f t="shared" si="0"/>
        <v>2015</v>
      </c>
      <c r="C12" s="1">
        <v>42078</v>
      </c>
      <c r="D12" s="1">
        <v>42231</v>
      </c>
      <c r="F12" s="5">
        <f t="shared" si="1"/>
        <v>153</v>
      </c>
      <c r="I12" s="4">
        <v>1</v>
      </c>
      <c r="J12" s="4">
        <v>1</v>
      </c>
      <c r="K12" s="4">
        <v>1</v>
      </c>
      <c r="N12" t="s">
        <v>29</v>
      </c>
      <c r="O12">
        <v>3</v>
      </c>
      <c r="Q12" t="s">
        <v>43</v>
      </c>
      <c r="R12" t="s">
        <v>44</v>
      </c>
      <c r="S12" t="s">
        <v>45</v>
      </c>
    </row>
    <row r="13" spans="1:21" x14ac:dyDescent="0.35">
      <c r="A13">
        <f t="shared" si="0"/>
        <v>2015</v>
      </c>
      <c r="B13">
        <f t="shared" si="0"/>
        <v>2015</v>
      </c>
      <c r="C13" s="1">
        <v>42064</v>
      </c>
      <c r="D13" s="1">
        <v>42191</v>
      </c>
      <c r="F13" s="5">
        <f t="shared" si="1"/>
        <v>127</v>
      </c>
      <c r="I13" s="4">
        <v>2</v>
      </c>
      <c r="J13" s="4">
        <v>0</v>
      </c>
      <c r="K13" s="4">
        <v>0</v>
      </c>
      <c r="L13" t="s">
        <v>152</v>
      </c>
      <c r="N13" t="s">
        <v>48</v>
      </c>
      <c r="O13">
        <v>2</v>
      </c>
      <c r="Q13" t="s">
        <v>46</v>
      </c>
      <c r="R13" t="s">
        <v>47</v>
      </c>
    </row>
    <row r="14" spans="1:21" x14ac:dyDescent="0.35">
      <c r="A14">
        <f t="shared" si="0"/>
        <v>2015</v>
      </c>
      <c r="B14">
        <f t="shared" si="0"/>
        <v>2015</v>
      </c>
      <c r="C14" s="1">
        <v>42005</v>
      </c>
      <c r="D14" s="1">
        <v>42191</v>
      </c>
      <c r="F14" s="5">
        <f t="shared" si="1"/>
        <v>186</v>
      </c>
      <c r="I14" s="5">
        <v>2</v>
      </c>
      <c r="J14" s="5">
        <v>1</v>
      </c>
      <c r="K14" s="4">
        <v>0</v>
      </c>
      <c r="L14" t="s">
        <v>190</v>
      </c>
      <c r="N14" t="s">
        <v>48</v>
      </c>
      <c r="O14">
        <v>3</v>
      </c>
      <c r="Q14" t="s">
        <v>49</v>
      </c>
      <c r="R14" t="s">
        <v>50</v>
      </c>
      <c r="S14" t="s">
        <v>51</v>
      </c>
    </row>
    <row r="15" spans="1:21" x14ac:dyDescent="0.35">
      <c r="A15">
        <f t="shared" si="0"/>
        <v>2014</v>
      </c>
      <c r="B15">
        <f t="shared" si="0"/>
        <v>2014</v>
      </c>
      <c r="C15" s="1">
        <v>41913</v>
      </c>
      <c r="D15" s="1">
        <v>41939</v>
      </c>
      <c r="F15" s="5">
        <f t="shared" si="1"/>
        <v>26</v>
      </c>
      <c r="I15" s="4">
        <v>0</v>
      </c>
      <c r="J15" s="4">
        <v>0</v>
      </c>
      <c r="K15" s="4">
        <v>1</v>
      </c>
      <c r="N15" t="s">
        <v>8</v>
      </c>
      <c r="O15">
        <v>1</v>
      </c>
      <c r="Q15" t="s">
        <v>56</v>
      </c>
    </row>
    <row r="16" spans="1:21" x14ac:dyDescent="0.35">
      <c r="A16">
        <f t="shared" si="0"/>
        <v>2014</v>
      </c>
      <c r="B16">
        <f t="shared" si="0"/>
        <v>2014</v>
      </c>
      <c r="C16" s="1">
        <v>41866</v>
      </c>
      <c r="D16" s="1">
        <v>41930</v>
      </c>
      <c r="F16" s="5">
        <f t="shared" si="1"/>
        <v>64</v>
      </c>
      <c r="I16" s="4">
        <v>0</v>
      </c>
      <c r="J16" s="4">
        <v>0</v>
      </c>
      <c r="K16" s="4">
        <v>2</v>
      </c>
      <c r="L16" t="s">
        <v>285</v>
      </c>
      <c r="N16" t="s">
        <v>48</v>
      </c>
      <c r="O16">
        <v>2</v>
      </c>
      <c r="Q16" t="s">
        <v>57</v>
      </c>
      <c r="R16" t="s">
        <v>58</v>
      </c>
    </row>
    <row r="17" spans="1:21" x14ac:dyDescent="0.35">
      <c r="A17">
        <f t="shared" si="0"/>
        <v>2014</v>
      </c>
      <c r="B17">
        <f t="shared" si="0"/>
        <v>2014</v>
      </c>
      <c r="C17" s="1">
        <v>41840</v>
      </c>
      <c r="D17" s="1">
        <v>41912</v>
      </c>
      <c r="F17" s="5">
        <f t="shared" si="1"/>
        <v>72</v>
      </c>
      <c r="I17" s="4">
        <v>0</v>
      </c>
      <c r="J17" s="4">
        <v>2</v>
      </c>
      <c r="K17" s="4">
        <v>0</v>
      </c>
      <c r="L17" t="s">
        <v>180</v>
      </c>
      <c r="N17" t="s">
        <v>52</v>
      </c>
      <c r="O17">
        <v>2</v>
      </c>
      <c r="Q17" t="s">
        <v>59</v>
      </c>
      <c r="R17" t="s">
        <v>60</v>
      </c>
    </row>
    <row r="18" spans="1:21" x14ac:dyDescent="0.35">
      <c r="A18">
        <f t="shared" si="0"/>
        <v>2014</v>
      </c>
      <c r="B18">
        <f t="shared" si="0"/>
        <v>2014</v>
      </c>
      <c r="C18" s="1">
        <v>41774</v>
      </c>
      <c r="D18" s="1">
        <v>41835</v>
      </c>
      <c r="F18" s="5">
        <f t="shared" si="1"/>
        <v>61</v>
      </c>
      <c r="I18" s="4">
        <v>2</v>
      </c>
      <c r="J18" s="4">
        <v>0</v>
      </c>
      <c r="K18" s="4">
        <v>0</v>
      </c>
      <c r="N18" t="s">
        <v>8</v>
      </c>
      <c r="O18">
        <v>2</v>
      </c>
      <c r="Q18" t="s">
        <v>61</v>
      </c>
      <c r="R18" t="s">
        <v>62</v>
      </c>
    </row>
    <row r="19" spans="1:21" x14ac:dyDescent="0.35">
      <c r="A19">
        <f t="shared" si="0"/>
        <v>2014</v>
      </c>
      <c r="B19">
        <f t="shared" si="0"/>
        <v>2014</v>
      </c>
      <c r="C19" s="1">
        <v>41760</v>
      </c>
      <c r="D19" s="1">
        <v>41835</v>
      </c>
      <c r="F19" s="5">
        <f t="shared" si="1"/>
        <v>75</v>
      </c>
      <c r="I19" s="4">
        <v>3</v>
      </c>
      <c r="J19" s="4">
        <v>1</v>
      </c>
      <c r="K19" s="4">
        <v>0</v>
      </c>
      <c r="N19" t="s">
        <v>8</v>
      </c>
      <c r="O19">
        <v>4</v>
      </c>
      <c r="Q19" t="s">
        <v>63</v>
      </c>
      <c r="R19" t="s">
        <v>64</v>
      </c>
      <c r="S19" t="s">
        <v>65</v>
      </c>
      <c r="T19" t="s">
        <v>66</v>
      </c>
    </row>
    <row r="20" spans="1:21" x14ac:dyDescent="0.35">
      <c r="A20">
        <f t="shared" si="0"/>
        <v>2014</v>
      </c>
      <c r="B20">
        <f t="shared" si="0"/>
        <v>2014</v>
      </c>
      <c r="C20" s="1">
        <v>41760</v>
      </c>
      <c r="D20" s="1">
        <v>41829</v>
      </c>
      <c r="F20" s="5">
        <f t="shared" si="1"/>
        <v>69</v>
      </c>
      <c r="I20" s="4">
        <v>0</v>
      </c>
      <c r="J20" s="4">
        <v>0</v>
      </c>
      <c r="K20" s="4">
        <v>2</v>
      </c>
      <c r="L20" t="s">
        <v>286</v>
      </c>
      <c r="N20" t="s">
        <v>38</v>
      </c>
      <c r="O20">
        <v>2</v>
      </c>
      <c r="Q20" t="s">
        <v>67</v>
      </c>
      <c r="R20" t="s">
        <v>68</v>
      </c>
    </row>
    <row r="21" spans="1:21" x14ac:dyDescent="0.35">
      <c r="A21">
        <f t="shared" si="0"/>
        <v>2014</v>
      </c>
      <c r="B21">
        <f t="shared" si="0"/>
        <v>2015</v>
      </c>
      <c r="C21" s="1">
        <v>41760</v>
      </c>
      <c r="D21" s="1">
        <v>42262</v>
      </c>
      <c r="F21" s="5">
        <f t="shared" si="1"/>
        <v>502</v>
      </c>
      <c r="I21" s="4">
        <v>0</v>
      </c>
      <c r="J21" s="4">
        <v>1</v>
      </c>
      <c r="K21" s="4">
        <v>0</v>
      </c>
      <c r="N21" t="s">
        <v>53</v>
      </c>
      <c r="O21">
        <v>1</v>
      </c>
      <c r="Q21" t="s">
        <v>69</v>
      </c>
    </row>
    <row r="22" spans="1:21" x14ac:dyDescent="0.35">
      <c r="A22">
        <f t="shared" si="0"/>
        <v>2014</v>
      </c>
      <c r="B22">
        <f t="shared" si="0"/>
        <v>2014</v>
      </c>
      <c r="C22" s="1">
        <v>41744</v>
      </c>
      <c r="D22" s="1">
        <v>41831</v>
      </c>
      <c r="F22" s="5">
        <f t="shared" si="1"/>
        <v>87</v>
      </c>
      <c r="I22" s="4">
        <v>0</v>
      </c>
      <c r="J22" s="4">
        <v>1</v>
      </c>
      <c r="K22" s="4">
        <v>0</v>
      </c>
      <c r="L22" t="s">
        <v>287</v>
      </c>
      <c r="N22" t="s">
        <v>48</v>
      </c>
      <c r="O22">
        <v>1</v>
      </c>
      <c r="Q22" t="s">
        <v>70</v>
      </c>
    </row>
    <row r="23" spans="1:21" x14ac:dyDescent="0.35">
      <c r="A23">
        <f t="shared" si="0"/>
        <v>2014</v>
      </c>
      <c r="B23">
        <f t="shared" si="0"/>
        <v>2014</v>
      </c>
      <c r="C23" s="1">
        <v>41730</v>
      </c>
      <c r="D23" s="1">
        <v>41835</v>
      </c>
      <c r="F23" s="5">
        <f t="shared" si="1"/>
        <v>105</v>
      </c>
      <c r="I23" s="4">
        <v>1</v>
      </c>
      <c r="J23" s="4">
        <v>0</v>
      </c>
      <c r="K23" s="4">
        <v>0</v>
      </c>
      <c r="N23" t="s">
        <v>8</v>
      </c>
      <c r="O23">
        <v>1</v>
      </c>
      <c r="Q23" t="s">
        <v>71</v>
      </c>
    </row>
    <row r="24" spans="1:21" x14ac:dyDescent="0.35">
      <c r="A24">
        <f t="shared" si="0"/>
        <v>2014</v>
      </c>
      <c r="B24">
        <f t="shared" si="0"/>
        <v>2015</v>
      </c>
      <c r="C24" s="1">
        <v>41699</v>
      </c>
      <c r="D24" s="1">
        <v>42262</v>
      </c>
      <c r="F24" s="5">
        <f t="shared" si="1"/>
        <v>563</v>
      </c>
      <c r="I24" s="4">
        <v>0</v>
      </c>
      <c r="J24" s="4">
        <v>2</v>
      </c>
      <c r="K24" s="4">
        <v>0</v>
      </c>
      <c r="N24" t="s">
        <v>53</v>
      </c>
      <c r="O24">
        <v>2</v>
      </c>
      <c r="Q24" t="s">
        <v>72</v>
      </c>
      <c r="R24" t="s">
        <v>73</v>
      </c>
    </row>
    <row r="25" spans="1:21" x14ac:dyDescent="0.35">
      <c r="A25">
        <f t="shared" si="0"/>
        <v>2014</v>
      </c>
      <c r="B25">
        <f t="shared" si="0"/>
        <v>2014</v>
      </c>
      <c r="C25" s="1">
        <v>41662</v>
      </c>
      <c r="D25" s="1">
        <v>41753</v>
      </c>
      <c r="F25" s="5">
        <f t="shared" si="1"/>
        <v>91</v>
      </c>
      <c r="I25" s="4">
        <v>0</v>
      </c>
      <c r="J25" s="4">
        <v>5</v>
      </c>
      <c r="K25" s="4">
        <v>0</v>
      </c>
      <c r="N25" t="s">
        <v>9</v>
      </c>
      <c r="O25">
        <v>5</v>
      </c>
      <c r="Q25" t="s">
        <v>74</v>
      </c>
      <c r="R25" t="s">
        <v>75</v>
      </c>
      <c r="S25" t="s">
        <v>76</v>
      </c>
      <c r="T25" t="s">
        <v>77</v>
      </c>
      <c r="U25" t="s">
        <v>78</v>
      </c>
    </row>
    <row r="26" spans="1:21" x14ac:dyDescent="0.35">
      <c r="A26">
        <f t="shared" si="0"/>
        <v>2014</v>
      </c>
      <c r="B26">
        <f t="shared" si="0"/>
        <v>2014</v>
      </c>
      <c r="C26" s="1">
        <v>41659</v>
      </c>
      <c r="D26" s="1">
        <v>41813</v>
      </c>
      <c r="F26" s="5">
        <f t="shared" si="1"/>
        <v>154</v>
      </c>
      <c r="I26" s="4">
        <v>1</v>
      </c>
      <c r="J26" s="4">
        <v>1</v>
      </c>
      <c r="K26" s="4">
        <v>1</v>
      </c>
      <c r="N26" t="s">
        <v>54</v>
      </c>
      <c r="O26">
        <v>3</v>
      </c>
      <c r="Q26" t="s">
        <v>79</v>
      </c>
      <c r="R26" t="s">
        <v>80</v>
      </c>
      <c r="S26" t="s">
        <v>81</v>
      </c>
    </row>
    <row r="27" spans="1:21" x14ac:dyDescent="0.35">
      <c r="A27">
        <f t="shared" si="0"/>
        <v>2014</v>
      </c>
      <c r="B27">
        <f t="shared" si="0"/>
        <v>2014</v>
      </c>
      <c r="C27" s="1">
        <v>41654</v>
      </c>
      <c r="D27" s="1">
        <v>41724</v>
      </c>
      <c r="F27" s="5">
        <f t="shared" si="1"/>
        <v>70</v>
      </c>
      <c r="I27" s="4">
        <v>1</v>
      </c>
      <c r="J27" s="4">
        <v>2</v>
      </c>
      <c r="K27" s="4">
        <v>0</v>
      </c>
      <c r="L27" t="s">
        <v>288</v>
      </c>
      <c r="N27" t="s">
        <v>55</v>
      </c>
      <c r="O27">
        <v>3</v>
      </c>
      <c r="Q27" t="s">
        <v>82</v>
      </c>
      <c r="R27" t="s">
        <v>83</v>
      </c>
      <c r="S27" t="s">
        <v>84</v>
      </c>
    </row>
    <row r="28" spans="1:21" x14ac:dyDescent="0.35">
      <c r="A28">
        <f t="shared" si="0"/>
        <v>2014</v>
      </c>
      <c r="B28">
        <f t="shared" si="0"/>
        <v>2014</v>
      </c>
      <c r="C28" s="1">
        <v>41654</v>
      </c>
      <c r="D28" s="1">
        <v>41821</v>
      </c>
      <c r="F28" s="5">
        <f t="shared" si="1"/>
        <v>167</v>
      </c>
      <c r="I28" s="4">
        <v>0</v>
      </c>
      <c r="J28" s="4">
        <v>1</v>
      </c>
      <c r="K28" s="4">
        <v>0</v>
      </c>
      <c r="N28" t="s">
        <v>52</v>
      </c>
      <c r="O28">
        <v>1</v>
      </c>
      <c r="Q28" t="s">
        <v>85</v>
      </c>
    </row>
    <row r="29" spans="1:21" x14ac:dyDescent="0.35">
      <c r="A29">
        <f t="shared" si="0"/>
        <v>2014</v>
      </c>
      <c r="B29">
        <f t="shared" si="0"/>
        <v>2014</v>
      </c>
      <c r="C29" s="1">
        <v>41650</v>
      </c>
      <c r="D29" s="1">
        <v>41794</v>
      </c>
      <c r="F29" s="5">
        <f t="shared" si="1"/>
        <v>144</v>
      </c>
      <c r="I29" s="4">
        <v>0</v>
      </c>
      <c r="J29" s="4">
        <v>4</v>
      </c>
      <c r="K29" s="4">
        <v>0</v>
      </c>
      <c r="L29" t="s">
        <v>289</v>
      </c>
      <c r="M29" t="s">
        <v>290</v>
      </c>
      <c r="N29" t="s">
        <v>33</v>
      </c>
      <c r="O29">
        <v>4</v>
      </c>
      <c r="Q29" t="s">
        <v>86</v>
      </c>
      <c r="R29" t="s">
        <v>87</v>
      </c>
      <c r="S29" t="s">
        <v>88</v>
      </c>
      <c r="T29" t="s">
        <v>89</v>
      </c>
    </row>
    <row r="30" spans="1:21" x14ac:dyDescent="0.35">
      <c r="A30">
        <f t="shared" si="0"/>
        <v>2013</v>
      </c>
      <c r="B30">
        <f t="shared" si="0"/>
        <v>2014</v>
      </c>
      <c r="C30" s="1">
        <v>41609</v>
      </c>
      <c r="D30" s="1">
        <v>41821</v>
      </c>
      <c r="F30" s="5">
        <f t="shared" si="1"/>
        <v>212</v>
      </c>
      <c r="I30" s="4">
        <v>1</v>
      </c>
      <c r="J30" s="4">
        <v>1</v>
      </c>
      <c r="K30" s="5">
        <v>0</v>
      </c>
      <c r="N30" t="s">
        <v>52</v>
      </c>
      <c r="O30" s="8">
        <v>2</v>
      </c>
      <c r="P30" s="8"/>
      <c r="Q30" t="s">
        <v>99</v>
      </c>
      <c r="R30" t="s">
        <v>100</v>
      </c>
    </row>
    <row r="31" spans="1:21" x14ac:dyDescent="0.35">
      <c r="A31">
        <f t="shared" si="0"/>
        <v>2013</v>
      </c>
      <c r="B31">
        <f t="shared" si="0"/>
        <v>2014</v>
      </c>
      <c r="C31" s="1">
        <v>41593</v>
      </c>
      <c r="D31" s="1">
        <v>41813</v>
      </c>
      <c r="F31" s="5">
        <f t="shared" si="1"/>
        <v>220</v>
      </c>
      <c r="I31" s="4">
        <v>0</v>
      </c>
      <c r="J31" s="4">
        <v>0</v>
      </c>
      <c r="K31" s="4">
        <v>3</v>
      </c>
      <c r="N31" t="s">
        <v>54</v>
      </c>
      <c r="O31">
        <v>3</v>
      </c>
      <c r="Q31" t="s">
        <v>101</v>
      </c>
      <c r="R31" t="s">
        <v>102</v>
      </c>
      <c r="S31" t="s">
        <v>103</v>
      </c>
    </row>
    <row r="32" spans="1:21" x14ac:dyDescent="0.35">
      <c r="A32">
        <f t="shared" si="0"/>
        <v>2013</v>
      </c>
      <c r="B32">
        <f t="shared" si="0"/>
        <v>2014</v>
      </c>
      <c r="C32" s="1">
        <v>41562</v>
      </c>
      <c r="D32" s="1">
        <v>41813</v>
      </c>
      <c r="F32" s="5">
        <f t="shared" si="1"/>
        <v>251</v>
      </c>
      <c r="I32" s="4">
        <v>0</v>
      </c>
      <c r="J32" s="4">
        <v>0</v>
      </c>
      <c r="K32" s="4">
        <v>2</v>
      </c>
      <c r="N32" t="s">
        <v>54</v>
      </c>
      <c r="O32">
        <v>2</v>
      </c>
      <c r="Q32" t="s">
        <v>104</v>
      </c>
      <c r="R32" t="s">
        <v>105</v>
      </c>
    </row>
    <row r="33" spans="1:21" x14ac:dyDescent="0.35">
      <c r="A33">
        <f t="shared" si="0"/>
        <v>2013</v>
      </c>
      <c r="B33">
        <f t="shared" si="0"/>
        <v>2013</v>
      </c>
      <c r="C33" s="1">
        <v>41527</v>
      </c>
      <c r="D33" s="1">
        <v>41556</v>
      </c>
      <c r="F33" s="5">
        <f t="shared" si="1"/>
        <v>29</v>
      </c>
      <c r="I33" s="4">
        <v>0</v>
      </c>
      <c r="J33" s="4">
        <v>1</v>
      </c>
      <c r="K33" s="4">
        <v>2</v>
      </c>
      <c r="N33" t="s">
        <v>52</v>
      </c>
      <c r="O33">
        <v>3</v>
      </c>
      <c r="Q33" t="s">
        <v>106</v>
      </c>
      <c r="R33" t="s">
        <v>107</v>
      </c>
      <c r="S33" s="6" t="s">
        <v>140</v>
      </c>
    </row>
    <row r="34" spans="1:21" x14ac:dyDescent="0.35">
      <c r="A34">
        <f t="shared" si="0"/>
        <v>2013</v>
      </c>
      <c r="B34">
        <f t="shared" si="0"/>
        <v>2014</v>
      </c>
      <c r="C34" s="1">
        <v>41518</v>
      </c>
      <c r="D34" s="1">
        <v>41887</v>
      </c>
      <c r="F34" s="5">
        <f t="shared" si="1"/>
        <v>369</v>
      </c>
      <c r="I34" s="4">
        <v>0</v>
      </c>
      <c r="J34" s="4">
        <v>4</v>
      </c>
      <c r="K34" s="4">
        <v>0</v>
      </c>
      <c r="N34" t="s">
        <v>95</v>
      </c>
      <c r="O34">
        <v>4</v>
      </c>
      <c r="Q34" t="s">
        <v>108</v>
      </c>
      <c r="R34" t="s">
        <v>109</v>
      </c>
      <c r="S34" t="s">
        <v>110</v>
      </c>
      <c r="T34" t="s">
        <v>111</v>
      </c>
    </row>
    <row r="35" spans="1:21" x14ac:dyDescent="0.35">
      <c r="A35">
        <f t="shared" si="0"/>
        <v>2013</v>
      </c>
      <c r="B35">
        <f t="shared" si="0"/>
        <v>2013</v>
      </c>
      <c r="C35" s="1">
        <v>41501</v>
      </c>
      <c r="D35" s="1">
        <v>41518</v>
      </c>
      <c r="F35" s="5">
        <f t="shared" si="1"/>
        <v>17</v>
      </c>
      <c r="I35" s="4">
        <v>2</v>
      </c>
      <c r="J35" s="4">
        <v>1</v>
      </c>
      <c r="K35" s="4">
        <v>0</v>
      </c>
      <c r="N35" t="s">
        <v>52</v>
      </c>
      <c r="O35">
        <v>3</v>
      </c>
      <c r="Q35" t="s">
        <v>112</v>
      </c>
      <c r="R35" t="s">
        <v>113</v>
      </c>
      <c r="S35" t="s">
        <v>114</v>
      </c>
    </row>
    <row r="36" spans="1:21" x14ac:dyDescent="0.35">
      <c r="A36">
        <f t="shared" si="0"/>
        <v>2013</v>
      </c>
      <c r="B36">
        <f t="shared" si="0"/>
        <v>2013</v>
      </c>
      <c r="C36" s="1">
        <v>41470</v>
      </c>
      <c r="D36" s="1">
        <v>41563</v>
      </c>
      <c r="F36" s="5">
        <f t="shared" si="1"/>
        <v>93</v>
      </c>
      <c r="I36" s="4">
        <v>0</v>
      </c>
      <c r="J36" s="4">
        <v>0</v>
      </c>
      <c r="K36" s="4">
        <v>2</v>
      </c>
      <c r="L36" t="s">
        <v>291</v>
      </c>
      <c r="N36" t="s">
        <v>8</v>
      </c>
      <c r="O36">
        <v>2</v>
      </c>
      <c r="Q36" t="s">
        <v>115</v>
      </c>
      <c r="R36" t="s">
        <v>116</v>
      </c>
    </row>
    <row r="37" spans="1:21" x14ac:dyDescent="0.35">
      <c r="A37">
        <f t="shared" si="0"/>
        <v>2013</v>
      </c>
      <c r="B37">
        <f t="shared" si="0"/>
        <v>2013</v>
      </c>
      <c r="C37" s="1">
        <v>41470</v>
      </c>
      <c r="D37" s="1">
        <v>41518</v>
      </c>
      <c r="F37" s="5">
        <f t="shared" si="1"/>
        <v>48</v>
      </c>
      <c r="I37" s="4">
        <v>0</v>
      </c>
      <c r="J37" s="4">
        <v>2</v>
      </c>
      <c r="K37" s="4">
        <v>0</v>
      </c>
      <c r="N37" t="s">
        <v>52</v>
      </c>
      <c r="O37">
        <v>2</v>
      </c>
      <c r="Q37" t="s">
        <v>117</v>
      </c>
      <c r="R37" t="s">
        <v>118</v>
      </c>
    </row>
    <row r="38" spans="1:21" x14ac:dyDescent="0.35">
      <c r="A38">
        <f t="shared" si="0"/>
        <v>2013</v>
      </c>
      <c r="B38">
        <f t="shared" si="0"/>
        <v>2013</v>
      </c>
      <c r="C38" s="1">
        <v>41395</v>
      </c>
      <c r="D38" s="1">
        <v>41516</v>
      </c>
      <c r="F38" s="5">
        <f t="shared" si="1"/>
        <v>121</v>
      </c>
      <c r="I38" s="4">
        <v>1</v>
      </c>
      <c r="J38" s="4">
        <v>0</v>
      </c>
      <c r="K38" s="4">
        <v>0</v>
      </c>
      <c r="N38" t="s">
        <v>38</v>
      </c>
      <c r="O38">
        <v>1</v>
      </c>
      <c r="Q38" t="s">
        <v>119</v>
      </c>
    </row>
    <row r="39" spans="1:21" x14ac:dyDescent="0.35">
      <c r="A39">
        <f t="shared" si="0"/>
        <v>2013</v>
      </c>
      <c r="B39">
        <f t="shared" si="0"/>
        <v>2013</v>
      </c>
      <c r="C39" s="1">
        <v>41379</v>
      </c>
      <c r="D39" s="1">
        <v>41391</v>
      </c>
      <c r="F39" s="5">
        <f t="shared" si="1"/>
        <v>12</v>
      </c>
      <c r="I39" s="4">
        <v>0</v>
      </c>
      <c r="J39" s="4">
        <v>2</v>
      </c>
      <c r="K39" s="4">
        <v>1</v>
      </c>
      <c r="L39" t="s">
        <v>292</v>
      </c>
      <c r="N39" t="s">
        <v>9</v>
      </c>
      <c r="O39">
        <v>3</v>
      </c>
      <c r="Q39" t="s">
        <v>120</v>
      </c>
      <c r="R39" t="s">
        <v>121</v>
      </c>
      <c r="S39" t="s">
        <v>122</v>
      </c>
    </row>
    <row r="40" spans="1:21" x14ac:dyDescent="0.35">
      <c r="A40">
        <f t="shared" si="0"/>
        <v>2013</v>
      </c>
      <c r="B40">
        <f t="shared" si="0"/>
        <v>2013</v>
      </c>
      <c r="C40" s="1">
        <v>41365</v>
      </c>
      <c r="D40" s="1">
        <v>41466</v>
      </c>
      <c r="F40" s="5">
        <f t="shared" si="1"/>
        <v>101</v>
      </c>
      <c r="I40" s="4">
        <v>2</v>
      </c>
      <c r="J40" s="4">
        <v>1</v>
      </c>
      <c r="K40" s="4">
        <v>0</v>
      </c>
      <c r="L40" t="s">
        <v>293</v>
      </c>
      <c r="N40" t="s">
        <v>96</v>
      </c>
      <c r="O40">
        <v>3</v>
      </c>
      <c r="Q40" t="s">
        <v>123</v>
      </c>
      <c r="R40" t="s">
        <v>124</v>
      </c>
      <c r="S40" t="s">
        <v>125</v>
      </c>
    </row>
    <row r="41" spans="1:21" x14ac:dyDescent="0.35">
      <c r="A41">
        <f t="shared" si="0"/>
        <v>2013</v>
      </c>
      <c r="B41">
        <f t="shared" si="0"/>
        <v>2013</v>
      </c>
      <c r="C41" s="1">
        <v>41357</v>
      </c>
      <c r="D41" s="1">
        <v>41487</v>
      </c>
      <c r="F41" s="5">
        <f t="shared" si="1"/>
        <v>130</v>
      </c>
      <c r="G41" t="s">
        <v>306</v>
      </c>
      <c r="H41" s="1">
        <v>41492</v>
      </c>
      <c r="I41" s="4">
        <v>0</v>
      </c>
      <c r="J41" s="4">
        <v>0</v>
      </c>
      <c r="K41" s="4">
        <v>5</v>
      </c>
      <c r="N41" t="s">
        <v>29</v>
      </c>
      <c r="O41">
        <v>5</v>
      </c>
      <c r="Q41" t="s">
        <v>126</v>
      </c>
      <c r="R41" t="s">
        <v>127</v>
      </c>
      <c r="S41" t="s">
        <v>128</v>
      </c>
      <c r="T41" t="s">
        <v>129</v>
      </c>
      <c r="U41" t="s">
        <v>130</v>
      </c>
    </row>
    <row r="42" spans="1:21" x14ac:dyDescent="0.35">
      <c r="A42">
        <f t="shared" si="0"/>
        <v>2013</v>
      </c>
      <c r="B42">
        <f t="shared" si="0"/>
        <v>2013</v>
      </c>
      <c r="C42" s="1">
        <v>41342</v>
      </c>
      <c r="D42" s="1">
        <v>41409</v>
      </c>
      <c r="F42" s="5">
        <f t="shared" si="1"/>
        <v>67</v>
      </c>
      <c r="I42" s="4">
        <v>1</v>
      </c>
      <c r="J42" s="4">
        <v>1</v>
      </c>
      <c r="K42" s="4">
        <v>0</v>
      </c>
      <c r="L42" t="s">
        <v>294</v>
      </c>
      <c r="N42" t="s">
        <v>8</v>
      </c>
      <c r="O42">
        <v>2</v>
      </c>
      <c r="Q42" t="s">
        <v>131</v>
      </c>
      <c r="R42" t="s">
        <v>132</v>
      </c>
    </row>
    <row r="43" spans="1:21" x14ac:dyDescent="0.35">
      <c r="A43">
        <f t="shared" si="0"/>
        <v>2013</v>
      </c>
      <c r="B43">
        <f t="shared" si="0"/>
        <v>2013</v>
      </c>
      <c r="C43" s="1">
        <v>41310</v>
      </c>
      <c r="D43" s="1">
        <v>41470</v>
      </c>
      <c r="F43" s="5">
        <f t="shared" si="1"/>
        <v>160</v>
      </c>
      <c r="I43" s="4">
        <v>1</v>
      </c>
      <c r="J43" s="4">
        <v>3</v>
      </c>
      <c r="K43" s="4">
        <v>1</v>
      </c>
      <c r="N43" t="s">
        <v>9</v>
      </c>
      <c r="O43">
        <v>5</v>
      </c>
      <c r="Q43" t="s">
        <v>133</v>
      </c>
      <c r="R43" t="s">
        <v>134</v>
      </c>
      <c r="S43" t="s">
        <v>135</v>
      </c>
      <c r="T43" t="s">
        <v>136</v>
      </c>
      <c r="U43" t="s">
        <v>137</v>
      </c>
    </row>
    <row r="44" spans="1:21" x14ac:dyDescent="0.35">
      <c r="A44">
        <f t="shared" si="0"/>
        <v>2013</v>
      </c>
      <c r="B44">
        <f t="shared" si="0"/>
        <v>2013</v>
      </c>
      <c r="C44" s="1">
        <v>41305</v>
      </c>
      <c r="D44" s="1">
        <v>41487</v>
      </c>
      <c r="F44" s="5">
        <f t="shared" si="1"/>
        <v>182</v>
      </c>
      <c r="I44" s="4">
        <v>0</v>
      </c>
      <c r="J44" s="4">
        <v>1</v>
      </c>
      <c r="K44" s="4">
        <v>1</v>
      </c>
      <c r="N44" t="s">
        <v>97</v>
      </c>
      <c r="O44">
        <v>2</v>
      </c>
      <c r="Q44" t="s">
        <v>138</v>
      </c>
      <c r="R44" t="s">
        <v>139</v>
      </c>
    </row>
    <row r="45" spans="1:21" x14ac:dyDescent="0.35">
      <c r="A45">
        <f t="shared" si="0"/>
        <v>2013</v>
      </c>
      <c r="B45">
        <f t="shared" si="0"/>
        <v>2014</v>
      </c>
      <c r="C45" s="1">
        <v>41477</v>
      </c>
      <c r="D45" s="1">
        <v>41774</v>
      </c>
      <c r="F45" s="5">
        <f t="shared" si="1"/>
        <v>297</v>
      </c>
      <c r="I45" s="4">
        <v>0</v>
      </c>
      <c r="J45" s="4">
        <v>1</v>
      </c>
      <c r="K45" s="4">
        <v>0</v>
      </c>
      <c r="N45" t="s">
        <v>141</v>
      </c>
      <c r="O45" s="4">
        <v>1</v>
      </c>
      <c r="P45" s="4"/>
      <c r="Q45" t="s">
        <v>142</v>
      </c>
    </row>
    <row r="46" spans="1:21" x14ac:dyDescent="0.35">
      <c r="A46">
        <f t="shared" si="0"/>
        <v>2013</v>
      </c>
      <c r="B46">
        <f t="shared" si="0"/>
        <v>2014</v>
      </c>
      <c r="C46" s="1">
        <v>41609</v>
      </c>
      <c r="D46" s="1">
        <v>41927</v>
      </c>
      <c r="F46" s="5">
        <f t="shared" si="1"/>
        <v>318</v>
      </c>
      <c r="I46" s="4">
        <v>1</v>
      </c>
      <c r="J46" s="4">
        <v>0</v>
      </c>
      <c r="K46" s="4">
        <v>0</v>
      </c>
      <c r="L46" t="s">
        <v>295</v>
      </c>
      <c r="N46" t="s">
        <v>96</v>
      </c>
      <c r="O46" s="4">
        <v>1</v>
      </c>
      <c r="P46" s="4"/>
      <c r="Q46" t="s">
        <v>143</v>
      </c>
    </row>
    <row r="47" spans="1:21" x14ac:dyDescent="0.35">
      <c r="A47">
        <f t="shared" si="0"/>
        <v>2008</v>
      </c>
      <c r="B47">
        <f t="shared" si="0"/>
        <v>2008</v>
      </c>
      <c r="C47" s="1">
        <v>39448</v>
      </c>
      <c r="D47" s="1">
        <v>39706</v>
      </c>
      <c r="F47" s="5">
        <f t="shared" si="1"/>
        <v>258</v>
      </c>
      <c r="I47" s="4">
        <v>2</v>
      </c>
      <c r="J47" s="4">
        <v>1</v>
      </c>
      <c r="K47" s="4">
        <v>0</v>
      </c>
      <c r="N47" t="s">
        <v>97</v>
      </c>
      <c r="O47">
        <v>3</v>
      </c>
      <c r="Q47" t="s">
        <v>248</v>
      </c>
      <c r="R47" t="s">
        <v>149</v>
      </c>
      <c r="S47" t="s">
        <v>150</v>
      </c>
    </row>
    <row r="48" spans="1:21" x14ac:dyDescent="0.35">
      <c r="A48">
        <f t="shared" si="0"/>
        <v>2008</v>
      </c>
      <c r="B48">
        <f t="shared" si="0"/>
        <v>2008</v>
      </c>
      <c r="C48" s="1">
        <v>39449</v>
      </c>
      <c r="D48" s="1">
        <v>39614</v>
      </c>
      <c r="F48" s="5">
        <f t="shared" si="1"/>
        <v>165</v>
      </c>
      <c r="I48" s="4">
        <v>2</v>
      </c>
      <c r="J48" s="4">
        <v>2</v>
      </c>
      <c r="K48" s="4">
        <v>0</v>
      </c>
      <c r="N48" t="s">
        <v>48</v>
      </c>
      <c r="O48">
        <v>4</v>
      </c>
      <c r="P48" t="s">
        <v>275</v>
      </c>
      <c r="Q48" t="s">
        <v>151</v>
      </c>
      <c r="R48" t="s">
        <v>152</v>
      </c>
      <c r="S48" t="s">
        <v>153</v>
      </c>
      <c r="T48" t="s">
        <v>154</v>
      </c>
    </row>
    <row r="49" spans="1:20" x14ac:dyDescent="0.35">
      <c r="A49">
        <f t="shared" si="0"/>
        <v>2008</v>
      </c>
      <c r="B49">
        <f t="shared" si="0"/>
        <v>2008</v>
      </c>
      <c r="C49" s="1">
        <v>39493</v>
      </c>
      <c r="D49" s="1">
        <v>39553</v>
      </c>
      <c r="F49" s="5">
        <f t="shared" si="1"/>
        <v>60</v>
      </c>
      <c r="G49" t="s">
        <v>307</v>
      </c>
      <c r="H49" s="1">
        <v>39931</v>
      </c>
      <c r="I49" s="4">
        <v>1</v>
      </c>
      <c r="J49" s="4">
        <v>2</v>
      </c>
      <c r="K49" s="4">
        <v>0</v>
      </c>
      <c r="L49" t="s">
        <v>296</v>
      </c>
      <c r="M49" t="s">
        <v>272</v>
      </c>
      <c r="N49" t="s">
        <v>145</v>
      </c>
      <c r="O49">
        <v>3</v>
      </c>
      <c r="Q49" t="s">
        <v>155</v>
      </c>
      <c r="R49" t="s">
        <v>156</v>
      </c>
      <c r="S49" t="s">
        <v>157</v>
      </c>
    </row>
    <row r="50" spans="1:20" x14ac:dyDescent="0.35">
      <c r="A50">
        <f t="shared" si="0"/>
        <v>2007</v>
      </c>
      <c r="B50">
        <f t="shared" si="0"/>
        <v>2008</v>
      </c>
      <c r="C50" s="1">
        <v>39187</v>
      </c>
      <c r="D50" s="1">
        <v>39553</v>
      </c>
      <c r="F50" s="5">
        <f t="shared" si="1"/>
        <v>366</v>
      </c>
      <c r="I50" s="4">
        <v>1</v>
      </c>
      <c r="J50" s="4">
        <v>1</v>
      </c>
      <c r="K50" s="4">
        <v>0</v>
      </c>
      <c r="L50" t="s">
        <v>270</v>
      </c>
      <c r="M50" t="s">
        <v>272</v>
      </c>
      <c r="N50" t="s">
        <v>145</v>
      </c>
      <c r="O50">
        <v>2</v>
      </c>
      <c r="Q50" s="10" t="s">
        <v>246</v>
      </c>
      <c r="R50" t="s">
        <v>247</v>
      </c>
    </row>
    <row r="51" spans="1:20" x14ac:dyDescent="0.35">
      <c r="A51">
        <f t="shared" si="0"/>
        <v>2008</v>
      </c>
      <c r="B51">
        <f t="shared" si="0"/>
        <v>2008</v>
      </c>
      <c r="C51" s="1">
        <v>39508</v>
      </c>
      <c r="D51" s="1">
        <v>39736</v>
      </c>
      <c r="E51" s="1">
        <v>40009</v>
      </c>
      <c r="F51" s="5">
        <f>D51-C51</f>
        <v>228</v>
      </c>
      <c r="I51" s="4">
        <v>0</v>
      </c>
      <c r="J51" s="4">
        <v>4</v>
      </c>
      <c r="K51" s="4">
        <v>0</v>
      </c>
      <c r="N51" t="s">
        <v>9</v>
      </c>
      <c r="O51">
        <v>4</v>
      </c>
      <c r="Q51" t="s">
        <v>158</v>
      </c>
      <c r="R51" t="s">
        <v>159</v>
      </c>
      <c r="S51" t="s">
        <v>160</v>
      </c>
      <c r="T51" t="s">
        <v>161</v>
      </c>
    </row>
    <row r="52" spans="1:20" x14ac:dyDescent="0.35">
      <c r="A52">
        <f t="shared" si="0"/>
        <v>2008</v>
      </c>
      <c r="B52">
        <f t="shared" si="0"/>
        <v>2008</v>
      </c>
      <c r="C52" s="1">
        <v>39539</v>
      </c>
      <c r="D52" s="1">
        <v>39736</v>
      </c>
      <c r="F52" s="5">
        <f t="shared" si="1"/>
        <v>197</v>
      </c>
      <c r="I52" s="4">
        <v>2</v>
      </c>
      <c r="J52" s="4">
        <v>1</v>
      </c>
      <c r="K52" s="4">
        <v>0</v>
      </c>
      <c r="N52" t="s">
        <v>146</v>
      </c>
      <c r="O52">
        <v>3</v>
      </c>
      <c r="Q52" t="s">
        <v>162</v>
      </c>
      <c r="R52" t="s">
        <v>163</v>
      </c>
      <c r="S52" t="s">
        <v>164</v>
      </c>
    </row>
    <row r="53" spans="1:20" x14ac:dyDescent="0.35">
      <c r="A53">
        <f t="shared" si="0"/>
        <v>2008</v>
      </c>
      <c r="B53">
        <f t="shared" si="0"/>
        <v>2009</v>
      </c>
      <c r="C53" s="1">
        <v>39539</v>
      </c>
      <c r="D53" s="1">
        <v>40132</v>
      </c>
      <c r="F53" s="5">
        <f t="shared" si="1"/>
        <v>593</v>
      </c>
      <c r="I53" s="4">
        <v>0</v>
      </c>
      <c r="J53" s="4">
        <v>1</v>
      </c>
      <c r="K53" s="4">
        <v>0</v>
      </c>
      <c r="L53" t="s">
        <v>297</v>
      </c>
      <c r="N53" t="s">
        <v>98</v>
      </c>
      <c r="O53">
        <v>1</v>
      </c>
      <c r="Q53" t="s">
        <v>165</v>
      </c>
    </row>
    <row r="54" spans="1:20" x14ac:dyDescent="0.35">
      <c r="A54">
        <f t="shared" si="0"/>
        <v>2008</v>
      </c>
      <c r="B54">
        <f t="shared" si="0"/>
        <v>2009</v>
      </c>
      <c r="C54" s="1">
        <v>39569</v>
      </c>
      <c r="D54" s="1">
        <v>39918</v>
      </c>
      <c r="F54" s="5">
        <f t="shared" si="1"/>
        <v>349</v>
      </c>
      <c r="I54" s="4">
        <v>2</v>
      </c>
      <c r="J54" s="4">
        <v>0</v>
      </c>
      <c r="K54" s="4">
        <v>0</v>
      </c>
      <c r="N54" t="s">
        <v>9</v>
      </c>
      <c r="O54">
        <v>2</v>
      </c>
      <c r="Q54" t="s">
        <v>166</v>
      </c>
      <c r="R54" t="s">
        <v>167</v>
      </c>
    </row>
    <row r="55" spans="1:20" x14ac:dyDescent="0.35">
      <c r="A55">
        <f t="shared" si="0"/>
        <v>2008</v>
      </c>
      <c r="B55">
        <f t="shared" si="0"/>
        <v>2009</v>
      </c>
      <c r="C55" s="1">
        <v>39569</v>
      </c>
      <c r="D55" s="1">
        <v>40132</v>
      </c>
      <c r="F55" s="5">
        <f t="shared" si="1"/>
        <v>563</v>
      </c>
      <c r="I55" s="4">
        <v>1</v>
      </c>
      <c r="J55" s="4">
        <v>0</v>
      </c>
      <c r="K55" s="4">
        <v>0</v>
      </c>
      <c r="N55" t="s">
        <v>147</v>
      </c>
      <c r="O55">
        <v>1</v>
      </c>
      <c r="Q55" t="s">
        <v>168</v>
      </c>
    </row>
    <row r="56" spans="1:20" x14ac:dyDescent="0.35">
      <c r="A56">
        <f t="shared" si="0"/>
        <v>2008</v>
      </c>
      <c r="B56">
        <f t="shared" si="0"/>
        <v>2008</v>
      </c>
      <c r="C56" s="1">
        <v>39600</v>
      </c>
      <c r="D56" s="1">
        <v>39675</v>
      </c>
      <c r="F56" s="5">
        <f t="shared" si="1"/>
        <v>75</v>
      </c>
      <c r="I56" s="4">
        <v>0</v>
      </c>
      <c r="J56" s="4">
        <v>1</v>
      </c>
      <c r="K56" s="4">
        <v>0</v>
      </c>
      <c r="N56" t="s">
        <v>98</v>
      </c>
      <c r="O56">
        <v>1</v>
      </c>
      <c r="Q56" t="s">
        <v>171</v>
      </c>
    </row>
    <row r="57" spans="1:20" x14ac:dyDescent="0.35">
      <c r="A57">
        <f t="shared" si="0"/>
        <v>2008</v>
      </c>
      <c r="B57">
        <f t="shared" si="0"/>
        <v>2008</v>
      </c>
      <c r="C57" s="1">
        <v>39630</v>
      </c>
      <c r="D57" s="1">
        <v>39736</v>
      </c>
      <c r="E57" s="2">
        <v>39931</v>
      </c>
      <c r="F57" s="5">
        <f t="shared" si="1"/>
        <v>106</v>
      </c>
      <c r="I57" s="4">
        <v>2</v>
      </c>
      <c r="J57" s="4">
        <v>0</v>
      </c>
      <c r="K57" s="4">
        <v>2</v>
      </c>
      <c r="N57" t="s">
        <v>48</v>
      </c>
      <c r="O57">
        <v>4</v>
      </c>
      <c r="P57" t="s">
        <v>274</v>
      </c>
      <c r="Q57" t="s">
        <v>172</v>
      </c>
      <c r="R57" t="s">
        <v>173</v>
      </c>
      <c r="S57" t="s">
        <v>249</v>
      </c>
      <c r="T57" t="s">
        <v>250</v>
      </c>
    </row>
    <row r="58" spans="1:20" x14ac:dyDescent="0.35">
      <c r="A58">
        <f t="shared" si="0"/>
        <v>2008</v>
      </c>
      <c r="B58">
        <f t="shared" si="0"/>
        <v>2010</v>
      </c>
      <c r="C58" s="1">
        <v>39677</v>
      </c>
      <c r="D58" s="1">
        <v>40405</v>
      </c>
      <c r="F58" s="5">
        <f t="shared" ref="F58:F93" si="2">D58-C58</f>
        <v>728</v>
      </c>
      <c r="I58" s="4">
        <v>1</v>
      </c>
      <c r="J58" s="4">
        <v>0</v>
      </c>
      <c r="K58" s="4">
        <v>0</v>
      </c>
      <c r="N58" t="s">
        <v>144</v>
      </c>
      <c r="O58">
        <v>1</v>
      </c>
      <c r="Q58" t="s">
        <v>174</v>
      </c>
    </row>
    <row r="59" spans="1:20" x14ac:dyDescent="0.35">
      <c r="A59">
        <f t="shared" si="0"/>
        <v>2008</v>
      </c>
      <c r="B59">
        <f t="shared" si="0"/>
        <v>2009</v>
      </c>
      <c r="C59" s="1">
        <v>39797</v>
      </c>
      <c r="D59" s="1">
        <v>39918</v>
      </c>
      <c r="F59" s="5">
        <f t="shared" si="2"/>
        <v>121</v>
      </c>
      <c r="I59" s="4">
        <v>1</v>
      </c>
      <c r="J59" s="4">
        <v>0</v>
      </c>
      <c r="K59" s="4">
        <v>0</v>
      </c>
      <c r="N59" t="s">
        <v>55</v>
      </c>
      <c r="O59">
        <v>1</v>
      </c>
      <c r="Q59" t="s">
        <v>175</v>
      </c>
    </row>
    <row r="60" spans="1:20" x14ac:dyDescent="0.35">
      <c r="A60">
        <f t="shared" si="0"/>
        <v>2007</v>
      </c>
      <c r="B60">
        <f t="shared" si="0"/>
        <v>2008</v>
      </c>
      <c r="C60" s="1">
        <v>39295</v>
      </c>
      <c r="D60" s="1">
        <v>39675</v>
      </c>
      <c r="E60" s="2">
        <v>40436</v>
      </c>
      <c r="F60" s="5">
        <f t="shared" si="2"/>
        <v>380</v>
      </c>
      <c r="I60" s="4">
        <v>3</v>
      </c>
      <c r="J60" s="4">
        <v>1</v>
      </c>
      <c r="K60" s="4">
        <v>0</v>
      </c>
      <c r="N60" t="s">
        <v>98</v>
      </c>
      <c r="O60">
        <v>4</v>
      </c>
      <c r="Q60" t="s">
        <v>251</v>
      </c>
      <c r="R60" t="s">
        <v>276</v>
      </c>
      <c r="S60" t="s">
        <v>252</v>
      </c>
      <c r="T60" t="s">
        <v>277</v>
      </c>
    </row>
    <row r="61" spans="1:20" x14ac:dyDescent="0.35">
      <c r="A61">
        <f t="shared" si="0"/>
        <v>2007</v>
      </c>
      <c r="B61">
        <f t="shared" si="0"/>
        <v>2008</v>
      </c>
      <c r="C61" s="1">
        <v>39156</v>
      </c>
      <c r="D61" s="1">
        <v>39736</v>
      </c>
      <c r="F61" s="5">
        <f t="shared" si="2"/>
        <v>580</v>
      </c>
      <c r="I61" s="4">
        <v>0</v>
      </c>
      <c r="J61" s="4">
        <v>3</v>
      </c>
      <c r="K61" s="4">
        <v>0</v>
      </c>
      <c r="N61" t="s">
        <v>9</v>
      </c>
      <c r="O61">
        <v>3</v>
      </c>
      <c r="P61" t="s">
        <v>281</v>
      </c>
      <c r="Q61" s="10" t="s">
        <v>245</v>
      </c>
      <c r="R61" t="s">
        <v>253</v>
      </c>
      <c r="S61" t="s">
        <v>256</v>
      </c>
    </row>
    <row r="62" spans="1:20" x14ac:dyDescent="0.35">
      <c r="A62">
        <f t="shared" si="0"/>
        <v>2006</v>
      </c>
      <c r="B62">
        <f t="shared" si="0"/>
        <v>2008</v>
      </c>
      <c r="C62" s="11">
        <v>39022</v>
      </c>
      <c r="D62" s="12">
        <v>39614</v>
      </c>
      <c r="F62" s="5">
        <f t="shared" si="2"/>
        <v>592</v>
      </c>
      <c r="I62" s="4">
        <v>0</v>
      </c>
      <c r="J62" s="4">
        <v>1</v>
      </c>
      <c r="K62" s="4">
        <v>0</v>
      </c>
      <c r="N62" t="s">
        <v>54</v>
      </c>
      <c r="O62">
        <v>1</v>
      </c>
      <c r="Q62" s="10" t="s">
        <v>254</v>
      </c>
    </row>
    <row r="63" spans="1:20" x14ac:dyDescent="0.35">
      <c r="A63">
        <f t="shared" si="0"/>
        <v>2009</v>
      </c>
      <c r="B63">
        <f t="shared" si="0"/>
        <v>2009</v>
      </c>
      <c r="C63" s="1">
        <v>39859</v>
      </c>
      <c r="D63" s="1">
        <v>39918</v>
      </c>
      <c r="F63" s="5">
        <f t="shared" si="2"/>
        <v>59</v>
      </c>
      <c r="I63" s="4">
        <v>3</v>
      </c>
      <c r="J63" s="4">
        <v>0</v>
      </c>
      <c r="K63" s="4">
        <v>0</v>
      </c>
      <c r="L63" t="s">
        <v>298</v>
      </c>
      <c r="N63" t="s">
        <v>9</v>
      </c>
      <c r="O63">
        <v>3</v>
      </c>
      <c r="Q63" t="s">
        <v>177</v>
      </c>
      <c r="R63" t="s">
        <v>178</v>
      </c>
      <c r="S63" t="s">
        <v>179</v>
      </c>
    </row>
    <row r="64" spans="1:20" x14ac:dyDescent="0.35">
      <c r="A64">
        <f t="shared" si="0"/>
        <v>2009</v>
      </c>
      <c r="B64">
        <f t="shared" si="0"/>
        <v>2009</v>
      </c>
      <c r="C64" s="1">
        <v>39948</v>
      </c>
      <c r="D64" s="1">
        <v>40040</v>
      </c>
      <c r="F64" s="5">
        <f t="shared" si="2"/>
        <v>92</v>
      </c>
      <c r="I64" s="4">
        <v>1</v>
      </c>
      <c r="J64" s="4">
        <v>2</v>
      </c>
      <c r="K64" s="4">
        <v>0</v>
      </c>
      <c r="N64" t="s">
        <v>52</v>
      </c>
      <c r="O64">
        <v>3</v>
      </c>
      <c r="Q64" t="s">
        <v>180</v>
      </c>
      <c r="R64" t="s">
        <v>181</v>
      </c>
      <c r="S64" t="s">
        <v>182</v>
      </c>
    </row>
    <row r="65" spans="1:20" x14ac:dyDescent="0.35">
      <c r="A65">
        <f t="shared" si="0"/>
        <v>2009</v>
      </c>
      <c r="B65">
        <f t="shared" si="0"/>
        <v>2009</v>
      </c>
      <c r="C65" s="1">
        <v>40026</v>
      </c>
      <c r="D65" s="1">
        <v>40101</v>
      </c>
      <c r="F65" s="5">
        <f t="shared" si="2"/>
        <v>75</v>
      </c>
      <c r="G65" t="s">
        <v>307</v>
      </c>
      <c r="H65" s="1">
        <v>40210</v>
      </c>
      <c r="I65" s="4">
        <v>1</v>
      </c>
      <c r="J65" s="4">
        <v>3</v>
      </c>
      <c r="K65" s="4">
        <v>0</v>
      </c>
      <c r="N65" t="s">
        <v>8</v>
      </c>
      <c r="O65">
        <v>4</v>
      </c>
      <c r="Q65" t="s">
        <v>183</v>
      </c>
      <c r="R65" t="s">
        <v>184</v>
      </c>
      <c r="S65" t="s">
        <v>185</v>
      </c>
      <c r="T65" t="s">
        <v>186</v>
      </c>
    </row>
    <row r="66" spans="1:20" x14ac:dyDescent="0.35">
      <c r="A66">
        <f t="shared" ref="A66:B92" si="3">YEAR(C66)</f>
        <v>2009</v>
      </c>
      <c r="B66">
        <f t="shared" si="3"/>
        <v>2009</v>
      </c>
      <c r="C66" s="1">
        <v>40083</v>
      </c>
      <c r="D66" s="1">
        <v>40132</v>
      </c>
      <c r="F66" s="5">
        <f t="shared" si="2"/>
        <v>49</v>
      </c>
      <c r="G66" t="s">
        <v>307</v>
      </c>
      <c r="H66" s="1">
        <v>40118</v>
      </c>
      <c r="I66" s="4">
        <v>0</v>
      </c>
      <c r="J66" s="4">
        <v>1</v>
      </c>
      <c r="K66" s="4">
        <v>0</v>
      </c>
      <c r="L66" t="s">
        <v>292</v>
      </c>
      <c r="M66" t="s">
        <v>278</v>
      </c>
      <c r="N66" t="s">
        <v>9</v>
      </c>
      <c r="O66">
        <v>1</v>
      </c>
      <c r="Q66" t="s">
        <v>187</v>
      </c>
    </row>
    <row r="67" spans="1:20" x14ac:dyDescent="0.35">
      <c r="A67">
        <f t="shared" si="3"/>
        <v>2010</v>
      </c>
      <c r="B67">
        <f t="shared" si="3"/>
        <v>2010</v>
      </c>
      <c r="C67" s="1">
        <v>40252</v>
      </c>
      <c r="D67" s="1">
        <v>40466</v>
      </c>
      <c r="F67" s="5">
        <f t="shared" si="2"/>
        <v>214</v>
      </c>
      <c r="I67" s="4">
        <v>0</v>
      </c>
      <c r="J67" s="4">
        <v>0</v>
      </c>
      <c r="K67" s="4">
        <v>2</v>
      </c>
      <c r="N67" t="s">
        <v>52</v>
      </c>
      <c r="O67">
        <v>2</v>
      </c>
      <c r="Q67" t="s">
        <v>188</v>
      </c>
      <c r="R67" t="s">
        <v>189</v>
      </c>
    </row>
    <row r="68" spans="1:20" x14ac:dyDescent="0.35">
      <c r="A68">
        <f t="shared" si="3"/>
        <v>2010</v>
      </c>
      <c r="B68">
        <f t="shared" si="3"/>
        <v>2010</v>
      </c>
      <c r="C68" s="1">
        <v>40258</v>
      </c>
      <c r="D68" s="1">
        <v>40313</v>
      </c>
      <c r="F68" s="5">
        <f t="shared" si="2"/>
        <v>55</v>
      </c>
      <c r="I68" s="4">
        <v>1</v>
      </c>
      <c r="J68" s="4">
        <v>1</v>
      </c>
      <c r="K68" s="4">
        <v>2</v>
      </c>
      <c r="L68" t="s">
        <v>299</v>
      </c>
      <c r="M68" t="s">
        <v>300</v>
      </c>
      <c r="N68" t="s">
        <v>48</v>
      </c>
      <c r="O68">
        <v>4</v>
      </c>
      <c r="Q68" t="s">
        <v>190</v>
      </c>
      <c r="R68" t="s">
        <v>191</v>
      </c>
      <c r="S68" t="s">
        <v>192</v>
      </c>
      <c r="T68" t="s">
        <v>193</v>
      </c>
    </row>
    <row r="69" spans="1:20" x14ac:dyDescent="0.35">
      <c r="A69">
        <f t="shared" si="3"/>
        <v>2010</v>
      </c>
      <c r="B69">
        <f t="shared" si="3"/>
        <v>2010</v>
      </c>
      <c r="C69" s="1">
        <v>40296</v>
      </c>
      <c r="D69" s="1">
        <v>40344</v>
      </c>
      <c r="F69" s="5">
        <f t="shared" si="2"/>
        <v>48</v>
      </c>
      <c r="G69" t="s">
        <v>307</v>
      </c>
      <c r="H69" s="1">
        <v>40770</v>
      </c>
      <c r="I69" s="4">
        <v>1</v>
      </c>
      <c r="J69" s="4">
        <v>0</v>
      </c>
      <c r="K69" s="4">
        <v>0</v>
      </c>
      <c r="N69" t="s">
        <v>55</v>
      </c>
      <c r="O69">
        <v>1</v>
      </c>
      <c r="Q69" t="s">
        <v>194</v>
      </c>
    </row>
    <row r="70" spans="1:20" x14ac:dyDescent="0.35">
      <c r="A70">
        <f t="shared" si="3"/>
        <v>2010</v>
      </c>
      <c r="B70">
        <f t="shared" si="3"/>
        <v>2010</v>
      </c>
      <c r="C70" s="1">
        <v>40301</v>
      </c>
      <c r="D70" s="1">
        <v>40374</v>
      </c>
      <c r="F70" s="5">
        <f t="shared" si="2"/>
        <v>73</v>
      </c>
      <c r="I70" s="4">
        <v>1</v>
      </c>
      <c r="J70" s="4">
        <v>0</v>
      </c>
      <c r="K70" s="4">
        <v>1</v>
      </c>
      <c r="L70" t="s">
        <v>301</v>
      </c>
      <c r="N70" t="s">
        <v>8</v>
      </c>
      <c r="O70">
        <v>2</v>
      </c>
      <c r="Q70" t="s">
        <v>195</v>
      </c>
      <c r="R70" t="s">
        <v>196</v>
      </c>
    </row>
    <row r="71" spans="1:20" x14ac:dyDescent="0.35">
      <c r="A71">
        <f t="shared" si="3"/>
        <v>2010</v>
      </c>
      <c r="B71">
        <f t="shared" si="3"/>
        <v>2010</v>
      </c>
      <c r="C71" s="1">
        <v>40335</v>
      </c>
      <c r="D71" s="1">
        <v>40344</v>
      </c>
      <c r="F71" s="5">
        <f t="shared" si="2"/>
        <v>9</v>
      </c>
      <c r="I71" s="4">
        <v>2</v>
      </c>
      <c r="J71" s="4">
        <v>0</v>
      </c>
      <c r="K71" s="4">
        <v>0</v>
      </c>
      <c r="L71" t="s">
        <v>293</v>
      </c>
      <c r="N71" t="s">
        <v>96</v>
      </c>
      <c r="O71">
        <v>2</v>
      </c>
      <c r="Q71" t="s">
        <v>197</v>
      </c>
      <c r="R71" t="s">
        <v>198</v>
      </c>
    </row>
    <row r="72" spans="1:20" x14ac:dyDescent="0.35">
      <c r="A72">
        <f t="shared" si="3"/>
        <v>2010</v>
      </c>
      <c r="B72">
        <f t="shared" si="3"/>
        <v>2010</v>
      </c>
      <c r="C72" s="1">
        <v>40412</v>
      </c>
      <c r="D72" s="1">
        <v>40466</v>
      </c>
      <c r="F72" s="5">
        <f t="shared" si="2"/>
        <v>54</v>
      </c>
      <c r="I72" s="4">
        <v>3</v>
      </c>
      <c r="J72" s="4">
        <v>1</v>
      </c>
      <c r="K72" s="4">
        <v>0</v>
      </c>
      <c r="L72" t="s">
        <v>294</v>
      </c>
      <c r="N72" t="s">
        <v>8</v>
      </c>
      <c r="O72">
        <v>4</v>
      </c>
      <c r="Q72" t="s">
        <v>199</v>
      </c>
      <c r="R72" t="s">
        <v>200</v>
      </c>
      <c r="S72" t="s">
        <v>201</v>
      </c>
      <c r="T72" t="s">
        <v>202</v>
      </c>
    </row>
    <row r="73" spans="1:20" x14ac:dyDescent="0.35">
      <c r="A73">
        <f t="shared" si="3"/>
        <v>2010</v>
      </c>
      <c r="B73">
        <f t="shared" si="3"/>
        <v>2012</v>
      </c>
      <c r="C73" s="1">
        <v>40422</v>
      </c>
      <c r="D73" s="1">
        <v>41136</v>
      </c>
      <c r="F73" s="5">
        <f t="shared" si="2"/>
        <v>714</v>
      </c>
      <c r="I73" s="4">
        <v>0</v>
      </c>
      <c r="J73" s="4">
        <v>2</v>
      </c>
      <c r="K73" s="4">
        <v>1</v>
      </c>
      <c r="N73" t="s">
        <v>148</v>
      </c>
      <c r="O73">
        <v>3</v>
      </c>
      <c r="Q73" t="s">
        <v>203</v>
      </c>
      <c r="R73" t="s">
        <v>204</v>
      </c>
      <c r="S73" t="s">
        <v>205</v>
      </c>
    </row>
    <row r="74" spans="1:20" x14ac:dyDescent="0.35">
      <c r="A74">
        <f t="shared" si="3"/>
        <v>2010</v>
      </c>
      <c r="B74">
        <f t="shared" si="3"/>
        <v>2011</v>
      </c>
      <c r="C74" s="1">
        <v>40452</v>
      </c>
      <c r="D74" s="1">
        <v>40862</v>
      </c>
      <c r="F74" s="5">
        <f t="shared" si="2"/>
        <v>410</v>
      </c>
      <c r="I74" s="4">
        <v>1</v>
      </c>
      <c r="J74" s="4">
        <v>0</v>
      </c>
      <c r="K74" s="4">
        <v>0</v>
      </c>
      <c r="N74" t="s">
        <v>146</v>
      </c>
      <c r="O74">
        <v>1</v>
      </c>
      <c r="Q74" t="s">
        <v>206</v>
      </c>
    </row>
    <row r="75" spans="1:20" x14ac:dyDescent="0.35">
      <c r="A75">
        <f t="shared" si="3"/>
        <v>2010</v>
      </c>
      <c r="B75">
        <f t="shared" si="3"/>
        <v>2010</v>
      </c>
      <c r="C75" s="1">
        <v>40425</v>
      </c>
      <c r="D75" s="11">
        <v>40453</v>
      </c>
      <c r="F75" s="5">
        <f t="shared" si="2"/>
        <v>28</v>
      </c>
      <c r="G75" t="s">
        <v>306</v>
      </c>
      <c r="H75" s="1">
        <v>40492</v>
      </c>
      <c r="I75" s="4">
        <v>0</v>
      </c>
      <c r="J75" s="4">
        <v>0</v>
      </c>
      <c r="K75" s="4">
        <v>3</v>
      </c>
      <c r="L75" t="s">
        <v>245</v>
      </c>
      <c r="M75" t="s">
        <v>278</v>
      </c>
      <c r="N75" t="s">
        <v>9</v>
      </c>
      <c r="O75">
        <v>3</v>
      </c>
      <c r="Q75" s="10" t="s">
        <v>242</v>
      </c>
      <c r="R75" s="10" t="s">
        <v>243</v>
      </c>
      <c r="S75" s="10" t="s">
        <v>244</v>
      </c>
    </row>
    <row r="76" spans="1:20" x14ac:dyDescent="0.35">
      <c r="A76">
        <f t="shared" si="3"/>
        <v>2011</v>
      </c>
      <c r="B76">
        <f t="shared" si="3"/>
        <v>2011</v>
      </c>
      <c r="C76" s="1">
        <v>40559</v>
      </c>
      <c r="D76" s="1">
        <v>40678</v>
      </c>
      <c r="F76" s="5">
        <f t="shared" si="2"/>
        <v>119</v>
      </c>
      <c r="G76" t="s">
        <v>307</v>
      </c>
      <c r="H76" s="1">
        <v>40756</v>
      </c>
      <c r="I76" s="4">
        <v>0</v>
      </c>
      <c r="J76" s="4">
        <v>1</v>
      </c>
      <c r="K76" s="4">
        <v>2</v>
      </c>
      <c r="L76" t="s">
        <v>253</v>
      </c>
      <c r="M76" t="s">
        <v>302</v>
      </c>
      <c r="N76" t="s">
        <v>9</v>
      </c>
      <c r="O76">
        <v>3</v>
      </c>
      <c r="Q76" t="s">
        <v>207</v>
      </c>
      <c r="R76" t="s">
        <v>208</v>
      </c>
      <c r="S76" t="s">
        <v>209</v>
      </c>
    </row>
    <row r="77" spans="1:20" x14ac:dyDescent="0.35">
      <c r="A77">
        <f t="shared" si="3"/>
        <v>2011</v>
      </c>
      <c r="B77">
        <f t="shared" si="3"/>
        <v>2011</v>
      </c>
      <c r="C77" s="1">
        <v>40634</v>
      </c>
      <c r="D77" s="1">
        <v>40831</v>
      </c>
      <c r="F77" s="5">
        <f t="shared" si="2"/>
        <v>197</v>
      </c>
      <c r="I77" s="4">
        <v>0</v>
      </c>
      <c r="J77" s="4">
        <v>1</v>
      </c>
      <c r="K77" s="4">
        <v>1</v>
      </c>
      <c r="N77" t="s">
        <v>98</v>
      </c>
      <c r="O77">
        <v>2</v>
      </c>
      <c r="Q77" t="s">
        <v>210</v>
      </c>
      <c r="R77" t="s">
        <v>211</v>
      </c>
    </row>
    <row r="78" spans="1:20" x14ac:dyDescent="0.35">
      <c r="A78">
        <f t="shared" si="3"/>
        <v>2011</v>
      </c>
      <c r="B78">
        <f t="shared" si="3"/>
        <v>2011</v>
      </c>
      <c r="C78" s="1">
        <v>40664</v>
      </c>
      <c r="D78" s="1">
        <v>40831</v>
      </c>
      <c r="F78" s="5">
        <f t="shared" si="2"/>
        <v>167</v>
      </c>
      <c r="I78" s="4">
        <v>0</v>
      </c>
      <c r="J78" s="4">
        <v>2</v>
      </c>
      <c r="K78" s="4">
        <v>1</v>
      </c>
      <c r="N78" t="s">
        <v>146</v>
      </c>
      <c r="O78">
        <v>3</v>
      </c>
      <c r="Q78" t="s">
        <v>212</v>
      </c>
      <c r="R78" t="s">
        <v>213</v>
      </c>
      <c r="S78" t="s">
        <v>214</v>
      </c>
    </row>
    <row r="79" spans="1:20" x14ac:dyDescent="0.35">
      <c r="A79">
        <f t="shared" si="3"/>
        <v>2011</v>
      </c>
      <c r="B79">
        <f t="shared" si="3"/>
        <v>2011</v>
      </c>
      <c r="C79" s="1">
        <v>40664</v>
      </c>
      <c r="D79" s="1">
        <v>40862</v>
      </c>
      <c r="F79" s="5">
        <f t="shared" si="2"/>
        <v>198</v>
      </c>
      <c r="I79" s="4">
        <v>3</v>
      </c>
      <c r="J79" s="4">
        <v>1</v>
      </c>
      <c r="K79" s="4">
        <v>0</v>
      </c>
      <c r="N79" t="s">
        <v>146</v>
      </c>
      <c r="O79">
        <v>4</v>
      </c>
      <c r="Q79" t="s">
        <v>215</v>
      </c>
      <c r="R79" t="s">
        <v>216</v>
      </c>
      <c r="S79" t="s">
        <v>217</v>
      </c>
      <c r="T79" t="s">
        <v>218</v>
      </c>
    </row>
    <row r="80" spans="1:20" x14ac:dyDescent="0.35">
      <c r="A80">
        <f t="shared" si="3"/>
        <v>2011</v>
      </c>
      <c r="B80">
        <f t="shared" si="3"/>
        <v>2011</v>
      </c>
      <c r="C80" s="1">
        <v>40695</v>
      </c>
      <c r="D80" s="1">
        <v>40801</v>
      </c>
      <c r="F80" s="5">
        <f t="shared" si="2"/>
        <v>106</v>
      </c>
      <c r="I80" s="4">
        <v>0</v>
      </c>
      <c r="J80" s="4">
        <v>2</v>
      </c>
      <c r="K80" s="4">
        <v>2</v>
      </c>
      <c r="N80" t="s">
        <v>144</v>
      </c>
      <c r="O80">
        <v>4</v>
      </c>
      <c r="Q80" t="s">
        <v>219</v>
      </c>
      <c r="R80" t="s">
        <v>220</v>
      </c>
      <c r="S80" t="s">
        <v>221</v>
      </c>
      <c r="T80" t="s">
        <v>222</v>
      </c>
    </row>
    <row r="81" spans="1:21" x14ac:dyDescent="0.35">
      <c r="A81">
        <f t="shared" si="3"/>
        <v>2011</v>
      </c>
      <c r="B81">
        <f t="shared" si="3"/>
        <v>2011</v>
      </c>
      <c r="C81" s="1">
        <v>40739</v>
      </c>
      <c r="D81" s="1">
        <v>40801</v>
      </c>
      <c r="F81" s="5">
        <f t="shared" si="2"/>
        <v>62</v>
      </c>
      <c r="I81" s="4">
        <v>0</v>
      </c>
      <c r="J81" s="4">
        <v>1</v>
      </c>
      <c r="K81" s="4">
        <v>2</v>
      </c>
      <c r="N81" t="s">
        <v>144</v>
      </c>
      <c r="O81">
        <v>3</v>
      </c>
      <c r="Q81" t="s">
        <v>223</v>
      </c>
      <c r="R81" t="s">
        <v>224</v>
      </c>
      <c r="S81" t="s">
        <v>225</v>
      </c>
    </row>
    <row r="82" spans="1:21" x14ac:dyDescent="0.35">
      <c r="A82">
        <f t="shared" si="3"/>
        <v>2011</v>
      </c>
      <c r="B82">
        <f t="shared" si="3"/>
        <v>2012</v>
      </c>
      <c r="C82" s="1">
        <v>40817</v>
      </c>
      <c r="D82" s="1">
        <v>41167</v>
      </c>
      <c r="F82" s="5">
        <f t="shared" si="2"/>
        <v>350</v>
      </c>
      <c r="I82" s="4">
        <v>1</v>
      </c>
      <c r="J82" s="4">
        <v>1</v>
      </c>
      <c r="K82" s="4">
        <v>0</v>
      </c>
      <c r="L82" t="s">
        <v>291</v>
      </c>
      <c r="N82" t="s">
        <v>8</v>
      </c>
      <c r="O82">
        <v>2</v>
      </c>
      <c r="Q82" t="s">
        <v>226</v>
      </c>
      <c r="R82" t="s">
        <v>227</v>
      </c>
    </row>
    <row r="83" spans="1:21" x14ac:dyDescent="0.35">
      <c r="A83">
        <f t="shared" si="3"/>
        <v>2011</v>
      </c>
      <c r="B83">
        <f t="shared" si="3"/>
        <v>2012</v>
      </c>
      <c r="C83" s="1">
        <v>40819</v>
      </c>
      <c r="D83" s="1">
        <v>41197</v>
      </c>
      <c r="F83" s="5">
        <f t="shared" si="2"/>
        <v>378</v>
      </c>
      <c r="I83" s="4">
        <v>2</v>
      </c>
      <c r="J83" s="4">
        <v>0</v>
      </c>
      <c r="K83" s="4">
        <v>0</v>
      </c>
      <c r="N83" t="s">
        <v>176</v>
      </c>
      <c r="O83">
        <v>3</v>
      </c>
      <c r="Q83" t="s">
        <v>228</v>
      </c>
      <c r="R83" t="s">
        <v>229</v>
      </c>
      <c r="S83" t="s">
        <v>230</v>
      </c>
    </row>
    <row r="84" spans="1:21" x14ac:dyDescent="0.35">
      <c r="A84">
        <f t="shared" si="3"/>
        <v>2011</v>
      </c>
      <c r="B84">
        <f t="shared" si="3"/>
        <v>2011</v>
      </c>
      <c r="C84" s="1">
        <v>40575</v>
      </c>
      <c r="D84" s="1">
        <v>40757</v>
      </c>
      <c r="F84" s="5">
        <f>D84-C84</f>
        <v>182</v>
      </c>
      <c r="I84" s="4">
        <v>0</v>
      </c>
      <c r="J84" s="4">
        <v>1</v>
      </c>
      <c r="K84" s="4">
        <v>0</v>
      </c>
      <c r="L84" t="s">
        <v>279</v>
      </c>
      <c r="N84" t="s">
        <v>96</v>
      </c>
      <c r="O84" s="4">
        <v>1</v>
      </c>
      <c r="Q84" s="10" t="s">
        <v>255</v>
      </c>
    </row>
    <row r="85" spans="1:21" x14ac:dyDescent="0.35">
      <c r="A85">
        <f t="shared" si="3"/>
        <v>2012</v>
      </c>
      <c r="B85">
        <f t="shared" si="3"/>
        <v>2012</v>
      </c>
      <c r="C85" s="1">
        <v>41000</v>
      </c>
      <c r="D85" s="1">
        <v>41197</v>
      </c>
      <c r="F85" s="5">
        <f t="shared" si="2"/>
        <v>197</v>
      </c>
      <c r="I85" s="4">
        <v>2</v>
      </c>
      <c r="J85" s="4">
        <v>0</v>
      </c>
      <c r="K85" s="4">
        <v>0</v>
      </c>
      <c r="N85" t="s">
        <v>176</v>
      </c>
      <c r="O85">
        <v>2</v>
      </c>
      <c r="Q85" t="s">
        <v>231</v>
      </c>
      <c r="R85" t="s">
        <v>232</v>
      </c>
    </row>
    <row r="86" spans="1:21" x14ac:dyDescent="0.35">
      <c r="A86">
        <f t="shared" si="3"/>
        <v>2012</v>
      </c>
      <c r="B86">
        <f t="shared" si="3"/>
        <v>2012</v>
      </c>
      <c r="C86" s="1">
        <v>41075</v>
      </c>
      <c r="D86" s="1">
        <v>41228</v>
      </c>
      <c r="F86" s="5">
        <f t="shared" si="2"/>
        <v>153</v>
      </c>
      <c r="I86" s="4">
        <v>1</v>
      </c>
      <c r="J86" s="4">
        <v>0</v>
      </c>
      <c r="K86" s="4">
        <v>0</v>
      </c>
      <c r="L86" t="s">
        <v>303</v>
      </c>
      <c r="N86" t="s">
        <v>8</v>
      </c>
      <c r="O86">
        <v>1</v>
      </c>
      <c r="Q86" t="s">
        <v>233</v>
      </c>
    </row>
    <row r="87" spans="1:21" x14ac:dyDescent="0.35">
      <c r="A87">
        <f t="shared" si="3"/>
        <v>2012</v>
      </c>
      <c r="B87">
        <f t="shared" si="3"/>
        <v>2012</v>
      </c>
      <c r="C87" s="1">
        <v>41157</v>
      </c>
      <c r="D87" s="1">
        <v>41197</v>
      </c>
      <c r="F87" s="5">
        <f t="shared" si="2"/>
        <v>40</v>
      </c>
      <c r="I87" s="4">
        <v>0</v>
      </c>
      <c r="J87" s="4">
        <v>1</v>
      </c>
      <c r="K87" s="4">
        <v>0</v>
      </c>
      <c r="L87" t="s">
        <v>304</v>
      </c>
      <c r="M87" t="s">
        <v>305</v>
      </c>
      <c r="N87" t="s">
        <v>8</v>
      </c>
      <c r="O87">
        <v>1</v>
      </c>
      <c r="Q87" t="s">
        <v>234</v>
      </c>
    </row>
    <row r="88" spans="1:21" x14ac:dyDescent="0.35">
      <c r="A88">
        <f t="shared" si="3"/>
        <v>2012</v>
      </c>
      <c r="B88">
        <f t="shared" si="3"/>
        <v>2012</v>
      </c>
      <c r="C88" s="1">
        <v>41166</v>
      </c>
      <c r="D88" s="1">
        <v>41197</v>
      </c>
      <c r="F88" s="5">
        <f t="shared" si="2"/>
        <v>31</v>
      </c>
      <c r="I88" s="4">
        <v>0</v>
      </c>
      <c r="J88" s="4">
        <v>0</v>
      </c>
      <c r="K88" s="4">
        <v>3</v>
      </c>
      <c r="L88" t="s">
        <v>170</v>
      </c>
      <c r="N88" t="s">
        <v>148</v>
      </c>
      <c r="O88">
        <v>3</v>
      </c>
      <c r="Q88" t="s">
        <v>235</v>
      </c>
      <c r="R88" t="s">
        <v>236</v>
      </c>
      <c r="S88" t="s">
        <v>237</v>
      </c>
    </row>
    <row r="89" spans="1:21" x14ac:dyDescent="0.35">
      <c r="A89">
        <f t="shared" si="3"/>
        <v>2012</v>
      </c>
      <c r="B89">
        <f t="shared" si="3"/>
        <v>2012</v>
      </c>
      <c r="C89" s="1">
        <v>41205</v>
      </c>
      <c r="D89" s="1">
        <v>41228</v>
      </c>
      <c r="F89" s="5">
        <f t="shared" si="2"/>
        <v>23</v>
      </c>
      <c r="I89" s="4">
        <v>1</v>
      </c>
      <c r="J89" s="4">
        <v>2</v>
      </c>
      <c r="K89" s="4">
        <v>0</v>
      </c>
      <c r="L89" t="s">
        <v>288</v>
      </c>
      <c r="M89" t="s">
        <v>169</v>
      </c>
      <c r="N89" t="s">
        <v>55</v>
      </c>
      <c r="O89">
        <v>3</v>
      </c>
      <c r="Q89" t="s">
        <v>238</v>
      </c>
      <c r="R89" t="s">
        <v>239</v>
      </c>
      <c r="S89" t="s">
        <v>240</v>
      </c>
    </row>
    <row r="90" spans="1:21" x14ac:dyDescent="0.35">
      <c r="A90">
        <f t="shared" si="3"/>
        <v>2012</v>
      </c>
      <c r="B90">
        <f t="shared" si="3"/>
        <v>2013</v>
      </c>
      <c r="C90" s="1">
        <v>41258</v>
      </c>
      <c r="D90" s="12">
        <v>41470</v>
      </c>
      <c r="F90" s="5">
        <f t="shared" si="2"/>
        <v>212</v>
      </c>
      <c r="I90" s="4">
        <v>2</v>
      </c>
      <c r="J90" s="4">
        <v>1</v>
      </c>
      <c r="K90" s="4">
        <v>0</v>
      </c>
      <c r="N90" t="s">
        <v>9</v>
      </c>
      <c r="O90">
        <v>4</v>
      </c>
      <c r="Q90" s="10" t="s">
        <v>257</v>
      </c>
      <c r="R90" s="10" t="s">
        <v>258</v>
      </c>
      <c r="S90" s="10" t="s">
        <v>259</v>
      </c>
      <c r="T90" s="10" t="s">
        <v>260</v>
      </c>
    </row>
    <row r="91" spans="1:21" x14ac:dyDescent="0.35">
      <c r="A91">
        <f t="shared" si="3"/>
        <v>2012</v>
      </c>
      <c r="B91">
        <f t="shared" si="3"/>
        <v>2013</v>
      </c>
      <c r="C91" s="1">
        <v>41244</v>
      </c>
      <c r="D91" s="3">
        <v>41380</v>
      </c>
      <c r="F91" s="5">
        <f t="shared" si="2"/>
        <v>136</v>
      </c>
      <c r="G91" t="s">
        <v>308</v>
      </c>
      <c r="H91" s="1">
        <v>41550</v>
      </c>
      <c r="I91" s="4">
        <v>0</v>
      </c>
      <c r="J91" s="4">
        <v>3</v>
      </c>
      <c r="K91" s="4">
        <v>0</v>
      </c>
      <c r="L91" t="s">
        <v>283</v>
      </c>
      <c r="N91" t="s">
        <v>148</v>
      </c>
      <c r="O91">
        <v>3</v>
      </c>
      <c r="P91" t="s">
        <v>282</v>
      </c>
      <c r="Q91" s="7" t="s">
        <v>261</v>
      </c>
      <c r="R91" s="8" t="s">
        <v>262</v>
      </c>
      <c r="S91" s="8" t="s">
        <v>263</v>
      </c>
    </row>
    <row r="92" spans="1:21" x14ac:dyDescent="0.35">
      <c r="A92">
        <f t="shared" si="3"/>
        <v>2012</v>
      </c>
      <c r="B92">
        <f t="shared" si="3"/>
        <v>2013</v>
      </c>
      <c r="C92" s="1">
        <v>40909</v>
      </c>
      <c r="D92" s="1">
        <v>41606</v>
      </c>
      <c r="F92" s="5">
        <f t="shared" si="2"/>
        <v>697</v>
      </c>
      <c r="I92" s="4">
        <v>0</v>
      </c>
      <c r="J92" s="4">
        <v>1</v>
      </c>
      <c r="K92" s="4">
        <v>0</v>
      </c>
      <c r="N92" t="s">
        <v>38</v>
      </c>
      <c r="O92">
        <v>1</v>
      </c>
      <c r="Q92" t="s">
        <v>264</v>
      </c>
    </row>
    <row r="93" spans="1:21" x14ac:dyDescent="0.35">
      <c r="A93">
        <f>YEAR(C93)</f>
        <v>2012</v>
      </c>
      <c r="B93">
        <f t="shared" ref="B93" si="4">YEAR(D93)</f>
        <v>2013</v>
      </c>
      <c r="C93" s="1">
        <v>41228</v>
      </c>
      <c r="D93" s="1">
        <v>41516</v>
      </c>
      <c r="E93" s="2">
        <v>41585</v>
      </c>
      <c r="F93" s="5">
        <f t="shared" si="2"/>
        <v>288</v>
      </c>
      <c r="I93" s="4">
        <v>1</v>
      </c>
      <c r="J93" s="4">
        <v>4</v>
      </c>
      <c r="K93" s="4">
        <v>0</v>
      </c>
      <c r="N93" t="s">
        <v>38</v>
      </c>
      <c r="O93">
        <v>5</v>
      </c>
      <c r="Q93" s="8" t="s">
        <v>265</v>
      </c>
      <c r="R93" s="8" t="s">
        <v>266</v>
      </c>
      <c r="S93" s="8" t="s">
        <v>267</v>
      </c>
      <c r="T93" s="8" t="s">
        <v>268</v>
      </c>
      <c r="U93" t="s">
        <v>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litters(&lt;2yrs at first detect)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2018-01-23T19:45:21Z</dcterms:modified>
</cp:coreProperties>
</file>