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pcadmin\Dropbox\thandi\lion_capture_history\original_excel_files\"/>
    </mc:Choice>
  </mc:AlternateContent>
  <bookViews>
    <workbookView xWindow="0" yWindow="0" windowWidth="20736" windowHeight="8628" tabRatio="589" firstSheet="6" activeTab="6"/>
  </bookViews>
  <sheets>
    <sheet name="BCC" sheetId="1" r:id="rId1"/>
    <sheet name="NHK" sheetId="6" r:id="rId2"/>
    <sheet name="CH" sheetId="7" r:id="rId3"/>
    <sheet name="LM" sheetId="8" r:id="rId4"/>
    <sheet name="NS" sheetId="9" r:id="rId5"/>
    <sheet name="Coa" sheetId="10" r:id="rId6"/>
    <sheet name="allprides" sheetId="11" r:id="rId7"/>
    <sheet name="input_format" sheetId="13" r:id="rId8"/>
    <sheet name="2014_slnp_lion_ch" sheetId="12" r:id="rId9"/>
    <sheet name="2014_slnp_lion_3monRD" sheetId="14" r:id="rId10"/>
  </sheets>
  <externalReferences>
    <externalReference r:id="rId11"/>
    <externalReference r:id="rId12"/>
  </externalReferences>
  <definedNames>
    <definedName name="_xlnm.Print_Area" localSheetId="0">BCC!$A$1:$N$56</definedName>
    <definedName name="_xlnm.Print_Area" localSheetId="1">NHK!$A$1:$P$90</definedName>
  </definedNames>
  <calcPr calcId="152511"/>
</workbook>
</file>

<file path=xl/calcChain.xml><?xml version="1.0" encoding="utf-8"?>
<calcChain xmlns="http://schemas.openxmlformats.org/spreadsheetml/2006/main">
  <c r="A163" i="14" l="1"/>
  <c r="A164" i="14"/>
  <c r="A165" i="14"/>
  <c r="A166" i="14"/>
  <c r="A167" i="14"/>
  <c r="A168" i="14"/>
  <c r="A169" i="14"/>
  <c r="A170" i="14"/>
  <c r="A171" i="14"/>
  <c r="A155" i="14"/>
  <c r="A156" i="14"/>
  <c r="A157" i="14"/>
  <c r="A158" i="14"/>
  <c r="A159" i="14"/>
  <c r="A160" i="14"/>
  <c r="A161" i="14"/>
  <c r="A162" i="14"/>
  <c r="A148" i="14"/>
  <c r="A149" i="14"/>
  <c r="A150" i="14"/>
  <c r="A151" i="14"/>
  <c r="A152" i="14"/>
  <c r="A153" i="14"/>
  <c r="A154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" i="14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" i="13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33" i="11"/>
  <c r="AB34" i="11"/>
  <c r="AB35" i="11"/>
  <c r="AB36" i="11"/>
  <c r="AB37" i="11"/>
  <c r="AB38" i="11"/>
  <c r="AB39" i="11"/>
  <c r="AB40" i="11"/>
  <c r="AB41" i="11"/>
  <c r="AB42" i="11"/>
  <c r="AB43" i="11"/>
  <c r="AB44" i="11"/>
  <c r="AB45" i="11"/>
  <c r="AB46" i="11"/>
  <c r="AB47" i="11"/>
  <c r="AB48" i="11"/>
  <c r="AB49" i="11"/>
  <c r="AB50" i="11"/>
  <c r="AB51" i="11"/>
  <c r="AB52" i="11"/>
  <c r="AB53" i="11"/>
  <c r="AB54" i="11"/>
  <c r="AB55" i="11"/>
  <c r="AB56" i="11"/>
  <c r="AB57" i="11"/>
  <c r="AB58" i="11"/>
  <c r="AB59" i="11"/>
  <c r="AB60" i="11"/>
  <c r="AB61" i="11"/>
  <c r="AB62" i="11"/>
  <c r="AB63" i="11"/>
  <c r="AB65" i="11"/>
  <c r="AB66" i="11"/>
  <c r="AB67" i="11"/>
  <c r="AB68" i="11"/>
  <c r="AB69" i="11"/>
  <c r="AB70" i="11"/>
  <c r="AB71" i="11"/>
  <c r="AB72" i="11"/>
  <c r="AB73" i="11"/>
  <c r="AB74" i="11"/>
  <c r="AB75" i="11"/>
  <c r="AB76" i="11"/>
  <c r="AB77" i="11"/>
  <c r="AB78" i="11"/>
  <c r="AB79" i="11"/>
  <c r="AB80" i="11"/>
  <c r="AB81" i="11"/>
  <c r="AB82" i="11"/>
  <c r="AB83" i="11"/>
  <c r="AB84" i="11"/>
  <c r="AB85" i="11"/>
  <c r="AB86" i="11"/>
  <c r="AB87" i="11"/>
  <c r="AB88" i="11"/>
  <c r="AB89" i="11"/>
  <c r="AB90" i="11"/>
  <c r="AB91" i="11"/>
  <c r="AB92" i="11"/>
  <c r="AB93" i="11"/>
  <c r="AB94" i="11"/>
  <c r="AB95" i="11"/>
  <c r="AB96" i="11"/>
  <c r="AB97" i="11"/>
  <c r="AB98" i="11"/>
  <c r="AB99" i="11"/>
  <c r="AB100" i="11"/>
  <c r="AB101" i="11"/>
  <c r="AB102" i="11"/>
  <c r="AB103" i="11"/>
  <c r="AB104" i="11"/>
  <c r="AB105" i="11"/>
  <c r="AB106" i="11"/>
  <c r="AB107" i="11"/>
  <c r="AB108" i="11"/>
  <c r="AB109" i="11"/>
  <c r="AB110" i="11"/>
  <c r="AB111" i="11"/>
  <c r="AB112" i="11"/>
  <c r="AB113" i="11"/>
  <c r="AB114" i="11"/>
  <c r="AB115" i="11"/>
  <c r="AB116" i="11"/>
  <c r="AB117" i="11"/>
  <c r="AB118" i="11"/>
  <c r="AB119" i="11"/>
  <c r="AB120" i="11"/>
  <c r="AB121" i="11"/>
  <c r="AB122" i="11"/>
  <c r="AB123" i="11"/>
  <c r="AB124" i="11"/>
  <c r="AB125" i="11"/>
  <c r="AB126" i="11"/>
  <c r="AB127" i="11"/>
  <c r="AB128" i="11"/>
  <c r="AB129" i="11"/>
  <c r="AB130" i="11"/>
  <c r="AB131" i="11"/>
  <c r="AB132" i="11"/>
  <c r="AB133" i="11"/>
  <c r="AB134" i="11"/>
  <c r="AB135" i="11"/>
  <c r="AB136" i="11"/>
  <c r="AB137" i="11"/>
  <c r="AB138" i="11"/>
  <c r="AB139" i="11"/>
  <c r="AB140" i="11"/>
  <c r="AB141" i="11"/>
  <c r="AB142" i="11"/>
  <c r="AB143" i="11"/>
  <c r="AB144" i="11"/>
  <c r="AB145" i="11"/>
  <c r="AB146" i="11"/>
  <c r="AB147" i="11"/>
  <c r="AB148" i="11"/>
  <c r="AB149" i="11"/>
  <c r="AB150" i="11"/>
  <c r="AB151" i="11"/>
  <c r="AB152" i="11"/>
  <c r="AB153" i="11"/>
  <c r="AB154" i="11"/>
  <c r="AB155" i="11"/>
  <c r="AB156" i="11"/>
  <c r="AB157" i="11"/>
  <c r="AB158" i="11"/>
  <c r="AB159" i="11"/>
  <c r="AB160" i="11"/>
  <c r="AB161" i="11"/>
  <c r="AB162" i="11"/>
  <c r="AB163" i="11"/>
  <c r="AB164" i="11"/>
  <c r="AB165" i="11"/>
  <c r="AB166" i="11"/>
  <c r="AB167" i="11"/>
  <c r="AB168" i="11"/>
  <c r="AB169" i="11"/>
  <c r="AB170" i="11"/>
  <c r="AB171" i="11"/>
  <c r="AB2" i="11"/>
  <c r="P62" i="11"/>
  <c r="Z62" i="11"/>
  <c r="S62" i="11"/>
  <c r="R62" i="11"/>
  <c r="V6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33" i="11"/>
  <c r="AA34" i="11"/>
  <c r="AA35" i="11"/>
  <c r="AA36" i="11"/>
  <c r="AA37" i="11"/>
  <c r="AA38" i="11"/>
  <c r="AA39" i="11"/>
  <c r="AA40" i="11"/>
  <c r="AA41" i="11"/>
  <c r="AA42" i="11"/>
  <c r="AA43" i="11"/>
  <c r="AA44" i="11"/>
  <c r="AA45" i="11"/>
  <c r="AA46" i="11"/>
  <c r="AA47" i="11"/>
  <c r="AA48" i="11"/>
  <c r="AA49" i="11"/>
  <c r="AA50" i="11"/>
  <c r="AA51" i="11"/>
  <c r="AA52" i="11"/>
  <c r="AA53" i="11"/>
  <c r="AA54" i="11"/>
  <c r="AA55" i="11"/>
  <c r="AA56" i="11"/>
  <c r="AA57" i="11"/>
  <c r="AA58" i="11"/>
  <c r="AA59" i="11"/>
  <c r="AA60" i="11"/>
  <c r="AA61" i="11"/>
  <c r="AA62" i="11"/>
  <c r="AA63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AA81" i="11"/>
  <c r="AA82" i="11"/>
  <c r="AA83" i="11"/>
  <c r="AA84" i="11"/>
  <c r="AA85" i="11"/>
  <c r="AA86" i="11"/>
  <c r="AA87" i="11"/>
  <c r="AA88" i="11"/>
  <c r="AA89" i="11"/>
  <c r="AA90" i="11"/>
  <c r="AA91" i="11"/>
  <c r="AA92" i="11"/>
  <c r="AA93" i="11"/>
  <c r="AA94" i="11"/>
  <c r="AA95" i="11"/>
  <c r="AA96" i="11"/>
  <c r="AA97" i="11"/>
  <c r="AA98" i="11"/>
  <c r="AA99" i="11"/>
  <c r="AA100" i="11"/>
  <c r="AA101" i="11"/>
  <c r="AA102" i="11"/>
  <c r="AA103" i="11"/>
  <c r="AA104" i="11"/>
  <c r="AA105" i="11"/>
  <c r="AA106" i="11"/>
  <c r="AA107" i="11"/>
  <c r="AA108" i="11"/>
  <c r="AA109" i="11"/>
  <c r="AA110" i="11"/>
  <c r="AA111" i="11"/>
  <c r="AA112" i="11"/>
  <c r="AA113" i="11"/>
  <c r="AA114" i="11"/>
  <c r="AA115" i="11"/>
  <c r="AA116" i="11"/>
  <c r="AA117" i="11"/>
  <c r="AA118" i="11"/>
  <c r="AA119" i="11"/>
  <c r="AA120" i="11"/>
  <c r="AA121" i="11"/>
  <c r="AA122" i="11"/>
  <c r="AA123" i="11"/>
  <c r="AA124" i="11"/>
  <c r="AA125" i="11"/>
  <c r="AA126" i="11"/>
  <c r="AA127" i="11"/>
  <c r="AA128" i="11"/>
  <c r="AA129" i="11"/>
  <c r="AA130" i="11"/>
  <c r="AA131" i="11"/>
  <c r="AA132" i="11"/>
  <c r="AA133" i="11"/>
  <c r="AA134" i="11"/>
  <c r="AA135" i="11"/>
  <c r="AA136" i="11"/>
  <c r="AA137" i="11"/>
  <c r="AA138" i="11"/>
  <c r="AA139" i="11"/>
  <c r="AA140" i="11"/>
  <c r="AA141" i="11"/>
  <c r="AA142" i="11"/>
  <c r="AA143" i="11"/>
  <c r="AA144" i="11"/>
  <c r="AA145" i="11"/>
  <c r="AA146" i="11"/>
  <c r="AA147" i="11"/>
  <c r="AA148" i="11"/>
  <c r="AA149" i="11"/>
  <c r="AA150" i="11"/>
  <c r="AA151" i="11"/>
  <c r="AA152" i="11"/>
  <c r="AA153" i="11"/>
  <c r="AA154" i="11"/>
  <c r="AA155" i="11"/>
  <c r="AA156" i="11"/>
  <c r="AA157" i="11"/>
  <c r="AA158" i="11"/>
  <c r="AA159" i="11"/>
  <c r="AA160" i="11"/>
  <c r="AA161" i="11"/>
  <c r="AA162" i="11"/>
  <c r="AA163" i="11"/>
  <c r="AA164" i="11"/>
  <c r="AA165" i="11"/>
  <c r="AA166" i="11"/>
  <c r="AA167" i="11"/>
  <c r="AA168" i="11"/>
  <c r="AA169" i="11"/>
  <c r="AA170" i="11"/>
  <c r="AA171" i="11"/>
  <c r="AA2" i="11"/>
  <c r="Z20" i="11"/>
  <c r="Z21" i="11"/>
  <c r="Z22" i="11"/>
  <c r="Z23" i="11"/>
  <c r="Z24" i="11"/>
  <c r="Z33" i="11"/>
  <c r="Z34" i="11"/>
  <c r="Z35" i="11"/>
  <c r="Z37" i="11"/>
  <c r="Z38" i="11"/>
  <c r="Z51" i="11"/>
  <c r="Z52" i="11"/>
  <c r="Z53" i="11"/>
  <c r="Z54" i="11"/>
  <c r="Z55" i="11"/>
  <c r="Z56" i="11"/>
  <c r="Z57" i="11"/>
  <c r="Z58" i="11"/>
  <c r="Z66" i="11"/>
  <c r="Z68" i="11"/>
  <c r="Z69" i="11"/>
  <c r="Z85" i="11"/>
  <c r="Z86" i="11"/>
  <c r="Z87" i="11"/>
  <c r="Z88" i="11"/>
  <c r="Z89" i="11"/>
  <c r="Z95" i="11"/>
  <c r="Z96" i="11"/>
  <c r="Z97" i="11"/>
  <c r="Z103" i="11"/>
  <c r="Z115" i="11"/>
  <c r="Z116" i="11"/>
  <c r="Z120" i="11"/>
  <c r="Z121" i="11"/>
  <c r="Z122" i="11"/>
  <c r="Z123" i="11"/>
  <c r="Z131" i="11"/>
  <c r="Z132" i="11"/>
  <c r="Z133" i="11"/>
  <c r="Z134" i="11"/>
  <c r="Z135" i="11"/>
  <c r="Z136" i="11"/>
  <c r="Z137" i="11"/>
  <c r="Z138" i="11"/>
  <c r="Z139" i="11"/>
  <c r="Z140" i="11"/>
  <c r="Z141" i="11"/>
  <c r="Z142" i="11"/>
  <c r="Z143" i="11"/>
  <c r="Z144" i="11"/>
  <c r="Z145" i="11"/>
  <c r="Z146" i="11"/>
  <c r="Z147" i="11"/>
  <c r="Z148" i="11"/>
  <c r="Z149" i="11"/>
  <c r="Z150" i="11"/>
  <c r="Z151" i="11"/>
  <c r="V171" i="11"/>
  <c r="U171" i="11"/>
  <c r="T171" i="11"/>
  <c r="S171" i="11"/>
  <c r="R171" i="11"/>
  <c r="Q171" i="11"/>
  <c r="P171" i="11"/>
  <c r="V170" i="11"/>
  <c r="U170" i="11"/>
  <c r="T170" i="11"/>
  <c r="S170" i="11"/>
  <c r="R170" i="11"/>
  <c r="Q170" i="11"/>
  <c r="P170" i="11"/>
  <c r="V169" i="11"/>
  <c r="U169" i="11"/>
  <c r="T169" i="11"/>
  <c r="S169" i="11"/>
  <c r="R169" i="11"/>
  <c r="Q169" i="11"/>
  <c r="P169" i="11"/>
  <c r="V168" i="11"/>
  <c r="U168" i="11"/>
  <c r="T168" i="11"/>
  <c r="S168" i="11"/>
  <c r="R168" i="11"/>
  <c r="Q168" i="11"/>
  <c r="P168" i="11"/>
  <c r="W167" i="11"/>
  <c r="V167" i="11"/>
  <c r="U167" i="11"/>
  <c r="T167" i="11"/>
  <c r="S167" i="11"/>
  <c r="R167" i="11"/>
  <c r="Q167" i="11"/>
  <c r="P167" i="11"/>
  <c r="W166" i="11"/>
  <c r="V166" i="11"/>
  <c r="U166" i="11"/>
  <c r="T166" i="11"/>
  <c r="S166" i="11"/>
  <c r="R166" i="11"/>
  <c r="Q166" i="11"/>
  <c r="P166" i="11"/>
  <c r="W165" i="11"/>
  <c r="V165" i="11"/>
  <c r="U165" i="11"/>
  <c r="T165" i="11"/>
  <c r="S165" i="11"/>
  <c r="R165" i="11"/>
  <c r="Q165" i="11"/>
  <c r="P165" i="11"/>
  <c r="W164" i="11"/>
  <c r="V164" i="11"/>
  <c r="U164" i="11"/>
  <c r="T164" i="11"/>
  <c r="S164" i="11"/>
  <c r="R164" i="11"/>
  <c r="Q164" i="11"/>
  <c r="P164" i="11"/>
  <c r="W163" i="11"/>
  <c r="V163" i="11"/>
  <c r="U163" i="11"/>
  <c r="T163" i="11"/>
  <c r="S163" i="11"/>
  <c r="R163" i="11"/>
  <c r="Q163" i="11"/>
  <c r="P163" i="11"/>
  <c r="W162" i="11"/>
  <c r="V162" i="11"/>
  <c r="U162" i="11"/>
  <c r="T162" i="11"/>
  <c r="S162" i="11"/>
  <c r="R162" i="11"/>
  <c r="Q162" i="11"/>
  <c r="P162" i="11"/>
  <c r="W161" i="11"/>
  <c r="V161" i="11"/>
  <c r="U161" i="11"/>
  <c r="T161" i="11"/>
  <c r="S161" i="11"/>
  <c r="R161" i="11"/>
  <c r="Q161" i="11"/>
  <c r="P161" i="11"/>
  <c r="W160" i="11"/>
  <c r="V160" i="11"/>
  <c r="U160" i="11"/>
  <c r="T160" i="11"/>
  <c r="S160" i="11"/>
  <c r="Q160" i="11"/>
  <c r="P160" i="11"/>
  <c r="W159" i="11"/>
  <c r="V159" i="11"/>
  <c r="U159" i="11"/>
  <c r="T159" i="11"/>
  <c r="S159" i="11"/>
  <c r="R159" i="11"/>
  <c r="Q159" i="11"/>
  <c r="P159" i="11"/>
  <c r="W158" i="11"/>
  <c r="V158" i="11"/>
  <c r="U158" i="11"/>
  <c r="T158" i="11"/>
  <c r="S158" i="11"/>
  <c r="R158" i="11"/>
  <c r="Q158" i="11"/>
  <c r="P158" i="11"/>
  <c r="W157" i="11"/>
  <c r="V157" i="11"/>
  <c r="U157" i="11"/>
  <c r="T157" i="11"/>
  <c r="S157" i="11"/>
  <c r="R157" i="11"/>
  <c r="Q157" i="11"/>
  <c r="P157" i="11"/>
  <c r="W156" i="11"/>
  <c r="V156" i="11"/>
  <c r="U156" i="11"/>
  <c r="T156" i="11"/>
  <c r="S156" i="11"/>
  <c r="R156" i="11"/>
  <c r="Q156" i="11"/>
  <c r="P156" i="11"/>
  <c r="W155" i="11"/>
  <c r="V155" i="11"/>
  <c r="U155" i="11"/>
  <c r="T155" i="11"/>
  <c r="S155" i="11"/>
  <c r="R155" i="11"/>
  <c r="Q155" i="11"/>
  <c r="P155" i="11"/>
  <c r="W154" i="11"/>
  <c r="V154" i="11"/>
  <c r="U154" i="11"/>
  <c r="T154" i="11"/>
  <c r="S154" i="11"/>
  <c r="R154" i="11"/>
  <c r="Q154" i="11"/>
  <c r="P154" i="11"/>
  <c r="W153" i="11"/>
  <c r="V153" i="11"/>
  <c r="U153" i="11"/>
  <c r="T153" i="11"/>
  <c r="S153" i="11"/>
  <c r="R153" i="11"/>
  <c r="Q153" i="11"/>
  <c r="P153" i="11"/>
  <c r="W152" i="11"/>
  <c r="V152" i="11"/>
  <c r="U152" i="11"/>
  <c r="T152" i="11"/>
  <c r="S152" i="11"/>
  <c r="R152" i="11"/>
  <c r="Q152" i="11"/>
  <c r="P152" i="11"/>
  <c r="W135" i="11"/>
  <c r="W134" i="11"/>
  <c r="W133" i="11"/>
  <c r="W132" i="11"/>
  <c r="W131" i="11"/>
  <c r="W130" i="11"/>
  <c r="V130" i="11"/>
  <c r="U130" i="11"/>
  <c r="T130" i="11"/>
  <c r="S130" i="11"/>
  <c r="R130" i="11"/>
  <c r="Q130" i="11"/>
  <c r="P130" i="11"/>
  <c r="W129" i="11"/>
  <c r="V129" i="11"/>
  <c r="U129" i="11"/>
  <c r="T129" i="11"/>
  <c r="S129" i="11"/>
  <c r="R129" i="11"/>
  <c r="Q129" i="11"/>
  <c r="P129" i="11"/>
  <c r="W128" i="11"/>
  <c r="V128" i="11"/>
  <c r="U128" i="11"/>
  <c r="T128" i="11"/>
  <c r="S128" i="11"/>
  <c r="R128" i="11"/>
  <c r="Q128" i="11"/>
  <c r="P128" i="11"/>
  <c r="W127" i="11"/>
  <c r="V127" i="11"/>
  <c r="U127" i="11"/>
  <c r="T127" i="11"/>
  <c r="S127" i="11"/>
  <c r="R127" i="11"/>
  <c r="Q127" i="11"/>
  <c r="P127" i="11"/>
  <c r="W126" i="11"/>
  <c r="V126" i="11"/>
  <c r="U126" i="11"/>
  <c r="T126" i="11"/>
  <c r="S126" i="11"/>
  <c r="R126" i="11"/>
  <c r="Q126" i="11"/>
  <c r="P126" i="11"/>
  <c r="W125" i="11"/>
  <c r="V125" i="11"/>
  <c r="U125" i="11"/>
  <c r="T125" i="11"/>
  <c r="S125" i="11"/>
  <c r="R125" i="11"/>
  <c r="Q125" i="11"/>
  <c r="P125" i="11"/>
  <c r="W124" i="11"/>
  <c r="V124" i="11"/>
  <c r="U124" i="11"/>
  <c r="T124" i="11"/>
  <c r="S124" i="11"/>
  <c r="R124" i="11"/>
  <c r="Q124" i="11"/>
  <c r="P124" i="11"/>
  <c r="W123" i="11"/>
  <c r="W122" i="11"/>
  <c r="W121" i="11"/>
  <c r="W120" i="11"/>
  <c r="W119" i="11"/>
  <c r="V119" i="11"/>
  <c r="U119" i="11"/>
  <c r="T119" i="11"/>
  <c r="S119" i="11"/>
  <c r="R119" i="11"/>
  <c r="Q119" i="11"/>
  <c r="P119" i="11"/>
  <c r="W118" i="11"/>
  <c r="V118" i="11"/>
  <c r="U118" i="11"/>
  <c r="T118" i="11"/>
  <c r="S118" i="11"/>
  <c r="R118" i="11"/>
  <c r="Q118" i="11"/>
  <c r="P118" i="11"/>
  <c r="W117" i="11"/>
  <c r="V117" i="11"/>
  <c r="U117" i="11"/>
  <c r="T117" i="11"/>
  <c r="S117" i="11"/>
  <c r="R117" i="11"/>
  <c r="Q117" i="11"/>
  <c r="P117" i="11"/>
  <c r="W116" i="11"/>
  <c r="W115" i="11"/>
  <c r="W114" i="11"/>
  <c r="V114" i="11"/>
  <c r="U114" i="11"/>
  <c r="T114" i="11"/>
  <c r="S114" i="11"/>
  <c r="R114" i="11"/>
  <c r="Q114" i="11"/>
  <c r="P114" i="11"/>
  <c r="W113" i="11"/>
  <c r="V113" i="11"/>
  <c r="U113" i="11"/>
  <c r="T113" i="11"/>
  <c r="S113" i="11"/>
  <c r="R113" i="11"/>
  <c r="Q113" i="11"/>
  <c r="P113" i="11"/>
  <c r="W112" i="11"/>
  <c r="V112" i="11"/>
  <c r="U112" i="11"/>
  <c r="T112" i="11"/>
  <c r="S112" i="11"/>
  <c r="R112" i="11"/>
  <c r="Q112" i="11"/>
  <c r="P112" i="11"/>
  <c r="W111" i="11"/>
  <c r="V111" i="11"/>
  <c r="U111" i="11"/>
  <c r="T111" i="11"/>
  <c r="S111" i="11"/>
  <c r="R111" i="11"/>
  <c r="Q111" i="11"/>
  <c r="P111" i="11"/>
  <c r="W110" i="11"/>
  <c r="V110" i="11"/>
  <c r="U110" i="11"/>
  <c r="T110" i="11"/>
  <c r="S110" i="11"/>
  <c r="R110" i="11"/>
  <c r="Q110" i="11"/>
  <c r="P110" i="11"/>
  <c r="W109" i="11"/>
  <c r="V109" i="11"/>
  <c r="U109" i="11"/>
  <c r="T109" i="11"/>
  <c r="S109" i="11"/>
  <c r="R109" i="11"/>
  <c r="Q109" i="11"/>
  <c r="P109" i="11"/>
  <c r="W108" i="11"/>
  <c r="V108" i="11"/>
  <c r="U108" i="11"/>
  <c r="T108" i="11"/>
  <c r="S108" i="11"/>
  <c r="R108" i="11"/>
  <c r="Q108" i="11"/>
  <c r="P108" i="11"/>
  <c r="W107" i="11"/>
  <c r="V107" i="11"/>
  <c r="U107" i="11"/>
  <c r="T107" i="11"/>
  <c r="S107" i="11"/>
  <c r="R107" i="11"/>
  <c r="Q107" i="11"/>
  <c r="P107" i="11"/>
  <c r="W106" i="11"/>
  <c r="V106" i="11"/>
  <c r="U106" i="11"/>
  <c r="T106" i="11"/>
  <c r="S106" i="11"/>
  <c r="R106" i="11"/>
  <c r="Q106" i="11"/>
  <c r="P106" i="11"/>
  <c r="W105" i="11"/>
  <c r="V105" i="11"/>
  <c r="U105" i="11"/>
  <c r="T105" i="11"/>
  <c r="S105" i="11"/>
  <c r="R105" i="11"/>
  <c r="Q105" i="11"/>
  <c r="P105" i="11"/>
  <c r="W104" i="11"/>
  <c r="V104" i="11"/>
  <c r="U104" i="11"/>
  <c r="T104" i="11"/>
  <c r="S104" i="11"/>
  <c r="R104" i="11"/>
  <c r="Q104" i="11"/>
  <c r="P104" i="11"/>
  <c r="W103" i="11"/>
  <c r="W102" i="11"/>
  <c r="V102" i="11"/>
  <c r="U102" i="11"/>
  <c r="T102" i="11"/>
  <c r="S102" i="11"/>
  <c r="R102" i="11"/>
  <c r="Q102" i="11"/>
  <c r="P102" i="11"/>
  <c r="W101" i="11"/>
  <c r="V101" i="11"/>
  <c r="U101" i="11"/>
  <c r="T101" i="11"/>
  <c r="S101" i="11"/>
  <c r="R101" i="11"/>
  <c r="Q101" i="11"/>
  <c r="P101" i="11"/>
  <c r="W100" i="11"/>
  <c r="V100" i="11"/>
  <c r="U100" i="11"/>
  <c r="T100" i="11"/>
  <c r="S100" i="11"/>
  <c r="R100" i="11"/>
  <c r="Q100" i="11"/>
  <c r="P100" i="11"/>
  <c r="W99" i="11"/>
  <c r="V99" i="11"/>
  <c r="U99" i="11"/>
  <c r="T99" i="11"/>
  <c r="S99" i="11"/>
  <c r="Q99" i="11"/>
  <c r="P99" i="11"/>
  <c r="W98" i="11"/>
  <c r="V98" i="11"/>
  <c r="U98" i="11"/>
  <c r="T98" i="11"/>
  <c r="S98" i="11"/>
  <c r="R98" i="11"/>
  <c r="Q98" i="11"/>
  <c r="P98" i="11"/>
  <c r="W97" i="11"/>
  <c r="W96" i="11"/>
  <c r="W95" i="11"/>
  <c r="W94" i="11"/>
  <c r="V94" i="11"/>
  <c r="U94" i="11"/>
  <c r="T94" i="11"/>
  <c r="S94" i="11"/>
  <c r="R94" i="11"/>
  <c r="Q94" i="11"/>
  <c r="P94" i="11"/>
  <c r="W93" i="11"/>
  <c r="V93" i="11"/>
  <c r="U93" i="11"/>
  <c r="T93" i="11"/>
  <c r="S93" i="11"/>
  <c r="R93" i="11"/>
  <c r="Q93" i="11"/>
  <c r="P93" i="11"/>
  <c r="W92" i="11"/>
  <c r="V92" i="11"/>
  <c r="U92" i="11"/>
  <c r="T92" i="11"/>
  <c r="S92" i="11"/>
  <c r="R92" i="11"/>
  <c r="Q92" i="11"/>
  <c r="P92" i="11"/>
  <c r="W91" i="11"/>
  <c r="V91" i="11"/>
  <c r="U91" i="11"/>
  <c r="T91" i="11"/>
  <c r="S91" i="11"/>
  <c r="R91" i="11"/>
  <c r="Q91" i="11"/>
  <c r="P91" i="11"/>
  <c r="W90" i="11"/>
  <c r="V90" i="11"/>
  <c r="U90" i="11"/>
  <c r="T90" i="11"/>
  <c r="S90" i="11"/>
  <c r="R90" i="11"/>
  <c r="Q90" i="11"/>
  <c r="P90" i="11"/>
  <c r="W89" i="11"/>
  <c r="W88" i="11"/>
  <c r="W87" i="11"/>
  <c r="W86" i="11"/>
  <c r="W85" i="11"/>
  <c r="W84" i="11"/>
  <c r="V84" i="11"/>
  <c r="U84" i="11"/>
  <c r="T84" i="11"/>
  <c r="S84" i="11"/>
  <c r="R84" i="11"/>
  <c r="Q84" i="11"/>
  <c r="P84" i="11"/>
  <c r="W83" i="11"/>
  <c r="V83" i="11"/>
  <c r="U83" i="11"/>
  <c r="T83" i="11"/>
  <c r="S83" i="11"/>
  <c r="R83" i="11"/>
  <c r="Q83" i="11"/>
  <c r="P83" i="11"/>
  <c r="W82" i="11"/>
  <c r="V82" i="11"/>
  <c r="U82" i="11"/>
  <c r="T82" i="11"/>
  <c r="S82" i="11"/>
  <c r="R82" i="11"/>
  <c r="Q82" i="11"/>
  <c r="P82" i="11"/>
  <c r="W81" i="11"/>
  <c r="V81" i="11"/>
  <c r="U81" i="11"/>
  <c r="T81" i="11"/>
  <c r="S81" i="11"/>
  <c r="R81" i="11"/>
  <c r="Q81" i="11"/>
  <c r="P81" i="11"/>
  <c r="W80" i="11"/>
  <c r="V80" i="11"/>
  <c r="U80" i="11"/>
  <c r="T80" i="11"/>
  <c r="S80" i="11"/>
  <c r="R80" i="11"/>
  <c r="Q80" i="11"/>
  <c r="P80" i="11"/>
  <c r="W79" i="11"/>
  <c r="V79" i="11"/>
  <c r="U79" i="11"/>
  <c r="T79" i="11"/>
  <c r="S79" i="11"/>
  <c r="R79" i="11"/>
  <c r="Q79" i="11"/>
  <c r="P79" i="11"/>
  <c r="Z79" i="11"/>
  <c r="W78" i="11"/>
  <c r="V78" i="11"/>
  <c r="U78" i="11"/>
  <c r="T78" i="11"/>
  <c r="S78" i="11"/>
  <c r="R78" i="11"/>
  <c r="Q78" i="11"/>
  <c r="P78" i="11"/>
  <c r="W77" i="11"/>
  <c r="V77" i="11"/>
  <c r="U77" i="11"/>
  <c r="T77" i="11"/>
  <c r="S77" i="11"/>
  <c r="R77" i="11"/>
  <c r="Q77" i="11"/>
  <c r="P77" i="11"/>
  <c r="W76" i="11"/>
  <c r="V76" i="11"/>
  <c r="U76" i="11"/>
  <c r="T76" i="11"/>
  <c r="S76" i="11"/>
  <c r="R76" i="11"/>
  <c r="Q76" i="11"/>
  <c r="P76" i="11"/>
  <c r="W75" i="11"/>
  <c r="V75" i="11"/>
  <c r="U75" i="11"/>
  <c r="T75" i="11"/>
  <c r="S75" i="11"/>
  <c r="R75" i="11"/>
  <c r="Q75" i="11"/>
  <c r="P75" i="11"/>
  <c r="W74" i="11"/>
  <c r="V74" i="11"/>
  <c r="U74" i="11"/>
  <c r="T74" i="11"/>
  <c r="S74" i="11"/>
  <c r="R74" i="11"/>
  <c r="Q74" i="11"/>
  <c r="P74" i="11"/>
  <c r="W73" i="11"/>
  <c r="V73" i="11"/>
  <c r="U73" i="11"/>
  <c r="T73" i="11"/>
  <c r="S73" i="11"/>
  <c r="R73" i="11"/>
  <c r="Q73" i="11"/>
  <c r="P73" i="11"/>
  <c r="W72" i="11"/>
  <c r="V72" i="11"/>
  <c r="U72" i="11"/>
  <c r="T72" i="11"/>
  <c r="S72" i="11"/>
  <c r="Z72" i="11"/>
  <c r="R72" i="11"/>
  <c r="Q72" i="11"/>
  <c r="P72" i="11"/>
  <c r="W71" i="11"/>
  <c r="V71" i="11"/>
  <c r="U71" i="11"/>
  <c r="T71" i="11"/>
  <c r="S71" i="11"/>
  <c r="R71" i="11"/>
  <c r="Q71" i="11"/>
  <c r="P71" i="11"/>
  <c r="Z71" i="11"/>
  <c r="W70" i="11"/>
  <c r="V70" i="11"/>
  <c r="U70" i="11"/>
  <c r="T70" i="11"/>
  <c r="S70" i="11"/>
  <c r="R70" i="11"/>
  <c r="Q70" i="11"/>
  <c r="P70" i="11"/>
  <c r="W69" i="11"/>
  <c r="W68" i="11"/>
  <c r="W67" i="11"/>
  <c r="V67" i="11"/>
  <c r="U67" i="11"/>
  <c r="T67" i="11"/>
  <c r="S67" i="11"/>
  <c r="R67" i="11"/>
  <c r="Q67" i="11"/>
  <c r="P67" i="11"/>
  <c r="W66" i="11"/>
  <c r="W65" i="11"/>
  <c r="V65" i="11"/>
  <c r="U65" i="11"/>
  <c r="T65" i="11"/>
  <c r="S65" i="11"/>
  <c r="R65" i="11"/>
  <c r="Q65" i="11"/>
  <c r="P65" i="11"/>
  <c r="W63" i="11"/>
  <c r="V63" i="11"/>
  <c r="U63" i="11"/>
  <c r="T63" i="11"/>
  <c r="S63" i="11"/>
  <c r="R63" i="11"/>
  <c r="Q63" i="11"/>
  <c r="P63" i="11"/>
  <c r="W62" i="11"/>
  <c r="U62" i="11"/>
  <c r="T62" i="11"/>
  <c r="Q62" i="11"/>
  <c r="W61" i="11"/>
  <c r="V61" i="11"/>
  <c r="U61" i="11"/>
  <c r="T61" i="11"/>
  <c r="S61" i="11"/>
  <c r="R61" i="11"/>
  <c r="Q61" i="11"/>
  <c r="P61" i="11"/>
  <c r="W60" i="11"/>
  <c r="V60" i="11"/>
  <c r="U60" i="11"/>
  <c r="T60" i="11"/>
  <c r="S60" i="11"/>
  <c r="R60" i="11"/>
  <c r="Q60" i="11"/>
  <c r="P60" i="11"/>
  <c r="W59" i="11"/>
  <c r="V59" i="11"/>
  <c r="U59" i="11"/>
  <c r="T59" i="11"/>
  <c r="S59" i="11"/>
  <c r="Z59" i="11"/>
  <c r="R59" i="11"/>
  <c r="Q59" i="11"/>
  <c r="P59" i="11"/>
  <c r="W58" i="11"/>
  <c r="W57" i="11"/>
  <c r="W56" i="11"/>
  <c r="W55" i="11"/>
  <c r="W54" i="11"/>
  <c r="W53" i="11"/>
  <c r="W52" i="11"/>
  <c r="W51" i="11"/>
  <c r="W50" i="11"/>
  <c r="V50" i="11"/>
  <c r="U50" i="11"/>
  <c r="T50" i="11"/>
  <c r="S50" i="11"/>
  <c r="Z50" i="11"/>
  <c r="R50" i="11"/>
  <c r="Q50" i="11"/>
  <c r="P50" i="11"/>
  <c r="W49" i="11"/>
  <c r="V49" i="11"/>
  <c r="U49" i="11"/>
  <c r="T49" i="11"/>
  <c r="S49" i="11"/>
  <c r="R49" i="11"/>
  <c r="Q49" i="11"/>
  <c r="P49" i="11"/>
  <c r="Z49" i="11"/>
  <c r="W48" i="11"/>
  <c r="V48" i="11"/>
  <c r="U48" i="11"/>
  <c r="T48" i="11"/>
  <c r="S48" i="11"/>
  <c r="R48" i="11"/>
  <c r="Z48" i="11"/>
  <c r="Q48" i="11"/>
  <c r="P48" i="11"/>
  <c r="W47" i="11"/>
  <c r="V47" i="11"/>
  <c r="U47" i="11"/>
  <c r="T47" i="11"/>
  <c r="S47" i="11"/>
  <c r="R47" i="11"/>
  <c r="Z47" i="11"/>
  <c r="Q47" i="11"/>
  <c r="P47" i="11"/>
  <c r="W46" i="11"/>
  <c r="V46" i="11"/>
  <c r="U46" i="11"/>
  <c r="T46" i="11"/>
  <c r="S46" i="11"/>
  <c r="R46" i="11"/>
  <c r="Q46" i="11"/>
  <c r="P46" i="11"/>
  <c r="W45" i="11"/>
  <c r="V45" i="11"/>
  <c r="U45" i="11"/>
  <c r="T45" i="11"/>
  <c r="S45" i="11"/>
  <c r="R45" i="11"/>
  <c r="Q45" i="11"/>
  <c r="P45" i="11"/>
  <c r="W44" i="11"/>
  <c r="V44" i="11"/>
  <c r="U44" i="11"/>
  <c r="T44" i="11"/>
  <c r="S44" i="11"/>
  <c r="R44" i="11"/>
  <c r="Z44" i="11"/>
  <c r="Q44" i="11"/>
  <c r="P44" i="11"/>
  <c r="W43" i="11"/>
  <c r="V43" i="11"/>
  <c r="U43" i="11"/>
  <c r="T43" i="11"/>
  <c r="S43" i="11"/>
  <c r="Z43" i="11"/>
  <c r="R43" i="11"/>
  <c r="Q43" i="11"/>
  <c r="P43" i="11"/>
  <c r="W42" i="11"/>
  <c r="V42" i="11"/>
  <c r="U42" i="11"/>
  <c r="T42" i="11"/>
  <c r="S42" i="11"/>
  <c r="Z42" i="11"/>
  <c r="R42" i="11"/>
  <c r="Q42" i="11"/>
  <c r="P42" i="11"/>
  <c r="W41" i="11"/>
  <c r="V41" i="11"/>
  <c r="U41" i="11"/>
  <c r="T41" i="11"/>
  <c r="S41" i="11"/>
  <c r="R41" i="11"/>
  <c r="Q41" i="11"/>
  <c r="P41" i="11"/>
  <c r="Z41" i="11"/>
  <c r="W40" i="11"/>
  <c r="V40" i="11"/>
  <c r="U40" i="11"/>
  <c r="T40" i="11"/>
  <c r="S40" i="11"/>
  <c r="Z40" i="11"/>
  <c r="R40" i="11"/>
  <c r="Q40" i="11"/>
  <c r="P40" i="11"/>
  <c r="W39" i="11"/>
  <c r="V39" i="11"/>
  <c r="U39" i="11"/>
  <c r="T39" i="11"/>
  <c r="S39" i="11"/>
  <c r="R39" i="11"/>
  <c r="Q39" i="11"/>
  <c r="P39" i="11"/>
  <c r="Z39" i="11"/>
  <c r="V36" i="11"/>
  <c r="U36" i="11"/>
  <c r="T36" i="11"/>
  <c r="S36" i="11"/>
  <c r="R36" i="11"/>
  <c r="Q36" i="11"/>
  <c r="P36" i="11"/>
  <c r="W35" i="11"/>
  <c r="W34" i="11"/>
  <c r="W33" i="11"/>
  <c r="W32" i="11"/>
  <c r="V32" i="11"/>
  <c r="U32" i="11"/>
  <c r="T32" i="11"/>
  <c r="S32" i="11"/>
  <c r="Q32" i="11"/>
  <c r="P32" i="11"/>
  <c r="Z32" i="11"/>
  <c r="W31" i="11"/>
  <c r="V31" i="11"/>
  <c r="U31" i="11"/>
  <c r="T31" i="11"/>
  <c r="S31" i="11"/>
  <c r="R31" i="11"/>
  <c r="Q31" i="11"/>
  <c r="P31" i="11"/>
  <c r="Z31" i="11"/>
  <c r="W30" i="11"/>
  <c r="V30" i="11"/>
  <c r="U30" i="11"/>
  <c r="T30" i="11"/>
  <c r="S30" i="11"/>
  <c r="Z30" i="11"/>
  <c r="R30" i="11"/>
  <c r="Q30" i="11"/>
  <c r="P30" i="11"/>
  <c r="W29" i="11"/>
  <c r="V29" i="11"/>
  <c r="U29" i="11"/>
  <c r="T29" i="11"/>
  <c r="S29" i="11"/>
  <c r="Z29" i="11"/>
  <c r="R29" i="11"/>
  <c r="Q29" i="11"/>
  <c r="P29" i="11"/>
  <c r="W28" i="11"/>
  <c r="V28" i="11"/>
  <c r="U28" i="11"/>
  <c r="T28" i="11"/>
  <c r="S28" i="11"/>
  <c r="R28" i="11"/>
  <c r="Q28" i="11"/>
  <c r="P28" i="11"/>
  <c r="W27" i="11"/>
  <c r="V27" i="11"/>
  <c r="U27" i="11"/>
  <c r="T27" i="11"/>
  <c r="S27" i="11"/>
  <c r="R27" i="11"/>
  <c r="Q27" i="11"/>
  <c r="P27" i="11"/>
  <c r="W26" i="11"/>
  <c r="V26" i="11"/>
  <c r="U26" i="11"/>
  <c r="T26" i="11"/>
  <c r="S26" i="11"/>
  <c r="Z26" i="11"/>
  <c r="R26" i="11"/>
  <c r="Q26" i="11"/>
  <c r="P26" i="11"/>
  <c r="W25" i="11"/>
  <c r="V25" i="11"/>
  <c r="U25" i="11"/>
  <c r="T25" i="11"/>
  <c r="S25" i="11"/>
  <c r="R25" i="11"/>
  <c r="Q25" i="11"/>
  <c r="P25" i="11"/>
  <c r="Z25" i="11"/>
  <c r="W24" i="11"/>
  <c r="W23" i="11"/>
  <c r="W22" i="11"/>
  <c r="W21" i="11"/>
  <c r="W20" i="11"/>
  <c r="W19" i="11"/>
  <c r="V19" i="11"/>
  <c r="U19" i="11"/>
  <c r="T19" i="11"/>
  <c r="S19" i="11"/>
  <c r="R19" i="11"/>
  <c r="Q19" i="11"/>
  <c r="P19" i="11"/>
  <c r="Z19" i="11"/>
  <c r="W18" i="11"/>
  <c r="V18" i="11"/>
  <c r="U18" i="11"/>
  <c r="T18" i="11"/>
  <c r="S18" i="11"/>
  <c r="R18" i="11"/>
  <c r="Q18" i="11"/>
  <c r="P18" i="11"/>
  <c r="Z18" i="11"/>
  <c r="W17" i="11"/>
  <c r="V17" i="11"/>
  <c r="U17" i="11"/>
  <c r="T17" i="11"/>
  <c r="S17" i="11"/>
  <c r="R17" i="11"/>
  <c r="Q17" i="11"/>
  <c r="P17" i="11"/>
  <c r="Z17" i="11"/>
  <c r="W16" i="11"/>
  <c r="V16" i="11"/>
  <c r="U16" i="11"/>
  <c r="T16" i="11"/>
  <c r="S16" i="11"/>
  <c r="R16" i="11"/>
  <c r="Q16" i="11"/>
  <c r="P16" i="11"/>
  <c r="Z16" i="11"/>
  <c r="W15" i="11"/>
  <c r="V15" i="11"/>
  <c r="U15" i="11"/>
  <c r="T15" i="11"/>
  <c r="S15" i="11"/>
  <c r="R15" i="11"/>
  <c r="Q15" i="11"/>
  <c r="P15" i="11"/>
  <c r="Z15" i="11"/>
  <c r="W14" i="11"/>
  <c r="V14" i="11"/>
  <c r="U14" i="11"/>
  <c r="T14" i="11"/>
  <c r="S14" i="11"/>
  <c r="R14" i="11"/>
  <c r="Q14" i="11"/>
  <c r="P14" i="11"/>
  <c r="W13" i="11"/>
  <c r="V13" i="11"/>
  <c r="U13" i="11"/>
  <c r="T13" i="11"/>
  <c r="S13" i="11"/>
  <c r="R13" i="11"/>
  <c r="Q13" i="11"/>
  <c r="P13" i="11"/>
  <c r="Z13" i="11"/>
  <c r="W12" i="11"/>
  <c r="V12" i="11"/>
  <c r="U12" i="11"/>
  <c r="T12" i="11"/>
  <c r="S12" i="11"/>
  <c r="R12" i="11"/>
  <c r="Q12" i="11"/>
  <c r="P12" i="11"/>
  <c r="Z12" i="11"/>
  <c r="W11" i="11"/>
  <c r="V11" i="11"/>
  <c r="U11" i="11"/>
  <c r="T11" i="11"/>
  <c r="S11" i="11"/>
  <c r="Q11" i="11"/>
  <c r="P11" i="11"/>
  <c r="Z11" i="11"/>
  <c r="W10" i="11"/>
  <c r="V10" i="11"/>
  <c r="U10" i="11"/>
  <c r="T10" i="11"/>
  <c r="S10" i="11"/>
  <c r="R10" i="11"/>
  <c r="Q10" i="11"/>
  <c r="P10" i="11"/>
  <c r="Z10" i="11"/>
  <c r="W9" i="11"/>
  <c r="V9" i="11"/>
  <c r="Z9" i="11"/>
  <c r="U9" i="11"/>
  <c r="T9" i="11"/>
  <c r="S9" i="11"/>
  <c r="R9" i="11"/>
  <c r="Q9" i="11"/>
  <c r="P9" i="11"/>
  <c r="W8" i="11"/>
  <c r="V8" i="11"/>
  <c r="U8" i="11"/>
  <c r="T8" i="11"/>
  <c r="S8" i="11"/>
  <c r="R8" i="11"/>
  <c r="Q8" i="11"/>
  <c r="P8" i="11"/>
  <c r="W7" i="11"/>
  <c r="V7" i="11"/>
  <c r="U7" i="11"/>
  <c r="T7" i="11"/>
  <c r="S7" i="11"/>
  <c r="R7" i="11"/>
  <c r="Q7" i="11"/>
  <c r="P7" i="11"/>
  <c r="W6" i="11"/>
  <c r="V6" i="11"/>
  <c r="Z6" i="11"/>
  <c r="U6" i="11"/>
  <c r="T6" i="11"/>
  <c r="S6" i="11"/>
  <c r="R6" i="11"/>
  <c r="Q6" i="11"/>
  <c r="P6" i="11"/>
  <c r="W5" i="11"/>
  <c r="V5" i="11"/>
  <c r="U5" i="11"/>
  <c r="T5" i="11"/>
  <c r="S5" i="11"/>
  <c r="R5" i="11"/>
  <c r="Q5" i="11"/>
  <c r="P5" i="11"/>
  <c r="Z5" i="11"/>
  <c r="W4" i="11"/>
  <c r="V4" i="11"/>
  <c r="U4" i="11"/>
  <c r="T4" i="11"/>
  <c r="S4" i="11"/>
  <c r="R4" i="11"/>
  <c r="Q4" i="11"/>
  <c r="P4" i="11"/>
  <c r="W3" i="11"/>
  <c r="V3" i="11"/>
  <c r="U3" i="11"/>
  <c r="T3" i="11"/>
  <c r="S3" i="11"/>
  <c r="R3" i="11"/>
  <c r="Q3" i="11"/>
  <c r="P3" i="11"/>
  <c r="W2" i="11"/>
  <c r="V2" i="11"/>
  <c r="U2" i="11"/>
  <c r="T2" i="11"/>
  <c r="S2" i="11"/>
  <c r="Q2" i="11"/>
  <c r="P2" i="11"/>
  <c r="Z2" i="11"/>
  <c r="Z36" i="11"/>
  <c r="Z152" i="11"/>
  <c r="Z153" i="11"/>
  <c r="Z154" i="11"/>
  <c r="Z155" i="11"/>
  <c r="Z156" i="11"/>
  <c r="Z157" i="11"/>
  <c r="Z158" i="11"/>
  <c r="Z159" i="11"/>
  <c r="Z160" i="11"/>
  <c r="Z99" i="11"/>
  <c r="Z14" i="11"/>
  <c r="Z117" i="11"/>
  <c r="Z118" i="11"/>
  <c r="Z119" i="11"/>
  <c r="Z161" i="11"/>
  <c r="Z162" i="11"/>
  <c r="Z163" i="11"/>
  <c r="Z164" i="11"/>
  <c r="Z165" i="11"/>
  <c r="Z166" i="11"/>
  <c r="Z167" i="11"/>
  <c r="Z168" i="11"/>
  <c r="Z169" i="11"/>
  <c r="Z170" i="11"/>
  <c r="Z171" i="11"/>
  <c r="Z45" i="11"/>
  <c r="Z46" i="11"/>
  <c r="Z60" i="11"/>
  <c r="Z61" i="11"/>
  <c r="Z63" i="11"/>
  <c r="Z65" i="11"/>
  <c r="Z90" i="11"/>
  <c r="Z91" i="11"/>
  <c r="Z92" i="11"/>
  <c r="Z93" i="11"/>
  <c r="Z94" i="11"/>
  <c r="Z3" i="11"/>
  <c r="Z8" i="11"/>
  <c r="Z67" i="11"/>
  <c r="Z124" i="11"/>
  <c r="Z125" i="11"/>
  <c r="Z126" i="11"/>
  <c r="Z127" i="11"/>
  <c r="Z128" i="11"/>
  <c r="Z129" i="11"/>
  <c r="Z130" i="11"/>
  <c r="Z7" i="11"/>
  <c r="Z100" i="11"/>
  <c r="Z101" i="11"/>
  <c r="Z102" i="11"/>
  <c r="Z4" i="11"/>
  <c r="Z70" i="11"/>
  <c r="Z73" i="11"/>
  <c r="Z74" i="11"/>
  <c r="Z75" i="11"/>
  <c r="Z76" i="11"/>
  <c r="Z77" i="11"/>
  <c r="Z78" i="11"/>
  <c r="Z80" i="11"/>
  <c r="Z81" i="11"/>
  <c r="Z82" i="11"/>
  <c r="Z83" i="11"/>
  <c r="Z84" i="11"/>
  <c r="Z98" i="11"/>
  <c r="Z104" i="11"/>
  <c r="Z105" i="11"/>
  <c r="Z106" i="11"/>
  <c r="Z107" i="11"/>
  <c r="Z108" i="11"/>
  <c r="Z109" i="11"/>
  <c r="Z110" i="11"/>
  <c r="Z111" i="11"/>
  <c r="Z112" i="11"/>
  <c r="Z113" i="11"/>
  <c r="Z114" i="11"/>
  <c r="Z27" i="11"/>
  <c r="Z28" i="11"/>
</calcChain>
</file>

<file path=xl/sharedStrings.xml><?xml version="1.0" encoding="utf-8"?>
<sst xmlns="http://schemas.openxmlformats.org/spreadsheetml/2006/main" count="1380" uniqueCount="762">
  <si>
    <t>Group</t>
  </si>
  <si>
    <t>ID</t>
  </si>
  <si>
    <t>ELI-192</t>
  </si>
  <si>
    <t>ELI-193</t>
  </si>
  <si>
    <t>ELI-194</t>
  </si>
  <si>
    <t>ELI-228</t>
  </si>
  <si>
    <t>ELI-398</t>
  </si>
  <si>
    <t>ELI-196</t>
  </si>
  <si>
    <t>ELI-439</t>
  </si>
  <si>
    <t>ELI-440</t>
  </si>
  <si>
    <t>ELI-437</t>
  </si>
  <si>
    <t>ELI-438</t>
  </si>
  <si>
    <t>ELI-441</t>
  </si>
  <si>
    <t>ELI-442</t>
  </si>
  <si>
    <t>ELI-443</t>
  </si>
  <si>
    <t>ELI-236</t>
  </si>
  <si>
    <t>ELI-235</t>
  </si>
  <si>
    <t>ELI-414</t>
  </si>
  <si>
    <t>ELI-415</t>
  </si>
  <si>
    <t>ELI-436</t>
  </si>
  <si>
    <t>ELI-413</t>
  </si>
  <si>
    <t>ELI-493</t>
  </si>
  <si>
    <t>ELI-494</t>
  </si>
  <si>
    <t>Chowo F01</t>
  </si>
  <si>
    <t>Chowo F02</t>
  </si>
  <si>
    <t>Chowo F03</t>
  </si>
  <si>
    <t>Chowo F04</t>
  </si>
  <si>
    <t>Chowo F05</t>
  </si>
  <si>
    <t>Chowo F06</t>
  </si>
  <si>
    <t>ELI-197</t>
  </si>
  <si>
    <t>ELI-198</t>
  </si>
  <si>
    <t>ELI-230</t>
  </si>
  <si>
    <t>ELI-231</t>
  </si>
  <si>
    <t>ELI-232</t>
  </si>
  <si>
    <t>ELI-424</t>
  </si>
  <si>
    <t>ELI-233</t>
  </si>
  <si>
    <t>May</t>
  </si>
  <si>
    <t>Jan</t>
  </si>
  <si>
    <t>Feb</t>
  </si>
  <si>
    <t>Mar</t>
  </si>
  <si>
    <t>Apr</t>
  </si>
  <si>
    <t>Jun</t>
  </si>
  <si>
    <t>Jul</t>
  </si>
  <si>
    <t>Aug</t>
  </si>
  <si>
    <t>Sept</t>
  </si>
  <si>
    <t>Oct</t>
  </si>
  <si>
    <t>Nov</t>
  </si>
  <si>
    <t>Dec</t>
  </si>
  <si>
    <t>Big F09</t>
  </si>
  <si>
    <t>Big Pride 2013 Cub 1</t>
  </si>
  <si>
    <t>Big Pride 2013 Cub 2</t>
  </si>
  <si>
    <t>Big Pride 2013 Cub 3</t>
  </si>
  <si>
    <t>Big Pride 2013 Cub 4</t>
  </si>
  <si>
    <t>Big Pride 2013 Cub 5</t>
  </si>
  <si>
    <t>Big Pride F01</t>
  </si>
  <si>
    <t>Big Pride F02</t>
  </si>
  <si>
    <t>Big Pride F03</t>
  </si>
  <si>
    <t>Big Pride F04</t>
  </si>
  <si>
    <t>Big Pride F05</t>
  </si>
  <si>
    <t>Big Pride F06</t>
  </si>
  <si>
    <t>Big Pride F07</t>
  </si>
  <si>
    <t>Big Pride F08</t>
  </si>
  <si>
    <t>Big Pride F10</t>
  </si>
  <si>
    <t>Big Pride M01</t>
  </si>
  <si>
    <t>Big Pride M02</t>
  </si>
  <si>
    <t>Big Pride M03</t>
  </si>
  <si>
    <t>ELI-581</t>
  </si>
  <si>
    <t>ELI-583</t>
  </si>
  <si>
    <t>ELI-584</t>
  </si>
  <si>
    <t>ELI-585</t>
  </si>
  <si>
    <t>ELI-586</t>
  </si>
  <si>
    <t>ELI-587</t>
  </si>
  <si>
    <t>ELI-243</t>
  </si>
  <si>
    <t>ELI-242</t>
  </si>
  <si>
    <t>ELI-225</t>
  </si>
  <si>
    <t>ELI-224</t>
  </si>
  <si>
    <t>ELI-245</t>
  </si>
  <si>
    <t>ELI-223</t>
  </si>
  <si>
    <t>ELI-220</t>
  </si>
  <si>
    <t>ELI-218</t>
  </si>
  <si>
    <t>ELI-143</t>
  </si>
  <si>
    <t>ELI-219</t>
  </si>
  <si>
    <t>ELI-496</t>
  </si>
  <si>
    <t>ELI-227</t>
  </si>
  <si>
    <t>ELI-221</t>
  </si>
  <si>
    <t>ELI-222</t>
  </si>
  <si>
    <t>Chowo U01</t>
  </si>
  <si>
    <t>Chowo U02</t>
  </si>
  <si>
    <t>Chowo U03</t>
  </si>
  <si>
    <t>ELI-523</t>
  </si>
  <si>
    <t>ELI-524</t>
  </si>
  <si>
    <t>ELI-525</t>
  </si>
  <si>
    <t>Chichele F02</t>
  </si>
  <si>
    <t>Chichele F03</t>
  </si>
  <si>
    <t>ELI-554</t>
  </si>
  <si>
    <t>Chichele F04</t>
  </si>
  <si>
    <t>ELI-555</t>
  </si>
  <si>
    <t>Chichele F05</t>
  </si>
  <si>
    <t>ELI-238</t>
  </si>
  <si>
    <t>Chichele M02</t>
  </si>
  <si>
    <t>ELI-556</t>
  </si>
  <si>
    <t>Chichele M03</t>
  </si>
  <si>
    <t>Nsefu F01</t>
  </si>
  <si>
    <t>ELI-173</t>
  </si>
  <si>
    <t>Nsefu F02</t>
  </si>
  <si>
    <t>ELI-174</t>
  </si>
  <si>
    <t>Nsefu F03</t>
  </si>
  <si>
    <t>ELI-247</t>
  </si>
  <si>
    <t>Nsefu F04</t>
  </si>
  <si>
    <t>ELI-248</t>
  </si>
  <si>
    <t>Nsefu F05</t>
  </si>
  <si>
    <t>ELI-249</t>
  </si>
  <si>
    <t>Nsefu F06</t>
  </si>
  <si>
    <t>ELI-250</t>
  </si>
  <si>
    <t>Nsefu F07</t>
  </si>
  <si>
    <t>ELI-462</t>
  </si>
  <si>
    <t>Nsefu F11</t>
  </si>
  <si>
    <t>ELI-378</t>
  </si>
  <si>
    <t>Nsefu F12</t>
  </si>
  <si>
    <t>ELI-463</t>
  </si>
  <si>
    <t>Nsefu F13</t>
  </si>
  <si>
    <t>ELI-515</t>
  </si>
  <si>
    <t>Nsefu M02</t>
  </si>
  <si>
    <t>ELI-373</t>
  </si>
  <si>
    <t>Nsefu M03</t>
  </si>
  <si>
    <t>ELI-375</t>
  </si>
  <si>
    <t>Nsefu M04</t>
  </si>
  <si>
    <t>ELI-377</t>
  </si>
  <si>
    <t>Nsefu M05</t>
  </si>
  <si>
    <t>ELI-376</t>
  </si>
  <si>
    <t>Nsefu M06</t>
  </si>
  <si>
    <t>ELI-464</t>
  </si>
  <si>
    <t>Nsefu M07</t>
  </si>
  <si>
    <t>ELI-553</t>
  </si>
  <si>
    <t>Hot Springs F01</t>
  </si>
  <si>
    <t>ELI-258</t>
  </si>
  <si>
    <t>Hot Springs F02</t>
  </si>
  <si>
    <t>ELI-256</t>
  </si>
  <si>
    <t>Hot Springs F03</t>
  </si>
  <si>
    <t>ELI-466</t>
  </si>
  <si>
    <t>Hot Springs M01</t>
  </si>
  <si>
    <t>ELI-379</t>
  </si>
  <si>
    <t>Kapamba F01</t>
  </si>
  <si>
    <t>ELI-203</t>
  </si>
  <si>
    <t>Kapamba F02</t>
  </si>
  <si>
    <t>ELI-204</t>
  </si>
  <si>
    <t>Kapamba F09</t>
  </si>
  <si>
    <t>ELI-532</t>
  </si>
  <si>
    <t>Kapamba M03</t>
  </si>
  <si>
    <t>ELI-534</t>
  </si>
  <si>
    <t>Kapamba M04</t>
  </si>
  <si>
    <t>ELI-533</t>
  </si>
  <si>
    <t>Kapamba M05</t>
  </si>
  <si>
    <t>ELI-535</t>
  </si>
  <si>
    <t>Kapamba M06</t>
  </si>
  <si>
    <t>ELI-536</t>
  </si>
  <si>
    <t>New Kapamba F03</t>
  </si>
  <si>
    <t>ELI-480</t>
  </si>
  <si>
    <t>2011 Cub U01</t>
  </si>
  <si>
    <t>2011 Cub U02</t>
  </si>
  <si>
    <t>2011 Cub U03</t>
  </si>
  <si>
    <t>2011 Cub U04</t>
  </si>
  <si>
    <t>Chamilandu F01</t>
  </si>
  <si>
    <t>Chamilandu F02</t>
  </si>
  <si>
    <t>Chamilandu F03</t>
  </si>
  <si>
    <t>Chamilandu F05</t>
  </si>
  <si>
    <t>Chamilandu F06</t>
  </si>
  <si>
    <t>Chamilandu F07</t>
  </si>
  <si>
    <t>ELI-405</t>
  </si>
  <si>
    <t>Chamilandu F08</t>
  </si>
  <si>
    <t>ELI-444</t>
  </si>
  <si>
    <t>Chamilandu F09</t>
  </si>
  <si>
    <t>Chamilandu F10</t>
  </si>
  <si>
    <t>Chamilandu F11</t>
  </si>
  <si>
    <t>Chamilandu M03</t>
  </si>
  <si>
    <t>ELI-404</t>
  </si>
  <si>
    <t>Chamilandu Male Cub 01</t>
  </si>
  <si>
    <t>Hollywood Cub 01 '10</t>
  </si>
  <si>
    <t>ELI-400</t>
  </si>
  <si>
    <t>Hollywood Cub 02 '10</t>
  </si>
  <si>
    <t>ELI-401</t>
  </si>
  <si>
    <t>Hollywood F01</t>
  </si>
  <si>
    <t>Hollywood F02</t>
  </si>
  <si>
    <t>Hollywood F03</t>
  </si>
  <si>
    <t>Hollywood F04</t>
  </si>
  <si>
    <t>Hollywood F05</t>
  </si>
  <si>
    <t>Hollywood F06</t>
  </si>
  <si>
    <t>Luwi F01</t>
  </si>
  <si>
    <t>ELI-152</t>
  </si>
  <si>
    <t>Luwi F03</t>
  </si>
  <si>
    <t>ELI-154</t>
  </si>
  <si>
    <t>Luwi F04</t>
  </si>
  <si>
    <t>ELI-155</t>
  </si>
  <si>
    <t>Luwi F08</t>
  </si>
  <si>
    <t>ELI-160</t>
  </si>
  <si>
    <t>Luwi F09</t>
  </si>
  <si>
    <t>ELI-241</t>
  </si>
  <si>
    <t>Luwi F10</t>
  </si>
  <si>
    <t>ELI-369</t>
  </si>
  <si>
    <t>Luwi M05</t>
  </si>
  <si>
    <t>ELI-370</t>
  </si>
  <si>
    <t>Manky Ear</t>
  </si>
  <si>
    <t>ELI-159</t>
  </si>
  <si>
    <t>Luwi M01</t>
  </si>
  <si>
    <t>ELI-158</t>
  </si>
  <si>
    <t>Luwi M02</t>
  </si>
  <si>
    <t>ELI-161</t>
  </si>
  <si>
    <t>Ginger</t>
  </si>
  <si>
    <t>ELI-162</t>
  </si>
  <si>
    <t>Luwi M04</t>
  </si>
  <si>
    <t>ELI-163</t>
  </si>
  <si>
    <t>Mwamba I F01</t>
  </si>
  <si>
    <t>ELI-124</t>
  </si>
  <si>
    <t>Mwamba I F02</t>
  </si>
  <si>
    <t>ELI-125</t>
  </si>
  <si>
    <t>Mwamba I F03</t>
  </si>
  <si>
    <t>ELI-246</t>
  </si>
  <si>
    <t>Mwamba I F04</t>
  </si>
  <si>
    <t>ELI-126</t>
  </si>
  <si>
    <t>Mwamba I F05</t>
  </si>
  <si>
    <t>ELI-127</t>
  </si>
  <si>
    <t>Mwamba I M03</t>
  </si>
  <si>
    <t>ELI-130</t>
  </si>
  <si>
    <t>Mwamba II F01</t>
  </si>
  <si>
    <t>ELI-134</t>
  </si>
  <si>
    <t>Mwamba II F02</t>
  </si>
  <si>
    <t>ELI-135</t>
  </si>
  <si>
    <t>Mwamba II F03</t>
  </si>
  <si>
    <t>ELI-136</t>
  </si>
  <si>
    <t>Mwamba II F05</t>
  </si>
  <si>
    <t>ELI-138</t>
  </si>
  <si>
    <t>Mwamba II F06</t>
  </si>
  <si>
    <t>ELI-139</t>
  </si>
  <si>
    <t>New Mwamba M01</t>
  </si>
  <si>
    <t>ELI-430</t>
  </si>
  <si>
    <t>Nsolo F06</t>
  </si>
  <si>
    <t>ELI-215</t>
  </si>
  <si>
    <t>Nsolo F07</t>
  </si>
  <si>
    <t>ELI-454</t>
  </si>
  <si>
    <t>Nsolo F08</t>
  </si>
  <si>
    <t>ELI-455</t>
  </si>
  <si>
    <t>Nsolo F09</t>
  </si>
  <si>
    <t>ELI-458</t>
  </si>
  <si>
    <t>Nsolo F10</t>
  </si>
  <si>
    <t>ELI-459</t>
  </si>
  <si>
    <t>Nsolo M04</t>
  </si>
  <si>
    <t>ELI-461</t>
  </si>
  <si>
    <t>Nsolo M05</t>
  </si>
  <si>
    <t>ELI-456</t>
  </si>
  <si>
    <t>Nsolo M06</t>
  </si>
  <si>
    <t>ELI-457</t>
  </si>
  <si>
    <t>Nsolo M07</t>
  </si>
  <si>
    <t>ELI-460</t>
  </si>
  <si>
    <t>Nsolo Pride F02</t>
  </si>
  <si>
    <t>ELI-209</t>
  </si>
  <si>
    <t>Nsolo Pride F03</t>
  </si>
  <si>
    <t>ELI-210</t>
  </si>
  <si>
    <t>Nsolo Pride F05</t>
  </si>
  <si>
    <t>ELI-212</t>
  </si>
  <si>
    <t>Saltpan 2011 Cub U01</t>
  </si>
  <si>
    <t>ELI-468</t>
  </si>
  <si>
    <t>Saltpan F01</t>
  </si>
  <si>
    <t>ELI-182</t>
  </si>
  <si>
    <t>Saltpan F03</t>
  </si>
  <si>
    <t>ELI-261</t>
  </si>
  <si>
    <t>Saltpan F04</t>
  </si>
  <si>
    <t>ELI-185</t>
  </si>
  <si>
    <t>Saltpan F06</t>
  </si>
  <si>
    <t>ELI-257</t>
  </si>
  <si>
    <t>Saltpan F07</t>
  </si>
  <si>
    <t>ELI-183</t>
  </si>
  <si>
    <t>Saltpan F08</t>
  </si>
  <si>
    <t>ELI-189</t>
  </si>
  <si>
    <t>Saltpan F09</t>
  </si>
  <si>
    <t>ELI-465</t>
  </si>
  <si>
    <t>Saltpan F10</t>
  </si>
  <si>
    <t>ELI-467</t>
  </si>
  <si>
    <t>Saltpan M02</t>
  </si>
  <si>
    <t>ELI-259</t>
  </si>
  <si>
    <t>Saltpan M04</t>
  </si>
  <si>
    <t>ELI-187</t>
  </si>
  <si>
    <t>Saltpan Coa M02</t>
  </si>
  <si>
    <t>ELI-179</t>
  </si>
  <si>
    <t>Big Pride M04</t>
  </si>
  <si>
    <t>ELI-167</t>
  </si>
  <si>
    <t>Big Pride M05</t>
  </si>
  <si>
    <t>ELI-168</t>
  </si>
  <si>
    <t>Big Pride M06</t>
  </si>
  <si>
    <t>ELI-169</t>
  </si>
  <si>
    <t>Tafika F01</t>
  </si>
  <si>
    <t>ELI-475</t>
  </si>
  <si>
    <t>Tafika M01</t>
  </si>
  <si>
    <t>ELI-476</t>
  </si>
  <si>
    <t>Tafika M02</t>
  </si>
  <si>
    <t>ELI-477</t>
  </si>
  <si>
    <t>Tafika M03</t>
  </si>
  <si>
    <t>ELI-478</t>
  </si>
  <si>
    <t>Tsetse Coa M01</t>
  </si>
  <si>
    <t>ELI-564</t>
  </si>
  <si>
    <t>Tsetse Coa M02</t>
  </si>
  <si>
    <t>ELI-565</t>
  </si>
  <si>
    <t>Nsolo I Coa M02</t>
  </si>
  <si>
    <t>ELI-207</t>
  </si>
  <si>
    <t>Nsolo II Coa M01</t>
  </si>
  <si>
    <t>ELI-213</t>
  </si>
  <si>
    <t>Nsolo II Coa M02</t>
  </si>
  <si>
    <t>ELI-214</t>
  </si>
  <si>
    <t>Nsolo II Coa M03</t>
  </si>
  <si>
    <t>ELI-216</t>
  </si>
  <si>
    <t>Puku Ridge M01</t>
  </si>
  <si>
    <t>ELI-445</t>
  </si>
  <si>
    <t>Puku Ridge M02</t>
  </si>
  <si>
    <t>ELI-267</t>
  </si>
  <si>
    <t>Malama Coa M01</t>
  </si>
  <si>
    <t>ELI-563</t>
  </si>
  <si>
    <t>Mwamba Coa M01</t>
  </si>
  <si>
    <t>ELI-420</t>
  </si>
  <si>
    <t>Scarface</t>
  </si>
  <si>
    <t>ELI-202</t>
  </si>
  <si>
    <t>Kakonje M02</t>
  </si>
  <si>
    <t>ELI-407</t>
  </si>
  <si>
    <t>Lion Plain M01</t>
  </si>
  <si>
    <t>ELI-175</t>
  </si>
  <si>
    <t>Luamfwa F01</t>
  </si>
  <si>
    <t>ELI-562</t>
  </si>
  <si>
    <t>Luamfwa M01</t>
  </si>
  <si>
    <t>ELI-402</t>
  </si>
  <si>
    <t>Limpy</t>
  </si>
  <si>
    <t>ELI-474</t>
  </si>
  <si>
    <t>Shaka</t>
  </si>
  <si>
    <t>ELI-234</t>
  </si>
  <si>
    <t>Nsefu F09</t>
  </si>
  <si>
    <t>ELI-254</t>
  </si>
  <si>
    <t>ELI-590</t>
  </si>
  <si>
    <t>ELI-591</t>
  </si>
  <si>
    <t>ELI-592</t>
  </si>
  <si>
    <t>ELI-593</t>
  </si>
  <si>
    <t>ELI-594</t>
  </si>
  <si>
    <t>ELI-595</t>
  </si>
  <si>
    <t>Big Pride 2013 Cub 6</t>
  </si>
  <si>
    <t>Big Pride 2013 Cub 7</t>
  </si>
  <si>
    <t>Big Pride 2013 Cub 8</t>
  </si>
  <si>
    <t>Big Pride 2013 Cub 9</t>
  </si>
  <si>
    <t>Big Pride 2013 Cub 10</t>
  </si>
  <si>
    <t>Big Pride 2013 Cub 11</t>
  </si>
  <si>
    <t>Hollywood M01</t>
  </si>
  <si>
    <t>April</t>
  </si>
  <si>
    <t>ELI-589</t>
  </si>
  <si>
    <t>ELI-481</t>
  </si>
  <si>
    <t>Zikomo M1</t>
  </si>
  <si>
    <t>Zikomo M2</t>
  </si>
  <si>
    <t>ELI-699</t>
  </si>
  <si>
    <t>ELI-713</t>
  </si>
  <si>
    <t>ELI-714</t>
  </si>
  <si>
    <t>ELI-715</t>
  </si>
  <si>
    <t>ELI-716</t>
  </si>
  <si>
    <t>ELI-717</t>
  </si>
  <si>
    <t>ELI-718</t>
  </si>
  <si>
    <t>ELI-719</t>
  </si>
  <si>
    <t>Tafika 2 M1</t>
  </si>
  <si>
    <t>Tafika 2 M2</t>
  </si>
  <si>
    <t>ELI-628</t>
  </si>
  <si>
    <t>ELI-629</t>
  </si>
  <si>
    <t>ELI-469</t>
  </si>
  <si>
    <t>ELI-697</t>
  </si>
  <si>
    <t>ELI-657</t>
  </si>
  <si>
    <t>ELI-658</t>
  </si>
  <si>
    <t>ELI-659</t>
  </si>
  <si>
    <t>ELI-660</t>
  </si>
  <si>
    <t>ELI-661</t>
  </si>
  <si>
    <t>ELI-662</t>
  </si>
  <si>
    <t>ELI-663</t>
  </si>
  <si>
    <t>ELI-664</t>
  </si>
  <si>
    <t>ELI-665</t>
  </si>
  <si>
    <t>ELI-666</t>
  </si>
  <si>
    <t>ELI-721</t>
  </si>
  <si>
    <t>ELI-722</t>
  </si>
  <si>
    <t>ELI-720</t>
  </si>
  <si>
    <t>ELI-604</t>
  </si>
  <si>
    <t>ELI-606</t>
  </si>
  <si>
    <t>ELI-607</t>
  </si>
  <si>
    <t>Mwamba Coa M02</t>
  </si>
  <si>
    <t>Mwamba Coa M03</t>
  </si>
  <si>
    <t>ELI-421</t>
  </si>
  <si>
    <t>ELI-422</t>
  </si>
  <si>
    <t>ELI-425</t>
  </si>
  <si>
    <t>ELI-612</t>
  </si>
  <si>
    <t>ELI-613</t>
  </si>
  <si>
    <t>ELI-615</t>
  </si>
  <si>
    <t>ELI-616</t>
  </si>
  <si>
    <t>ELI-617</t>
  </si>
  <si>
    <t>ELI-618</t>
  </si>
  <si>
    <t>ELI-735</t>
  </si>
  <si>
    <t>ELI-736</t>
  </si>
  <si>
    <t>ELI-737</t>
  </si>
  <si>
    <t>ELI-738</t>
  </si>
  <si>
    <t>ELI-739</t>
  </si>
  <si>
    <t>Chinzombo F02</t>
  </si>
  <si>
    <t>Chinzombo F01</t>
  </si>
  <si>
    <t>Chinzombo F03</t>
  </si>
  <si>
    <t>ELI-703</t>
  </si>
  <si>
    <t>ELI-765</t>
  </si>
  <si>
    <t>ELI-766</t>
  </si>
  <si>
    <t>ELI-767</t>
  </si>
  <si>
    <t>ELI-768</t>
  </si>
  <si>
    <t>ELI-769</t>
  </si>
  <si>
    <t>2014 Cub 1</t>
  </si>
  <si>
    <t>2014 Cub 2</t>
  </si>
  <si>
    <t>2014 Cub 3</t>
  </si>
  <si>
    <t>2014 Cub 4</t>
  </si>
  <si>
    <t>2014 Cub 5</t>
  </si>
  <si>
    <t>ELI-598</t>
  </si>
  <si>
    <t>ELI-599</t>
  </si>
  <si>
    <t>Hot Springs</t>
  </si>
  <si>
    <t>ELI-510</t>
  </si>
  <si>
    <t>ELI-511</t>
  </si>
  <si>
    <t>ELI-394</t>
  </si>
  <si>
    <t>ELI-514</t>
  </si>
  <si>
    <t>ELI-73</t>
  </si>
  <si>
    <t>ELI-75</t>
  </si>
  <si>
    <t>ELI-635</t>
  </si>
  <si>
    <t>ELI-636</t>
  </si>
  <si>
    <t>ELI-637</t>
  </si>
  <si>
    <t>ELI-639</t>
  </si>
  <si>
    <t>ELI-642</t>
  </si>
  <si>
    <t>ELI-516</t>
  </si>
  <si>
    <t>ELI-517</t>
  </si>
  <si>
    <t>ELI-780</t>
  </si>
  <si>
    <t>ELI-609</t>
  </si>
  <si>
    <t>ELI-611</t>
  </si>
  <si>
    <t>Kapamba</t>
  </si>
  <si>
    <t>ELI-482</t>
  </si>
  <si>
    <t>ELI-470</t>
  </si>
  <si>
    <t>ELI-240</t>
  </si>
  <si>
    <t>ELI-669</t>
  </si>
  <si>
    <t>ELI-667</t>
  </si>
  <si>
    <t>ELI-668</t>
  </si>
  <si>
    <t>ELI-670</t>
  </si>
  <si>
    <t>ELI-700</t>
  </si>
  <si>
    <t>ELI-701</t>
  </si>
  <si>
    <t>ELI-784</t>
  </si>
  <si>
    <t>ELI-785</t>
  </si>
  <si>
    <t>ELI-779</t>
  </si>
  <si>
    <t>ELI-61</t>
  </si>
  <si>
    <t>ELI-389</t>
  </si>
  <si>
    <t>ELI-770</t>
  </si>
  <si>
    <t>ELI-771</t>
  </si>
  <si>
    <t>ELI-772</t>
  </si>
  <si>
    <t>ELI-773</t>
  </si>
  <si>
    <t>ELI-774</t>
  </si>
  <si>
    <t>ELI-776</t>
  </si>
  <si>
    <t>ELI-775</t>
  </si>
  <si>
    <t>ELI-777</t>
  </si>
  <si>
    <t>ELI-778</t>
  </si>
  <si>
    <t>ELI-786</t>
  </si>
  <si>
    <t>Listed inNchinden/Nyamaluna?</t>
  </si>
  <si>
    <t>"</t>
  </si>
  <si>
    <t>ELI-506</t>
  </si>
  <si>
    <t>ELI-486</t>
  </si>
  <si>
    <t>pride</t>
  </si>
  <si>
    <t>altname</t>
  </si>
  <si>
    <t>lionid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</si>
  <si>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</si>
  <si>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</si>
  <si>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</si>
  <si>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</si>
  <si>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</si>
  <si>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</si>
  <si>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</si>
  <si>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</si>
  <si>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</si>
  <si>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</si>
  <si>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</si>
  <si>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</si>
  <si>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sexknown</t>
  </si>
  <si>
    <t>sexmale</t>
  </si>
  <si>
    <t>knowndead</t>
  </si>
  <si>
    <t>dobknown</t>
  </si>
  <si>
    <t>yearatfirst</t>
  </si>
  <si>
    <t>monthatfirst</t>
  </si>
  <si>
    <t>ageatfirst</t>
  </si>
  <si>
    <t>Big Pride</t>
  </si>
  <si>
    <t>Chowo</t>
  </si>
  <si>
    <t>Chowo U04</t>
  </si>
  <si>
    <t>Chowo U05</t>
  </si>
  <si>
    <t>Chichele</t>
  </si>
  <si>
    <t>Chichele Cub1</t>
  </si>
  <si>
    <t>Chichele Cub2</t>
  </si>
  <si>
    <t>Chichele Cub3</t>
  </si>
  <si>
    <t>Chinzombo</t>
  </si>
  <si>
    <t>Nsefu</t>
  </si>
  <si>
    <t>Nsefu 2013 Cub</t>
  </si>
  <si>
    <t>Nsefu 2014 Cub1</t>
  </si>
  <si>
    <t>Nsefu 2014 Cub2</t>
  </si>
  <si>
    <t>Nsefu 2014 Cub3</t>
  </si>
  <si>
    <t>Nsefu 2014 Cub4</t>
  </si>
  <si>
    <t>Nsefu 2014 Cub5</t>
  </si>
  <si>
    <t>Nsefu 2014 Cub6</t>
  </si>
  <si>
    <t>Nsefu 2014 Cub7</t>
  </si>
  <si>
    <t>Hot Springs Cub 1</t>
  </si>
  <si>
    <t>ELI-608</t>
  </si>
  <si>
    <t>Hot Springs Cub 2</t>
  </si>
  <si>
    <t>Hot Springs Cub 3</t>
  </si>
  <si>
    <t>Kapamba F03</t>
  </si>
  <si>
    <t>Kapamba F04</t>
  </si>
  <si>
    <t>Kapamba F05</t>
  </si>
  <si>
    <t>Chamilandu</t>
  </si>
  <si>
    <t>Hollywood F07</t>
  </si>
  <si>
    <t>Hollywood 2013Cub1</t>
  </si>
  <si>
    <t>Hollywood 2013Cub2</t>
  </si>
  <si>
    <t>Hollywood 2013Cub3</t>
  </si>
  <si>
    <t>Hollywood 2013Cub4</t>
  </si>
  <si>
    <t>Hollywood 2013Cub5</t>
  </si>
  <si>
    <t>Hollywood 2013Cub6</t>
  </si>
  <si>
    <t>Hollywood 2013Cub7</t>
  </si>
  <si>
    <t>Hollywood 2013Cub8</t>
  </si>
  <si>
    <t>Hollywood 2013Cub9</t>
  </si>
  <si>
    <t>Hollywood</t>
  </si>
  <si>
    <t>Luwi</t>
  </si>
  <si>
    <t>Mwamba I F06</t>
  </si>
  <si>
    <t>Mwamba I F07</t>
  </si>
  <si>
    <t>Mwamba I</t>
  </si>
  <si>
    <t>Nsolo 2</t>
  </si>
  <si>
    <t>ELI-702</t>
  </si>
  <si>
    <t>ELI-708</t>
  </si>
  <si>
    <t>ELI-709</t>
  </si>
  <si>
    <t>ELI-710</t>
  </si>
  <si>
    <t>ELI-711</t>
  </si>
  <si>
    <t>New Luwi COA</t>
  </si>
  <si>
    <t>New Luwi</t>
  </si>
  <si>
    <t>Nchindeni</t>
  </si>
  <si>
    <t>Saltpan</t>
  </si>
  <si>
    <t>Tsetse Coa</t>
  </si>
  <si>
    <t>Nsolo II Coa</t>
  </si>
  <si>
    <t>Mwamba Coa</t>
  </si>
  <si>
    <t>Limpy Coa</t>
  </si>
  <si>
    <t>Zikomo Coa</t>
  </si>
  <si>
    <t>Big Pride Coa</t>
  </si>
  <si>
    <t>Lion Plain Coa</t>
  </si>
  <si>
    <t>Hollywood 2014Cub1</t>
  </si>
  <si>
    <t>Hollywood 2014Cub2</t>
  </si>
  <si>
    <t>Hollywood 2014Cub3</t>
  </si>
  <si>
    <t>Kakumbi Coa</t>
  </si>
  <si>
    <t>Kakumbi M01</t>
  </si>
  <si>
    <t>Kakumbi M02</t>
  </si>
  <si>
    <t>Kakumbi M03</t>
  </si>
  <si>
    <t>Kakumbi M04</t>
  </si>
  <si>
    <t>ELI-619</t>
  </si>
  <si>
    <t>Saltpan Cub1</t>
  </si>
  <si>
    <t>Saltpan Cub2</t>
  </si>
  <si>
    <t>Saltpan Cub3</t>
  </si>
  <si>
    <t>Saltpan Cub4</t>
  </si>
  <si>
    <t>Saltpan Cub5</t>
  </si>
  <si>
    <t>Nsefu 2014 Cub8</t>
  </si>
  <si>
    <t>Luwi 2014 Cub1</t>
  </si>
  <si>
    <t>Luwi 2014 Cub2</t>
  </si>
  <si>
    <t>Luwi 2014 Cub3</t>
  </si>
  <si>
    <t>Tena Tena</t>
  </si>
  <si>
    <t>Tena Tena F01</t>
  </si>
  <si>
    <t>Tena Tena F02</t>
  </si>
  <si>
    <t>Tena Tena Cub 1</t>
  </si>
  <si>
    <t>Tena Tena Cub 2</t>
  </si>
  <si>
    <t>Tena Tena Cub 3</t>
  </si>
  <si>
    <t>Tena Tena Cub 4</t>
  </si>
  <si>
    <t>Tena Tena Cub 5</t>
  </si>
  <si>
    <t>Tena Tena Cub 6</t>
  </si>
  <si>
    <t>Tena Tena Cub 7</t>
  </si>
  <si>
    <t>Tena Tena Cub 8</t>
  </si>
  <si>
    <t>ELI-752</t>
  </si>
  <si>
    <t>ELI-753</t>
  </si>
  <si>
    <t>ELI-754</t>
  </si>
  <si>
    <t>ELI-755</t>
  </si>
  <si>
    <t>ELI-756</t>
  </si>
  <si>
    <t>ELI-757</t>
  </si>
  <si>
    <t>ELI-758</t>
  </si>
  <si>
    <t>ELI-759</t>
  </si>
  <si>
    <t>ELI-750</t>
  </si>
  <si>
    <t>ELI-751</t>
  </si>
  <si>
    <t>ELI-698</t>
  </si>
  <si>
    <t>ELI-260</t>
  </si>
  <si>
    <t>NA</t>
  </si>
  <si>
    <t>ELI-262</t>
  </si>
  <si>
    <t>collaredgroup</t>
  </si>
  <si>
    <t>Tafika 2 COA</t>
  </si>
  <si>
    <t>sexmale(altenrate m and f if not known)</t>
  </si>
  <si>
    <t>collaredgroup(0 if unknown)</t>
  </si>
  <si>
    <t>/*ELI-583*/ 11100000 1;</t>
  </si>
  <si>
    <t>/*ELI-584*/ 11111111 1;</t>
  </si>
  <si>
    <t>/*ELI-585*/ 11111111 1;</t>
  </si>
  <si>
    <t>/*ELI-586*/ 11111111 1;</t>
  </si>
  <si>
    <t>/*ELI-587*/ 11111111 1;</t>
  </si>
  <si>
    <t>/*ELI-590*/ 11111111 1;</t>
  </si>
  <si>
    <t>/*ELI-592*/ 11111111 1;</t>
  </si>
  <si>
    <t>/*ELI-593*/ 11111111 1;</t>
  </si>
  <si>
    <t>/*ELI-594*/ 11111111 1;</t>
  </si>
  <si>
    <t>/*ELI-595*/ 11111111 1;</t>
  </si>
  <si>
    <t>/*ELI-243*/ 11111111 1;</t>
  </si>
  <si>
    <t>/*ELI-242*/ 11111011 1;</t>
  </si>
  <si>
    <t>/*ELI-224*/ 11110111 1;</t>
  </si>
  <si>
    <t>/*ELI-245*/ 11110111 1;</t>
  </si>
  <si>
    <t>/*ELI-223*/ 11111111 1;</t>
  </si>
  <si>
    <t>/*ELI-220*/ 11111111 1;</t>
  </si>
  <si>
    <t>/*ELI-218*/ 11111111 1;</t>
  </si>
  <si>
    <t>/*ELI-219*/ 11111111 1;</t>
  </si>
  <si>
    <t>/*ELI-765*/ 10010111 1;</t>
  </si>
  <si>
    <t>/*ELI-766*/ 10010111 1;</t>
  </si>
  <si>
    <t>/*ELI-767*/ 10010111 1;</t>
  </si>
  <si>
    <t>/*ELI-768*/ 10010111 1;</t>
  </si>
  <si>
    <t>/*ELI-769*/ 10010111 1;</t>
  </si>
  <si>
    <t>/*ELI-414*/ 01011111 1;</t>
  </si>
  <si>
    <t>/*ELI-493*/ 00011111 1;</t>
  </si>
  <si>
    <t>/*ELI-494*/ 01011111 1;</t>
  </si>
  <si>
    <t>/*ELI-524*/ 01011111 1;</t>
  </si>
  <si>
    <t>/*ELI-598*/ 01011111 1;</t>
  </si>
  <si>
    <t>/*ELI-599*/ 01011111 1;</t>
  </si>
  <si>
    <t>/*ELI-236*/ 11111111 1;</t>
  </si>
  <si>
    <t>/*ELI-235*/ 11111111 1;</t>
  </si>
  <si>
    <t>/*ELI-604*/ 11111111 1;</t>
  </si>
  <si>
    <t>/*ELI-606*/ 11111111 1;</t>
  </si>
  <si>
    <t>/*ELI-607*/ 11111111 1;</t>
  </si>
  <si>
    <t>/*ELI-143*/ 01011111 1;</t>
  </si>
  <si>
    <t>/*ELI-496*/ 01011111 1;</t>
  </si>
  <si>
    <t>/*ELI-703*/ 01011111 1;</t>
  </si>
  <si>
    <t>/*ELI-173*/ 00010111 1;</t>
  </si>
  <si>
    <t>/*ELI-247*/ 01110111 1;</t>
  </si>
  <si>
    <t>/*ELI-248*/ 01111111 1;</t>
  </si>
  <si>
    <t>/*ELI-249*/ 00000000 1;</t>
  </si>
  <si>
    <t>/*ELI-250*/ 01011111 1;</t>
  </si>
  <si>
    <t>/*ELI-462*/ 01010011 1;</t>
  </si>
  <si>
    <t>/*ELI-378*/ 01111111 1;</t>
  </si>
  <si>
    <t>/*ELI-463*/ 00010011 1;</t>
  </si>
  <si>
    <t>/*ELI-464*/ 10111101 1;</t>
  </si>
  <si>
    <t>/*ELI-553*/ 00110101 1;</t>
  </si>
  <si>
    <t>/*ELI-589*/ 10110101 1;</t>
  </si>
  <si>
    <t>/*ELI-713*/ 00011111 1;</t>
  </si>
  <si>
    <t>/*ELI-714*/ 00011111 1;</t>
  </si>
  <si>
    <t>/*ELI-715*/ 00010111 1;</t>
  </si>
  <si>
    <t>/*ELI-716*/ 00011111 1;</t>
  </si>
  <si>
    <t>/*ELI-717*/ 00010111 1;</t>
  </si>
  <si>
    <t>/*ELI-718*/ 00010111 1;</t>
  </si>
  <si>
    <t>/*ELI-719*/ 00000111 1;</t>
  </si>
  <si>
    <t>/*ELI-698*/ 00000010 1;</t>
  </si>
  <si>
    <t>/*ELI-258*/ 00000011 1;</t>
  </si>
  <si>
    <t>/*ELI-256*/ 00000011 1;</t>
  </si>
  <si>
    <t>/*ELI-608*/ 00000010 1;</t>
  </si>
  <si>
    <t>/*ELI-609*/ 00000011 1;</t>
  </si>
  <si>
    <t>/*ELI-611*/ 00000011 1;</t>
  </si>
  <si>
    <t>/*ELI-204*/ 01000000 1;</t>
  </si>
  <si>
    <t>/*ELI-481*/ 00101010 1;</t>
  </si>
  <si>
    <t>/*ELI-480*/ 01101010 1;</t>
  </si>
  <si>
    <t>/*ELI-482*/ 00001010 1;</t>
  </si>
  <si>
    <t>/*ELI-470*/ 00001010 1;</t>
  </si>
  <si>
    <t>/*ELI-438*/ 01001000 1;</t>
  </si>
  <si>
    <t>/*ELI-440*/ 01001000 1;</t>
  </si>
  <si>
    <t>/*ELI-197*/ 00111001 1;</t>
  </si>
  <si>
    <t>/*ELI-198*/ 00111001 1;</t>
  </si>
  <si>
    <t>/*ELI-230*/ 00101101 1;</t>
  </si>
  <si>
    <t>/*ELI-231*/ 00111001 1;</t>
  </si>
  <si>
    <t>/*ELI-232*/ 00010000 1;</t>
  </si>
  <si>
    <t>/*ELI-425*/ 00011001 1;</t>
  </si>
  <si>
    <t>/*ELI-612*/ 00111001 1;</t>
  </si>
  <si>
    <t>/*ELI-613*/ 00111001 1;</t>
  </si>
  <si>
    <t>/*ELI-615*/ 00111001 1;</t>
  </si>
  <si>
    <t>/*ELI-616*/ 00111001 1;</t>
  </si>
  <si>
    <t>/*ELI-617*/ 00111001 1;</t>
  </si>
  <si>
    <t>/*ELI-618*/ 00111001 1;</t>
  </si>
  <si>
    <t>/*ELI-739*/ 00000100 1;</t>
  </si>
  <si>
    <t>/*ELI-619*/ 00010000 1;</t>
  </si>
  <si>
    <t>/*ELI-154*/ 01111110 1;</t>
  </si>
  <si>
    <t>/*ELI-155*/ 11111110 1;</t>
  </si>
  <si>
    <t>/*ELI-369*/ 00111110 1;</t>
  </si>
  <si>
    <t>/*ELI-159*/ 01111111 1;</t>
  </si>
  <si>
    <t>/*ELI-720*/ 01110000 1;</t>
  </si>
  <si>
    <t>/*ELI-750*/ 00000010 1;</t>
  </si>
  <si>
    <t>/*ELI-751*/ 00000010 1;</t>
  </si>
  <si>
    <t>/*ELI-125*/ 01111110 1;</t>
  </si>
  <si>
    <t>/*ELI-126*/ 01111111 1;</t>
  </si>
  <si>
    <t>/*ELI-127*/ 01011111 1;</t>
  </si>
  <si>
    <t>/*ELI-138*/ 01011111 1;</t>
  </si>
  <si>
    <t>/*ELI-469*/ 01011111 1;</t>
  </si>
  <si>
    <t>/*ELI-657*/ 01011111 1;</t>
  </si>
  <si>
    <t>/*ELI-658*/ 01011111 1;</t>
  </si>
  <si>
    <t>/*ELI-659*/ 01011111 1;</t>
  </si>
  <si>
    <t>/*ELI-660*/ 01111111 1;</t>
  </si>
  <si>
    <t>/*ELI-661*/ 01011011 1;</t>
  </si>
  <si>
    <t>/*ELI-662*/ 00111111 1;</t>
  </si>
  <si>
    <t>/*ELI-663*/ 01111111 1;</t>
  </si>
  <si>
    <t>/*ELI-664*/ 01111111 1;</t>
  </si>
  <si>
    <t>/*ELI-665*/ 01111111 1;</t>
  </si>
  <si>
    <t>/*ELI-666*/ 01011111 1;</t>
  </si>
  <si>
    <t>/*ELI-697*/ 01111111 1;</t>
  </si>
  <si>
    <t>/*ELI-721*/ 00011110 1;</t>
  </si>
  <si>
    <t>/*ELI-722*/ 00010000 1;</t>
  </si>
  <si>
    <t>/*ELI-700*/ 00111110 1;</t>
  </si>
  <si>
    <t>/*ELI-701*/ 00111110 1;</t>
  </si>
  <si>
    <t>/*ELI-702*/ 00111110 1;</t>
  </si>
  <si>
    <t>/*ELI-708*/ 00101010 1;</t>
  </si>
  <si>
    <t>/*ELI-709*/ 00101010 1;</t>
  </si>
  <si>
    <t>/*ELI-710*/ 00101010 1;</t>
  </si>
  <si>
    <t>/*ELI-711*/ 00101010 1;</t>
  </si>
  <si>
    <t>/*ELI-468*/ 00000110 1;</t>
  </si>
  <si>
    <t>/*ELI-261*/ 00000010 1;</t>
  </si>
  <si>
    <t>/*ELI-257*/ 00000110 1;</t>
  </si>
  <si>
    <t>/*ELI-183*/ 00000110 1;</t>
  </si>
  <si>
    <t>/*ELI-189*/ 00000100 1;</t>
  </si>
  <si>
    <t>/*ELI-465*/ 00000010 1;</t>
  </si>
  <si>
    <t>/*ELI-467*/ 00000110 1;</t>
  </si>
  <si>
    <t>/*ELI-770*/ 00000010 1;</t>
  </si>
  <si>
    <t>/*ELI-771*/ 00000010 1;</t>
  </si>
  <si>
    <t>/*ELI-772*/ 00000010 1;</t>
  </si>
  <si>
    <t>/*ELI-773*/ 00000010 1;</t>
  </si>
  <si>
    <t>/*ELI-774*/ 00000010 1;</t>
  </si>
  <si>
    <t>/*ELI-775*/ 00000100 1;</t>
  </si>
  <si>
    <t>/*ELI-776*/ 00000100 1;</t>
  </si>
  <si>
    <t>/*ELI-777*/ 00000100 1;</t>
  </si>
  <si>
    <t>/*ELI-778*/ 00000100 1;</t>
  </si>
  <si>
    <t>/*ELI-786*/ 00000100 1;</t>
  </si>
  <si>
    <t>/*ELI-260*/ 00100000 1;</t>
  </si>
  <si>
    <t>/*ELI-262*/ 00100000 1;</t>
  </si>
  <si>
    <t>/*ELI-752*/ 00100000 1;</t>
  </si>
  <si>
    <t>/*ELI-753*/ 00100000 1;</t>
  </si>
  <si>
    <t>/*ELI-754*/ 00100000 1;</t>
  </si>
  <si>
    <t>/*ELI-755*/ 00100000 1;</t>
  </si>
  <si>
    <t>/*ELI-756*/ 00100000 1;</t>
  </si>
  <si>
    <t>/*ELI-757*/ 00100000 1;</t>
  </si>
  <si>
    <t>/*ELI-758*/ 00100000 1;</t>
  </si>
  <si>
    <t>/*ELI-759*/ 00100000 1;</t>
  </si>
  <si>
    <t>/*ELI-168*/ 00100010 1;</t>
  </si>
  <si>
    <t>/*ELI-564*/ 00100001 1;</t>
  </si>
  <si>
    <t>/*ELI-565*/ 00100111 1;</t>
  </si>
  <si>
    <t>/*ELI-213*/ 11101110 1;</t>
  </si>
  <si>
    <t>/*ELI-214*/ 01101111 1;</t>
  </si>
  <si>
    <t>/*ELI-216*/ 11101110 1;</t>
  </si>
  <si>
    <t>/*ELI-420*/ 00101000 1;</t>
  </si>
  <si>
    <t>/*ELI-421*/ 00110010 1;</t>
  </si>
  <si>
    <t>/*ELI-422*/ 00111100 1;</t>
  </si>
  <si>
    <t>/*ELI-175*/ 00010000 1;</t>
  </si>
  <si>
    <t>/*ELI-474*/ 01000100 1;</t>
  </si>
  <si>
    <t>/*ELI-130*/ 00100000 1;</t>
  </si>
  <si>
    <t>/*ELI-699*/ 00101000 1;</t>
  </si>
  <si>
    <t>/*ELI-628*/ 00011111 1;</t>
  </si>
  <si>
    <t>/*ELI-629*/ 00011111 1;</t>
  </si>
  <si>
    <t>/*ELI-779*/ 00111100 1;</t>
  </si>
  <si>
    <t>/*ELI-373*/ 00001110 1;</t>
  </si>
  <si>
    <t>/*ELI-375*/ 00001100 1;</t>
  </si>
  <si>
    <t>/*ELI-377*/ 00011100 1;</t>
  </si>
  <si>
    <t>/*ELI-376*/ 00011100 1;</t>
  </si>
  <si>
    <t>ELI-990</t>
  </si>
  <si>
    <t>/*ELI-990*/ 00000100 1;</t>
  </si>
  <si>
    <t>ELI-800</t>
  </si>
  <si>
    <t>ELI-972</t>
  </si>
  <si>
    <t>Floppy Coa M01</t>
  </si>
  <si>
    <t>Floppy Coa</t>
  </si>
  <si>
    <t>/*ELI-174*/ 01010101 1;</t>
  </si>
  <si>
    <t>/*ELI-800*/ 00000011 1;</t>
  </si>
  <si>
    <t>/*ELI-424*/ 00111001 1;</t>
  </si>
  <si>
    <t>/*ELI-735*/ 00011001 1;</t>
  </si>
  <si>
    <t>/*ELI-736*/ 00011001 1;</t>
  </si>
  <si>
    <t>/*ELI-737*/ 00011001 1;</t>
  </si>
  <si>
    <t>/*ELI-738*/ 00010100 1;</t>
  </si>
  <si>
    <t>/*ELI-124*/ 01111001 1;</t>
  </si>
  <si>
    <t>/*ELI-972*/ 00000100 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</si>
</sst>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</borders>
  <cellStyleXfs count="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66">
    <xf numFmtId="0" fontId="0" fillId="0" borderId="0" xfId="0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Fill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2" fillId="0" borderId="15" xfId="0" applyFont="1" applyBorder="1" applyAlignment="1">
      <alignment horizontal="left" vertical="center"/>
    </xf>
    <xf numFmtId="0" fontId="1" fillId="0" borderId="22" xfId="0" applyFont="1" applyBorder="1" applyAlignment="1">
      <alignment vertical="center"/>
    </xf>
    <xf numFmtId="0" fontId="1" fillId="0" borderId="23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1" fillId="2" borderId="0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0" xfId="0" applyFont="1" applyBorder="1" applyAlignment="1">
      <alignment vertical="center"/>
    </xf>
    <xf numFmtId="0" fontId="2" fillId="0" borderId="2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0" fillId="3" borderId="0" xfId="0" applyFill="1" applyBorder="1"/>
    <xf numFmtId="0" fontId="0" fillId="3" borderId="1" xfId="0" applyFill="1" applyBorder="1"/>
    <xf numFmtId="0" fontId="1" fillId="3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3" borderId="19" xfId="0" applyFont="1" applyFill="1" applyBorder="1" applyAlignment="1">
      <alignment vertical="center"/>
    </xf>
    <xf numFmtId="0" fontId="0" fillId="3" borderId="0" xfId="0" applyFill="1"/>
    <xf numFmtId="0" fontId="2" fillId="0" borderId="8" xfId="0" applyFont="1" applyBorder="1" applyAlignment="1">
      <alignment horizontal="center" vertical="center"/>
    </xf>
    <xf numFmtId="0" fontId="0" fillId="3" borderId="22" xfId="0" applyFill="1" applyBorder="1"/>
    <xf numFmtId="0" fontId="0" fillId="0" borderId="0" xfId="0" applyBorder="1"/>
    <xf numFmtId="0" fontId="0" fillId="0" borderId="19" xfId="0" applyBorder="1"/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vertical="center"/>
    </xf>
    <xf numFmtId="0" fontId="0" fillId="3" borderId="8" xfId="0" applyFill="1" applyBorder="1"/>
    <xf numFmtId="0" fontId="3" fillId="0" borderId="14" xfId="0" applyFont="1" applyBorder="1" applyAlignment="1"/>
    <xf numFmtId="0" fontId="2" fillId="0" borderId="15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2" fillId="0" borderId="11" xfId="0" applyFont="1" applyBorder="1" applyAlignment="1"/>
    <xf numFmtId="0" fontId="2" fillId="0" borderId="30" xfId="0" applyFont="1" applyBorder="1" applyAlignment="1"/>
    <xf numFmtId="0" fontId="2" fillId="0" borderId="25" xfId="0" applyFont="1" applyBorder="1" applyAlignment="1"/>
    <xf numFmtId="0" fontId="0" fillId="0" borderId="0" xfId="0" applyAlignment="1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0" fontId="4" fillId="0" borderId="32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vertical="center"/>
    </xf>
    <xf numFmtId="0" fontId="0" fillId="0" borderId="1" xfId="0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31" xfId="0" applyFont="1" applyBorder="1" applyAlignment="1">
      <alignment vertical="center"/>
    </xf>
    <xf numFmtId="0" fontId="1" fillId="0" borderId="34" xfId="0" applyFont="1" applyBorder="1" applyAlignment="1">
      <alignment horizontal="center" vertical="center"/>
    </xf>
    <xf numFmtId="0" fontId="0" fillId="3" borderId="29" xfId="0" applyFill="1" applyBorder="1"/>
    <xf numFmtId="0" fontId="0" fillId="0" borderId="22" xfId="0" applyBorder="1"/>
    <xf numFmtId="0" fontId="0" fillId="0" borderId="29" xfId="0" applyBorder="1"/>
    <xf numFmtId="0" fontId="0" fillId="0" borderId="15" xfId="0" applyBorder="1"/>
    <xf numFmtId="0" fontId="2" fillId="3" borderId="24" xfId="0" applyFont="1" applyFill="1" applyBorder="1" applyAlignment="1">
      <alignment horizontal="left" vertical="center"/>
    </xf>
    <xf numFmtId="0" fontId="0" fillId="3" borderId="15" xfId="0" applyFill="1" applyBorder="1"/>
    <xf numFmtId="0" fontId="2" fillId="0" borderId="3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1" fillId="0" borderId="1" xfId="0" applyFont="1" applyBorder="1"/>
    <xf numFmtId="0" fontId="7" fillId="0" borderId="1" xfId="0" applyFont="1" applyBorder="1" applyAlignment="1">
      <alignment vertical="center"/>
    </xf>
    <xf numFmtId="0" fontId="0" fillId="4" borderId="1" xfId="0" applyFill="1" applyBorder="1"/>
    <xf numFmtId="0" fontId="0" fillId="4" borderId="1" xfId="0" quotePrefix="1" applyFill="1" applyBorder="1"/>
    <xf numFmtId="0" fontId="0" fillId="0" borderId="0" xfId="0" applyFill="1"/>
    <xf numFmtId="0" fontId="2" fillId="0" borderId="11" xfId="0" applyFont="1" applyFill="1" applyBorder="1" applyAlignment="1">
      <alignment vertical="center"/>
    </xf>
    <xf numFmtId="0" fontId="2" fillId="0" borderId="25" xfId="0" applyFont="1" applyFill="1" applyBorder="1" applyAlignment="1">
      <alignment vertical="center"/>
    </xf>
    <xf numFmtId="0" fontId="2" fillId="0" borderId="1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vertical="center"/>
    </xf>
    <xf numFmtId="0" fontId="1" fillId="0" borderId="31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4" fillId="0" borderId="21" xfId="0" applyFont="1" applyFill="1" applyBorder="1" applyAlignment="1">
      <alignment horizontal="center" vertical="center"/>
    </xf>
    <xf numFmtId="0" fontId="4" fillId="0" borderId="3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4" fontId="4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 vertical="center"/>
    </xf>
    <xf numFmtId="0" fontId="8" fillId="0" borderId="0" xfId="0" applyFont="1" applyFill="1" applyBorder="1"/>
    <xf numFmtId="0" fontId="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right" vertical="center"/>
    </xf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/>
    </xf>
    <xf numFmtId="14" fontId="0" fillId="0" borderId="0" xfId="0" applyNumberFormat="1"/>
    <xf numFmtId="0" fontId="10" fillId="0" borderId="0" xfId="0" applyFont="1" applyFill="1" applyBorder="1" applyAlignment="1">
      <alignment horizontal="center"/>
    </xf>
    <xf numFmtId="0" fontId="0" fillId="0" borderId="0" xfId="0" applyFont="1" applyFill="1"/>
    <xf numFmtId="0" fontId="0" fillId="5" borderId="0" xfId="0" applyFont="1" applyFill="1" applyBorder="1"/>
    <xf numFmtId="0" fontId="0" fillId="5" borderId="0" xfId="0" applyFill="1"/>
    <xf numFmtId="0" fontId="0" fillId="5" borderId="0" xfId="0" applyFont="1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ont="1" applyFill="1" applyBorder="1"/>
    <xf numFmtId="0" fontId="1" fillId="5" borderId="1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horizontal="right" vertical="center"/>
    </xf>
    <xf numFmtId="0" fontId="0" fillId="5" borderId="0" xfId="0" applyFont="1" applyFill="1" applyBorder="1" applyAlignment="1">
      <alignment horizontal="right"/>
    </xf>
    <xf numFmtId="0" fontId="0" fillId="5" borderId="0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0" fillId="6" borderId="0" xfId="0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pcadmin\Desktop\DATA%20SORTING%20FOLDER\lion_id_2013_24feb16_t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ropbox\thandi\lion_capture_history\lion_ch_30mar2016_old\lion_id_2013_7mar16_t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"/>
      <sheetName val="NHK"/>
      <sheetName val="CH"/>
      <sheetName val="LM"/>
      <sheetName val="NS"/>
      <sheetName val="Coa"/>
      <sheetName val="pride covariates"/>
      <sheetName val="allpri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C2" t="str">
            <v>ELI-581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1</v>
          </cell>
          <cell r="Q2">
            <v>0</v>
          </cell>
          <cell r="R2">
            <v>0</v>
          </cell>
          <cell r="S2">
            <v>1</v>
          </cell>
          <cell r="T2">
            <v>2008</v>
          </cell>
          <cell r="U2">
            <v>10</v>
          </cell>
          <cell r="V2">
            <v>1</v>
          </cell>
        </row>
        <row r="3">
          <cell r="C3" t="str">
            <v>ELI-583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1</v>
          </cell>
          <cell r="K3">
            <v>1</v>
          </cell>
          <cell r="L3">
            <v>1</v>
          </cell>
          <cell r="M3">
            <v>1</v>
          </cell>
          <cell r="N3">
            <v>1</v>
          </cell>
          <cell r="O3">
            <v>1</v>
          </cell>
          <cell r="P3">
            <v>1</v>
          </cell>
          <cell r="Q3">
            <v>1</v>
          </cell>
          <cell r="R3">
            <v>0</v>
          </cell>
          <cell r="S3">
            <v>1</v>
          </cell>
          <cell r="T3">
            <v>2013</v>
          </cell>
          <cell r="U3">
            <v>7</v>
          </cell>
          <cell r="V3">
            <v>0</v>
          </cell>
        </row>
        <row r="4">
          <cell r="C4" t="str">
            <v>ELI-584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1</v>
          </cell>
          <cell r="K4">
            <v>1</v>
          </cell>
          <cell r="L4">
            <v>1</v>
          </cell>
          <cell r="M4">
            <v>1</v>
          </cell>
          <cell r="N4">
            <v>1</v>
          </cell>
          <cell r="O4">
            <v>1</v>
          </cell>
          <cell r="P4">
            <v>1</v>
          </cell>
          <cell r="Q4">
            <v>0</v>
          </cell>
          <cell r="R4">
            <v>0</v>
          </cell>
          <cell r="S4">
            <v>1</v>
          </cell>
          <cell r="T4">
            <v>2013</v>
          </cell>
          <cell r="U4">
            <v>7</v>
          </cell>
          <cell r="V4">
            <v>0</v>
          </cell>
        </row>
        <row r="5">
          <cell r="C5" t="str">
            <v>ELI-585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1</v>
          </cell>
          <cell r="K5">
            <v>1</v>
          </cell>
          <cell r="L5">
            <v>1</v>
          </cell>
          <cell r="M5">
            <v>1</v>
          </cell>
          <cell r="N5">
            <v>1</v>
          </cell>
          <cell r="O5">
            <v>1</v>
          </cell>
          <cell r="P5">
            <v>1</v>
          </cell>
          <cell r="Q5">
            <v>0</v>
          </cell>
          <cell r="R5">
            <v>0</v>
          </cell>
          <cell r="S5">
            <v>1</v>
          </cell>
          <cell r="T5">
            <v>2013</v>
          </cell>
          <cell r="U5">
            <v>7</v>
          </cell>
          <cell r="V5">
            <v>0</v>
          </cell>
        </row>
        <row r="6">
          <cell r="C6" t="str">
            <v>ELI-586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  <cell r="N6">
            <v>1</v>
          </cell>
          <cell r="O6">
            <v>1</v>
          </cell>
          <cell r="P6">
            <v>1</v>
          </cell>
          <cell r="Q6">
            <v>1</v>
          </cell>
          <cell r="R6">
            <v>0</v>
          </cell>
          <cell r="S6">
            <v>1</v>
          </cell>
          <cell r="T6">
            <v>2013</v>
          </cell>
          <cell r="U6">
            <v>7</v>
          </cell>
          <cell r="V6">
            <v>0</v>
          </cell>
        </row>
        <row r="7">
          <cell r="C7" t="str">
            <v>ELI-587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1</v>
          </cell>
          <cell r="K7">
            <v>1</v>
          </cell>
          <cell r="L7">
            <v>1</v>
          </cell>
          <cell r="M7">
            <v>1</v>
          </cell>
          <cell r="N7">
            <v>1</v>
          </cell>
          <cell r="O7">
            <v>1</v>
          </cell>
          <cell r="P7">
            <v>1</v>
          </cell>
          <cell r="Q7">
            <v>0</v>
          </cell>
          <cell r="R7">
            <v>0</v>
          </cell>
          <cell r="S7">
            <v>1</v>
          </cell>
          <cell r="T7">
            <v>2013</v>
          </cell>
          <cell r="U7">
            <v>7</v>
          </cell>
          <cell r="V7">
            <v>0</v>
          </cell>
        </row>
        <row r="8">
          <cell r="C8" t="str">
            <v>ELI-590</v>
          </cell>
          <cell r="D8">
            <v>0</v>
          </cell>
          <cell r="E8">
            <v>0</v>
          </cell>
          <cell r="F8">
            <v>0</v>
          </cell>
          <cell r="G8">
            <v>1</v>
          </cell>
          <cell r="H8">
            <v>0</v>
          </cell>
          <cell r="I8">
            <v>0</v>
          </cell>
          <cell r="J8">
            <v>1</v>
          </cell>
          <cell r="K8">
            <v>1</v>
          </cell>
          <cell r="L8">
            <v>1</v>
          </cell>
          <cell r="M8">
            <v>1</v>
          </cell>
          <cell r="N8">
            <v>1</v>
          </cell>
          <cell r="O8">
            <v>1</v>
          </cell>
          <cell r="P8">
            <v>1</v>
          </cell>
          <cell r="Q8">
            <v>0</v>
          </cell>
          <cell r="R8">
            <v>0</v>
          </cell>
          <cell r="S8">
            <v>1</v>
          </cell>
          <cell r="T8">
            <v>2013</v>
          </cell>
          <cell r="U8">
            <v>4</v>
          </cell>
          <cell r="V8">
            <v>0</v>
          </cell>
        </row>
        <row r="9">
          <cell r="C9" t="str">
            <v>ELI-591</v>
          </cell>
          <cell r="D9">
            <v>0</v>
          </cell>
          <cell r="E9">
            <v>0</v>
          </cell>
          <cell r="F9">
            <v>0</v>
          </cell>
          <cell r="G9">
            <v>1</v>
          </cell>
          <cell r="H9">
            <v>0</v>
          </cell>
          <cell r="I9">
            <v>0</v>
          </cell>
          <cell r="J9">
            <v>1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 t="str">
            <v>NA</v>
          </cell>
          <cell r="R9">
            <v>1</v>
          </cell>
          <cell r="S9">
            <v>1</v>
          </cell>
          <cell r="T9">
            <v>2013</v>
          </cell>
          <cell r="U9">
            <v>4</v>
          </cell>
          <cell r="V9">
            <v>0</v>
          </cell>
        </row>
        <row r="10">
          <cell r="C10" t="str">
            <v>ELI-592</v>
          </cell>
          <cell r="D10">
            <v>0</v>
          </cell>
          <cell r="E10">
            <v>0</v>
          </cell>
          <cell r="F10">
            <v>0</v>
          </cell>
          <cell r="G10">
            <v>1</v>
          </cell>
          <cell r="H10">
            <v>0</v>
          </cell>
          <cell r="I10">
            <v>0</v>
          </cell>
          <cell r="J10">
            <v>1</v>
          </cell>
          <cell r="K10">
            <v>1</v>
          </cell>
          <cell r="L10">
            <v>1</v>
          </cell>
          <cell r="M10">
            <v>1</v>
          </cell>
          <cell r="N10">
            <v>1</v>
          </cell>
          <cell r="O10">
            <v>1</v>
          </cell>
          <cell r="P10">
            <v>1</v>
          </cell>
          <cell r="Q10">
            <v>0</v>
          </cell>
          <cell r="R10">
            <v>0</v>
          </cell>
          <cell r="S10">
            <v>1</v>
          </cell>
          <cell r="T10">
            <v>2013</v>
          </cell>
          <cell r="U10">
            <v>4</v>
          </cell>
          <cell r="V10">
            <v>0</v>
          </cell>
        </row>
        <row r="11">
          <cell r="C11" t="str">
            <v>ELI-593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1</v>
          </cell>
          <cell r="K11">
            <v>1</v>
          </cell>
          <cell r="L11">
            <v>1</v>
          </cell>
          <cell r="M11">
            <v>1</v>
          </cell>
          <cell r="N11">
            <v>1</v>
          </cell>
          <cell r="O11">
            <v>1</v>
          </cell>
          <cell r="P11">
            <v>1</v>
          </cell>
          <cell r="Q11">
            <v>1</v>
          </cell>
          <cell r="R11">
            <v>0</v>
          </cell>
          <cell r="S11">
            <v>1</v>
          </cell>
          <cell r="T11">
            <v>2013</v>
          </cell>
          <cell r="U11">
            <v>7</v>
          </cell>
          <cell r="V11">
            <v>0</v>
          </cell>
        </row>
        <row r="12">
          <cell r="C12" t="str">
            <v>ELI-594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1</v>
          </cell>
          <cell r="K12">
            <v>1</v>
          </cell>
          <cell r="L12">
            <v>1</v>
          </cell>
          <cell r="M12">
            <v>1</v>
          </cell>
          <cell r="N12">
            <v>0</v>
          </cell>
          <cell r="O12">
            <v>1</v>
          </cell>
          <cell r="P12">
            <v>1</v>
          </cell>
          <cell r="Q12">
            <v>0</v>
          </cell>
          <cell r="R12">
            <v>0</v>
          </cell>
          <cell r="S12">
            <v>1</v>
          </cell>
          <cell r="T12">
            <v>2013</v>
          </cell>
          <cell r="U12">
            <v>7</v>
          </cell>
          <cell r="V12">
            <v>0</v>
          </cell>
        </row>
        <row r="13">
          <cell r="C13" t="str">
            <v>ELI-595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1</v>
          </cell>
          <cell r="K13">
            <v>0</v>
          </cell>
          <cell r="L13">
            <v>0</v>
          </cell>
          <cell r="M13">
            <v>1</v>
          </cell>
          <cell r="N13">
            <v>0</v>
          </cell>
          <cell r="O13">
            <v>1</v>
          </cell>
          <cell r="P13">
            <v>1</v>
          </cell>
          <cell r="Q13">
            <v>1</v>
          </cell>
          <cell r="R13">
            <v>0</v>
          </cell>
          <cell r="S13">
            <v>1</v>
          </cell>
          <cell r="T13">
            <v>2013</v>
          </cell>
          <cell r="U13">
            <v>7</v>
          </cell>
          <cell r="V13">
            <v>0</v>
          </cell>
        </row>
        <row r="14">
          <cell r="C14" t="str">
            <v>ELI-BP1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1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 t="str">
            <v>NA</v>
          </cell>
          <cell r="R14">
            <v>1</v>
          </cell>
          <cell r="S14">
            <v>1</v>
          </cell>
          <cell r="T14">
            <v>2013</v>
          </cell>
          <cell r="U14">
            <v>7</v>
          </cell>
          <cell r="V14">
            <v>0</v>
          </cell>
        </row>
        <row r="15">
          <cell r="C15" t="str">
            <v>ELI-243</v>
          </cell>
          <cell r="D15">
            <v>0</v>
          </cell>
          <cell r="E15">
            <v>0</v>
          </cell>
          <cell r="F15">
            <v>0</v>
          </cell>
          <cell r="G15">
            <v>1</v>
          </cell>
          <cell r="H15">
            <v>0</v>
          </cell>
          <cell r="I15">
            <v>1</v>
          </cell>
          <cell r="J15">
            <v>1</v>
          </cell>
          <cell r="K15">
            <v>1</v>
          </cell>
          <cell r="L15">
            <v>1</v>
          </cell>
          <cell r="M15">
            <v>1</v>
          </cell>
          <cell r="N15">
            <v>1</v>
          </cell>
          <cell r="O15">
            <v>1</v>
          </cell>
          <cell r="P15">
            <v>1</v>
          </cell>
          <cell r="Q15">
            <v>0</v>
          </cell>
          <cell r="R15">
            <v>0</v>
          </cell>
          <cell r="S15">
            <v>1</v>
          </cell>
          <cell r="T15">
            <v>2008</v>
          </cell>
          <cell r="U15">
            <v>10</v>
          </cell>
          <cell r="V15">
            <v>3</v>
          </cell>
        </row>
        <row r="16">
          <cell r="C16" t="str">
            <v>ELI-242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1</v>
          </cell>
          <cell r="J16">
            <v>1</v>
          </cell>
          <cell r="K16">
            <v>1</v>
          </cell>
          <cell r="L16">
            <v>1</v>
          </cell>
          <cell r="M16">
            <v>1</v>
          </cell>
          <cell r="N16">
            <v>1</v>
          </cell>
          <cell r="O16">
            <v>1</v>
          </cell>
          <cell r="P16">
            <v>1</v>
          </cell>
          <cell r="Q16">
            <v>0</v>
          </cell>
          <cell r="R16">
            <v>0</v>
          </cell>
          <cell r="S16">
            <v>1</v>
          </cell>
          <cell r="T16">
            <v>2008</v>
          </cell>
          <cell r="U16">
            <v>10</v>
          </cell>
          <cell r="V16">
            <v>6</v>
          </cell>
        </row>
        <row r="17">
          <cell r="C17" t="str">
            <v>ELI-225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1</v>
          </cell>
          <cell r="Q17">
            <v>0</v>
          </cell>
          <cell r="R17">
            <v>0</v>
          </cell>
          <cell r="S17">
            <v>1</v>
          </cell>
          <cell r="T17">
            <v>2008</v>
          </cell>
          <cell r="U17">
            <v>10</v>
          </cell>
          <cell r="V17">
            <v>5</v>
          </cell>
        </row>
        <row r="18">
          <cell r="C18" t="str">
            <v>ELI-224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1</v>
          </cell>
          <cell r="J18">
            <v>0</v>
          </cell>
          <cell r="K18">
            <v>1</v>
          </cell>
          <cell r="L18">
            <v>1</v>
          </cell>
          <cell r="M18">
            <v>0</v>
          </cell>
          <cell r="N18">
            <v>1</v>
          </cell>
          <cell r="O18">
            <v>0</v>
          </cell>
          <cell r="P18">
            <v>1</v>
          </cell>
          <cell r="Q18">
            <v>0</v>
          </cell>
          <cell r="R18">
            <v>0</v>
          </cell>
          <cell r="S18">
            <v>1</v>
          </cell>
          <cell r="T18">
            <v>2009</v>
          </cell>
          <cell r="U18">
            <v>4</v>
          </cell>
          <cell r="V18">
            <v>4</v>
          </cell>
        </row>
        <row r="19">
          <cell r="C19" t="str">
            <v>ELI-245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</v>
          </cell>
          <cell r="J19">
            <v>1</v>
          </cell>
          <cell r="K19">
            <v>1</v>
          </cell>
          <cell r="L19">
            <v>1</v>
          </cell>
          <cell r="M19">
            <v>1</v>
          </cell>
          <cell r="N19">
            <v>1</v>
          </cell>
          <cell r="O19">
            <v>1</v>
          </cell>
          <cell r="P19">
            <v>1</v>
          </cell>
          <cell r="Q19">
            <v>0</v>
          </cell>
          <cell r="R19">
            <v>0</v>
          </cell>
          <cell r="S19">
            <v>1</v>
          </cell>
          <cell r="T19">
            <v>2008</v>
          </cell>
          <cell r="U19">
            <v>10</v>
          </cell>
          <cell r="V19">
            <v>1</v>
          </cell>
        </row>
        <row r="20">
          <cell r="C20" t="str">
            <v>ELI-223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1</v>
          </cell>
          <cell r="J20">
            <v>1</v>
          </cell>
          <cell r="K20">
            <v>1</v>
          </cell>
          <cell r="L20">
            <v>1</v>
          </cell>
          <cell r="M20">
            <v>1</v>
          </cell>
          <cell r="N20">
            <v>1</v>
          </cell>
          <cell r="O20">
            <v>1</v>
          </cell>
          <cell r="P20">
            <v>1</v>
          </cell>
          <cell r="Q20">
            <v>0</v>
          </cell>
          <cell r="R20">
            <v>0</v>
          </cell>
          <cell r="S20">
            <v>1</v>
          </cell>
          <cell r="T20">
            <v>2008</v>
          </cell>
          <cell r="U20">
            <v>10</v>
          </cell>
          <cell r="V20">
            <v>1</v>
          </cell>
        </row>
        <row r="21">
          <cell r="C21" t="str">
            <v>ELI-220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1</v>
          </cell>
          <cell r="J21">
            <v>1</v>
          </cell>
          <cell r="K21">
            <v>1</v>
          </cell>
          <cell r="L21">
            <v>1</v>
          </cell>
          <cell r="M21">
            <v>1</v>
          </cell>
          <cell r="N21">
            <v>1</v>
          </cell>
          <cell r="O21">
            <v>1</v>
          </cell>
          <cell r="P21">
            <v>1</v>
          </cell>
          <cell r="Q21">
            <v>0</v>
          </cell>
          <cell r="R21">
            <v>0</v>
          </cell>
          <cell r="S21">
            <v>1</v>
          </cell>
          <cell r="T21">
            <v>2008</v>
          </cell>
          <cell r="U21">
            <v>10</v>
          </cell>
          <cell r="V21">
            <v>0</v>
          </cell>
        </row>
        <row r="22">
          <cell r="C22" t="str">
            <v>ELI-218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1</v>
          </cell>
          <cell r="J22">
            <v>1</v>
          </cell>
          <cell r="K22">
            <v>1</v>
          </cell>
          <cell r="L22">
            <v>1</v>
          </cell>
          <cell r="M22">
            <v>1</v>
          </cell>
          <cell r="N22">
            <v>1</v>
          </cell>
          <cell r="O22">
            <v>1</v>
          </cell>
          <cell r="P22">
            <v>1</v>
          </cell>
          <cell r="Q22">
            <v>0</v>
          </cell>
          <cell r="R22">
            <v>0</v>
          </cell>
          <cell r="S22">
            <v>1</v>
          </cell>
          <cell r="T22">
            <v>2009</v>
          </cell>
          <cell r="U22">
            <v>4</v>
          </cell>
          <cell r="V22">
            <v>1</v>
          </cell>
        </row>
        <row r="23">
          <cell r="C23" t="str">
            <v>ELI-143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</v>
          </cell>
          <cell r="T23">
            <v>2012</v>
          </cell>
          <cell r="U23">
            <v>4</v>
          </cell>
          <cell r="V23">
            <v>4</v>
          </cell>
        </row>
        <row r="24">
          <cell r="C24" t="str">
            <v>ELI-219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1</v>
          </cell>
          <cell r="J24">
            <v>1</v>
          </cell>
          <cell r="K24">
            <v>1</v>
          </cell>
          <cell r="L24">
            <v>1</v>
          </cell>
          <cell r="M24">
            <v>1</v>
          </cell>
          <cell r="N24">
            <v>1</v>
          </cell>
          <cell r="O24">
            <v>1</v>
          </cell>
          <cell r="P24">
            <v>1</v>
          </cell>
          <cell r="Q24">
            <v>0</v>
          </cell>
          <cell r="R24">
            <v>0</v>
          </cell>
          <cell r="S24">
            <v>1</v>
          </cell>
          <cell r="T24">
            <v>2008</v>
          </cell>
          <cell r="U24">
            <v>10</v>
          </cell>
          <cell r="V24">
            <v>0</v>
          </cell>
        </row>
        <row r="25">
          <cell r="C25" t="str">
            <v>ELI-227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1</v>
          </cell>
          <cell r="Q25">
            <v>1</v>
          </cell>
          <cell r="R25">
            <v>0</v>
          </cell>
          <cell r="S25">
            <v>1</v>
          </cell>
          <cell r="T25">
            <v>2009</v>
          </cell>
          <cell r="U25">
            <v>4</v>
          </cell>
          <cell r="V25">
            <v>2</v>
          </cell>
        </row>
        <row r="26">
          <cell r="C26" t="str">
            <v>ELI-221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1</v>
          </cell>
          <cell r="Q26">
            <v>1</v>
          </cell>
          <cell r="R26">
            <v>0</v>
          </cell>
          <cell r="S26">
            <v>1</v>
          </cell>
          <cell r="T26">
            <v>2009</v>
          </cell>
          <cell r="U26">
            <v>4</v>
          </cell>
          <cell r="V26">
            <v>0</v>
          </cell>
        </row>
        <row r="27">
          <cell r="C27" t="str">
            <v>ELI-222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1</v>
          </cell>
          <cell r="Q27">
            <v>1</v>
          </cell>
          <cell r="R27">
            <v>0</v>
          </cell>
          <cell r="S27">
            <v>1</v>
          </cell>
          <cell r="T27">
            <v>2009</v>
          </cell>
          <cell r="U27">
            <v>4</v>
          </cell>
          <cell r="V27">
            <v>0</v>
          </cell>
        </row>
        <row r="28">
          <cell r="C28" t="str">
            <v>ELI-414</v>
          </cell>
          <cell r="D28">
            <v>0</v>
          </cell>
          <cell r="E28">
            <v>1</v>
          </cell>
          <cell r="F28">
            <v>0</v>
          </cell>
          <cell r="G28">
            <v>1</v>
          </cell>
          <cell r="H28">
            <v>1</v>
          </cell>
          <cell r="I28">
            <v>1</v>
          </cell>
          <cell r="J28">
            <v>0</v>
          </cell>
          <cell r="K28">
            <v>0</v>
          </cell>
          <cell r="L28">
            <v>1</v>
          </cell>
          <cell r="M28">
            <v>1</v>
          </cell>
          <cell r="N28">
            <v>1</v>
          </cell>
          <cell r="O28">
            <v>0</v>
          </cell>
          <cell r="P28">
            <v>1</v>
          </cell>
          <cell r="Q28">
            <v>0</v>
          </cell>
          <cell r="R28">
            <v>0</v>
          </cell>
          <cell r="S28">
            <v>1</v>
          </cell>
          <cell r="T28">
            <v>2011</v>
          </cell>
          <cell r="U28">
            <v>7</v>
          </cell>
          <cell r="V28">
            <v>3</v>
          </cell>
        </row>
        <row r="29">
          <cell r="C29" t="str">
            <v>ELI-415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1</v>
          </cell>
          <cell r="Q29">
            <v>0</v>
          </cell>
          <cell r="R29">
            <v>0</v>
          </cell>
          <cell r="S29">
            <v>1</v>
          </cell>
          <cell r="T29">
            <v>2011</v>
          </cell>
          <cell r="U29">
            <v>9</v>
          </cell>
          <cell r="V29">
            <v>4</v>
          </cell>
        </row>
        <row r="30">
          <cell r="C30" t="str">
            <v>ELI-436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1</v>
          </cell>
          <cell r="Q30">
            <v>0</v>
          </cell>
          <cell r="R30">
            <v>0</v>
          </cell>
          <cell r="S30">
            <v>1</v>
          </cell>
          <cell r="T30">
            <v>2011</v>
          </cell>
          <cell r="U30">
            <v>9</v>
          </cell>
          <cell r="V30">
            <v>4</v>
          </cell>
        </row>
        <row r="31">
          <cell r="C31" t="str">
            <v>ELI-413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1</v>
          </cell>
          <cell r="Q31">
            <v>0</v>
          </cell>
          <cell r="R31">
            <v>0</v>
          </cell>
          <cell r="S31">
            <v>1</v>
          </cell>
          <cell r="T31">
            <v>2011</v>
          </cell>
          <cell r="U31">
            <v>6</v>
          </cell>
          <cell r="V31">
            <v>2</v>
          </cell>
        </row>
        <row r="32">
          <cell r="C32" t="str">
            <v>ELI-493</v>
          </cell>
          <cell r="D32">
            <v>0</v>
          </cell>
          <cell r="E32">
            <v>1</v>
          </cell>
          <cell r="F32">
            <v>0</v>
          </cell>
          <cell r="G32">
            <v>1</v>
          </cell>
          <cell r="H32">
            <v>1</v>
          </cell>
          <cell r="I32">
            <v>1</v>
          </cell>
          <cell r="J32">
            <v>0</v>
          </cell>
          <cell r="K32">
            <v>0</v>
          </cell>
          <cell r="L32">
            <v>1</v>
          </cell>
          <cell r="M32">
            <v>1</v>
          </cell>
          <cell r="N32">
            <v>1</v>
          </cell>
          <cell r="O32">
            <v>0</v>
          </cell>
          <cell r="P32">
            <v>1</v>
          </cell>
          <cell r="Q32">
            <v>0</v>
          </cell>
          <cell r="R32">
            <v>0</v>
          </cell>
          <cell r="S32">
            <v>1</v>
          </cell>
          <cell r="T32">
            <v>2012</v>
          </cell>
          <cell r="U32">
            <v>6</v>
          </cell>
          <cell r="V32">
            <v>4</v>
          </cell>
        </row>
        <row r="33">
          <cell r="C33" t="str">
            <v>ELI-494</v>
          </cell>
          <cell r="D33">
            <v>0</v>
          </cell>
          <cell r="E33">
            <v>1</v>
          </cell>
          <cell r="F33">
            <v>0</v>
          </cell>
          <cell r="G33">
            <v>1</v>
          </cell>
          <cell r="H33">
            <v>1</v>
          </cell>
          <cell r="I33">
            <v>1</v>
          </cell>
          <cell r="J33">
            <v>0</v>
          </cell>
          <cell r="K33">
            <v>0</v>
          </cell>
          <cell r="L33">
            <v>1</v>
          </cell>
          <cell r="M33">
            <v>1</v>
          </cell>
          <cell r="N33">
            <v>1</v>
          </cell>
          <cell r="O33">
            <v>0</v>
          </cell>
          <cell r="P33">
            <v>1</v>
          </cell>
          <cell r="Q33">
            <v>0</v>
          </cell>
          <cell r="R33">
            <v>0</v>
          </cell>
          <cell r="S33">
            <v>1</v>
          </cell>
          <cell r="T33">
            <v>2012</v>
          </cell>
          <cell r="U33">
            <v>6</v>
          </cell>
          <cell r="V33">
            <v>1</v>
          </cell>
        </row>
        <row r="34">
          <cell r="C34" t="str">
            <v>ELI-598</v>
          </cell>
          <cell r="D34">
            <v>0</v>
          </cell>
          <cell r="E34">
            <v>0</v>
          </cell>
          <cell r="F34">
            <v>0</v>
          </cell>
          <cell r="G34">
            <v>1</v>
          </cell>
          <cell r="H34">
            <v>0</v>
          </cell>
          <cell r="I34">
            <v>1</v>
          </cell>
          <cell r="J34">
            <v>0</v>
          </cell>
          <cell r="K34">
            <v>0</v>
          </cell>
          <cell r="L34">
            <v>1</v>
          </cell>
          <cell r="M34">
            <v>1</v>
          </cell>
          <cell r="N34">
            <v>1</v>
          </cell>
          <cell r="O34">
            <v>0</v>
          </cell>
          <cell r="P34">
            <v>1</v>
          </cell>
          <cell r="Q34">
            <v>0</v>
          </cell>
          <cell r="R34">
            <v>0</v>
          </cell>
          <cell r="S34">
            <v>1</v>
          </cell>
          <cell r="T34">
            <v>2013</v>
          </cell>
          <cell r="U34">
            <v>4</v>
          </cell>
          <cell r="V34">
            <v>0</v>
          </cell>
        </row>
        <row r="35">
          <cell r="C35" t="str">
            <v>ELI-599</v>
          </cell>
          <cell r="D35">
            <v>0</v>
          </cell>
          <cell r="E35">
            <v>0</v>
          </cell>
          <cell r="F35">
            <v>0</v>
          </cell>
          <cell r="G35">
            <v>1</v>
          </cell>
          <cell r="H35">
            <v>0</v>
          </cell>
          <cell r="I35">
            <v>1</v>
          </cell>
          <cell r="J35">
            <v>0</v>
          </cell>
          <cell r="K35">
            <v>0</v>
          </cell>
          <cell r="L35">
            <v>1</v>
          </cell>
          <cell r="M35">
            <v>1</v>
          </cell>
          <cell r="N35">
            <v>1</v>
          </cell>
          <cell r="O35">
            <v>0</v>
          </cell>
          <cell r="P35">
            <v>1</v>
          </cell>
          <cell r="Q35">
            <v>0</v>
          </cell>
          <cell r="R35">
            <v>0</v>
          </cell>
          <cell r="S35">
            <v>1</v>
          </cell>
          <cell r="T35">
            <v>2013</v>
          </cell>
          <cell r="U35">
            <v>4</v>
          </cell>
          <cell r="V35">
            <v>0</v>
          </cell>
        </row>
        <row r="36">
          <cell r="C36" t="str">
            <v>ELI-CH1</v>
          </cell>
          <cell r="D36">
            <v>0</v>
          </cell>
          <cell r="E36">
            <v>0</v>
          </cell>
          <cell r="F36">
            <v>0</v>
          </cell>
          <cell r="G36">
            <v>1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str">
            <v>NA</v>
          </cell>
          <cell r="R36">
            <v>1</v>
          </cell>
          <cell r="S36">
            <v>1</v>
          </cell>
          <cell r="T36">
            <v>2013</v>
          </cell>
          <cell r="U36">
            <v>4</v>
          </cell>
          <cell r="V36">
            <v>0</v>
          </cell>
        </row>
        <row r="37">
          <cell r="C37" t="str">
            <v>ELI-523</v>
          </cell>
          <cell r="D37">
            <v>0</v>
          </cell>
          <cell r="E37">
            <v>1</v>
          </cell>
          <cell r="F37">
            <v>0</v>
          </cell>
          <cell r="G37">
            <v>1</v>
          </cell>
          <cell r="H37">
            <v>0</v>
          </cell>
          <cell r="I37">
            <v>1</v>
          </cell>
          <cell r="J37">
            <v>0</v>
          </cell>
          <cell r="K37">
            <v>0</v>
          </cell>
          <cell r="L37">
            <v>1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str">
            <v>NA</v>
          </cell>
          <cell r="R37">
            <v>1</v>
          </cell>
          <cell r="S37">
            <v>1</v>
          </cell>
          <cell r="T37">
            <v>2012</v>
          </cell>
          <cell r="U37">
            <v>10</v>
          </cell>
          <cell r="V37">
            <v>0</v>
          </cell>
        </row>
        <row r="38">
          <cell r="C38" t="str">
            <v>ELI-524</v>
          </cell>
          <cell r="D38">
            <v>0</v>
          </cell>
          <cell r="E38">
            <v>1</v>
          </cell>
          <cell r="F38">
            <v>0</v>
          </cell>
          <cell r="G38">
            <v>1</v>
          </cell>
          <cell r="H38">
            <v>0</v>
          </cell>
          <cell r="I38">
            <v>1</v>
          </cell>
          <cell r="J38">
            <v>0</v>
          </cell>
          <cell r="K38">
            <v>0</v>
          </cell>
          <cell r="L38">
            <v>1</v>
          </cell>
          <cell r="M38">
            <v>1</v>
          </cell>
          <cell r="N38">
            <v>1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1</v>
          </cell>
          <cell r="T38">
            <v>2012</v>
          </cell>
          <cell r="U38">
            <v>10</v>
          </cell>
          <cell r="V38">
            <v>0</v>
          </cell>
        </row>
        <row r="39">
          <cell r="C39" t="str">
            <v>ELI-525</v>
          </cell>
          <cell r="D39">
            <v>0</v>
          </cell>
          <cell r="E39">
            <v>1</v>
          </cell>
          <cell r="F39">
            <v>0</v>
          </cell>
          <cell r="G39">
            <v>1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str">
            <v>NA</v>
          </cell>
          <cell r="R39">
            <v>1</v>
          </cell>
          <cell r="S39">
            <v>1</v>
          </cell>
          <cell r="T39">
            <v>2012</v>
          </cell>
          <cell r="U39">
            <v>10</v>
          </cell>
          <cell r="V39">
            <v>0</v>
          </cell>
        </row>
        <row r="40">
          <cell r="C40" t="str">
            <v>ELI-236</v>
          </cell>
          <cell r="D40">
            <v>0</v>
          </cell>
          <cell r="E40">
            <v>0</v>
          </cell>
          <cell r="F40">
            <v>0</v>
          </cell>
          <cell r="G40">
            <v>1</v>
          </cell>
          <cell r="H40">
            <v>1</v>
          </cell>
          <cell r="I40">
            <v>1</v>
          </cell>
          <cell r="J40">
            <v>1</v>
          </cell>
          <cell r="K40">
            <v>0</v>
          </cell>
          <cell r="L40">
            <v>1</v>
          </cell>
          <cell r="M40">
            <v>0</v>
          </cell>
          <cell r="N40">
            <v>0</v>
          </cell>
          <cell r="O40">
            <v>1</v>
          </cell>
          <cell r="P40">
            <v>1</v>
          </cell>
          <cell r="Q40">
            <v>0</v>
          </cell>
          <cell r="R40">
            <v>0</v>
          </cell>
          <cell r="S40">
            <v>1</v>
          </cell>
          <cell r="T40">
            <v>2008</v>
          </cell>
          <cell r="U40">
            <v>9</v>
          </cell>
          <cell r="V40">
            <v>5</v>
          </cell>
        </row>
        <row r="41">
          <cell r="C41" t="str">
            <v>ELI-235</v>
          </cell>
          <cell r="D41">
            <v>0</v>
          </cell>
          <cell r="E41">
            <v>0</v>
          </cell>
          <cell r="F41">
            <v>0</v>
          </cell>
          <cell r="G41">
            <v>1</v>
          </cell>
          <cell r="H41">
            <v>1</v>
          </cell>
          <cell r="I41">
            <v>1</v>
          </cell>
          <cell r="J41">
            <v>1</v>
          </cell>
          <cell r="K41">
            <v>0</v>
          </cell>
          <cell r="L41">
            <v>1</v>
          </cell>
          <cell r="M41">
            <v>1</v>
          </cell>
          <cell r="N41">
            <v>0</v>
          </cell>
          <cell r="O41">
            <v>1</v>
          </cell>
          <cell r="P41">
            <v>1</v>
          </cell>
          <cell r="Q41">
            <v>0</v>
          </cell>
          <cell r="R41">
            <v>0</v>
          </cell>
          <cell r="S41">
            <v>1</v>
          </cell>
          <cell r="T41">
            <v>2008</v>
          </cell>
          <cell r="U41">
            <v>9</v>
          </cell>
          <cell r="V41">
            <v>2</v>
          </cell>
        </row>
        <row r="42">
          <cell r="C42" t="str">
            <v>ELI-554</v>
          </cell>
          <cell r="D42">
            <v>0</v>
          </cell>
          <cell r="E42">
            <v>0</v>
          </cell>
          <cell r="F42">
            <v>0</v>
          </cell>
          <cell r="G42">
            <v>1</v>
          </cell>
          <cell r="H42">
            <v>1</v>
          </cell>
          <cell r="I42">
            <v>1</v>
          </cell>
          <cell r="J42">
            <v>1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1</v>
          </cell>
          <cell r="Q42">
            <v>0</v>
          </cell>
          <cell r="R42">
            <v>0</v>
          </cell>
          <cell r="S42">
            <v>1</v>
          </cell>
          <cell r="T42">
            <v>2012</v>
          </cell>
          <cell r="U42">
            <v>11</v>
          </cell>
          <cell r="V42">
            <v>0</v>
          </cell>
        </row>
        <row r="43">
          <cell r="C43" t="str">
            <v>ELI-555</v>
          </cell>
          <cell r="D43">
            <v>0</v>
          </cell>
          <cell r="E43">
            <v>0</v>
          </cell>
          <cell r="F43">
            <v>0</v>
          </cell>
          <cell r="G43">
            <v>1</v>
          </cell>
          <cell r="H43">
            <v>1</v>
          </cell>
          <cell r="I43">
            <v>1</v>
          </cell>
          <cell r="J43">
            <v>1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1</v>
          </cell>
          <cell r="Q43">
            <v>0</v>
          </cell>
          <cell r="R43">
            <v>0</v>
          </cell>
          <cell r="S43">
            <v>1</v>
          </cell>
          <cell r="T43">
            <v>2012</v>
          </cell>
          <cell r="U43">
            <v>11</v>
          </cell>
          <cell r="V43">
            <v>0</v>
          </cell>
        </row>
        <row r="44">
          <cell r="C44" t="str">
            <v>ELI-238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1</v>
          </cell>
          <cell r="T44">
            <v>2009</v>
          </cell>
          <cell r="U44">
            <v>4</v>
          </cell>
          <cell r="V44">
            <v>0</v>
          </cell>
        </row>
        <row r="45">
          <cell r="C45" t="str">
            <v>ELI-556</v>
          </cell>
          <cell r="D45">
            <v>0</v>
          </cell>
          <cell r="E45">
            <v>0</v>
          </cell>
          <cell r="F45">
            <v>0</v>
          </cell>
          <cell r="G45">
            <v>1</v>
          </cell>
          <cell r="H45">
            <v>1</v>
          </cell>
          <cell r="I45">
            <v>1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1</v>
          </cell>
          <cell r="Q45">
            <v>1</v>
          </cell>
          <cell r="R45">
            <v>0</v>
          </cell>
          <cell r="S45">
            <v>1</v>
          </cell>
          <cell r="T45">
            <v>2012</v>
          </cell>
          <cell r="U45">
            <v>11</v>
          </cell>
          <cell r="V45">
            <v>0</v>
          </cell>
        </row>
        <row r="46">
          <cell r="C46" t="str">
            <v>ELI-173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0</v>
          </cell>
          <cell r="R46">
            <v>0</v>
          </cell>
          <cell r="S46">
            <v>1</v>
          </cell>
          <cell r="T46">
            <v>2008</v>
          </cell>
          <cell r="U46">
            <v>8</v>
          </cell>
          <cell r="V46">
            <v>2</v>
          </cell>
        </row>
        <row r="47">
          <cell r="C47" t="str">
            <v>ELI-174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1</v>
          </cell>
          <cell r="K47">
            <v>0</v>
          </cell>
          <cell r="L47">
            <v>1</v>
          </cell>
          <cell r="M47">
            <v>0</v>
          </cell>
          <cell r="N47">
            <v>1</v>
          </cell>
          <cell r="O47">
            <v>0</v>
          </cell>
          <cell r="P47">
            <v>1</v>
          </cell>
          <cell r="Q47">
            <v>0</v>
          </cell>
          <cell r="R47">
            <v>0</v>
          </cell>
          <cell r="S47">
            <v>1</v>
          </cell>
          <cell r="T47">
            <v>2008</v>
          </cell>
          <cell r="U47">
            <v>8</v>
          </cell>
          <cell r="V47">
            <v>6</v>
          </cell>
        </row>
        <row r="48">
          <cell r="C48" t="str">
            <v>ELI-247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1</v>
          </cell>
          <cell r="I48">
            <v>1</v>
          </cell>
          <cell r="J48">
            <v>0</v>
          </cell>
          <cell r="K48">
            <v>0</v>
          </cell>
          <cell r="L48">
            <v>1</v>
          </cell>
          <cell r="M48">
            <v>1</v>
          </cell>
          <cell r="N48">
            <v>1</v>
          </cell>
          <cell r="O48">
            <v>0</v>
          </cell>
          <cell r="P48">
            <v>1</v>
          </cell>
          <cell r="Q48">
            <v>0</v>
          </cell>
          <cell r="R48">
            <v>0</v>
          </cell>
          <cell r="S48">
            <v>1</v>
          </cell>
          <cell r="T48">
            <v>2009</v>
          </cell>
          <cell r="U48">
            <v>8</v>
          </cell>
          <cell r="V48">
            <v>3</v>
          </cell>
        </row>
        <row r="49">
          <cell r="C49" t="str">
            <v>ELI-248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1</v>
          </cell>
          <cell r="I49">
            <v>1</v>
          </cell>
          <cell r="J49">
            <v>1</v>
          </cell>
          <cell r="K49">
            <v>1</v>
          </cell>
          <cell r="L49">
            <v>1</v>
          </cell>
          <cell r="M49">
            <v>1</v>
          </cell>
          <cell r="N49">
            <v>1</v>
          </cell>
          <cell r="O49">
            <v>0</v>
          </cell>
          <cell r="P49">
            <v>1</v>
          </cell>
          <cell r="Q49">
            <v>0</v>
          </cell>
          <cell r="R49">
            <v>0</v>
          </cell>
          <cell r="S49">
            <v>1</v>
          </cell>
          <cell r="T49">
            <v>2009</v>
          </cell>
          <cell r="U49">
            <v>11</v>
          </cell>
          <cell r="V49">
            <v>3</v>
          </cell>
        </row>
        <row r="50">
          <cell r="C50" t="str">
            <v>ELI-249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1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1</v>
          </cell>
          <cell r="Q50">
            <v>0</v>
          </cell>
          <cell r="R50">
            <v>0</v>
          </cell>
          <cell r="S50">
            <v>1</v>
          </cell>
          <cell r="T50">
            <v>2009</v>
          </cell>
          <cell r="U50">
            <v>8</v>
          </cell>
          <cell r="V50">
            <v>6</v>
          </cell>
        </row>
        <row r="51">
          <cell r="C51" t="str">
            <v>ELI-250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1</v>
          </cell>
          <cell r="I51">
            <v>1</v>
          </cell>
          <cell r="J51">
            <v>0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0</v>
          </cell>
          <cell r="P51">
            <v>1</v>
          </cell>
          <cell r="Q51">
            <v>0</v>
          </cell>
          <cell r="R51">
            <v>0</v>
          </cell>
          <cell r="S51">
            <v>1</v>
          </cell>
          <cell r="T51">
            <v>2009</v>
          </cell>
          <cell r="U51">
            <v>7</v>
          </cell>
          <cell r="V51">
            <v>6</v>
          </cell>
        </row>
        <row r="52">
          <cell r="C52" t="str">
            <v>ELI-462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1</v>
          </cell>
          <cell r="I52">
            <v>0</v>
          </cell>
          <cell r="J52">
            <v>0</v>
          </cell>
          <cell r="K52">
            <v>1</v>
          </cell>
          <cell r="L52">
            <v>0</v>
          </cell>
          <cell r="M52">
            <v>1</v>
          </cell>
          <cell r="N52">
            <v>1</v>
          </cell>
          <cell r="O52">
            <v>0</v>
          </cell>
          <cell r="P52">
            <v>1</v>
          </cell>
          <cell r="Q52">
            <v>0</v>
          </cell>
          <cell r="R52">
            <v>0</v>
          </cell>
          <cell r="S52">
            <v>1</v>
          </cell>
          <cell r="T52">
            <v>2011</v>
          </cell>
          <cell r="U52">
            <v>10</v>
          </cell>
          <cell r="V52">
            <v>7</v>
          </cell>
        </row>
        <row r="53">
          <cell r="C53" t="str">
            <v>ELI-378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1</v>
          </cell>
          <cell r="J53">
            <v>1</v>
          </cell>
          <cell r="K53">
            <v>1</v>
          </cell>
          <cell r="L53">
            <v>1</v>
          </cell>
          <cell r="M53">
            <v>0</v>
          </cell>
          <cell r="N53">
            <v>0</v>
          </cell>
          <cell r="O53">
            <v>0</v>
          </cell>
          <cell r="P53">
            <v>1</v>
          </cell>
          <cell r="Q53">
            <v>0</v>
          </cell>
          <cell r="R53">
            <v>0</v>
          </cell>
          <cell r="S53">
            <v>1</v>
          </cell>
          <cell r="T53">
            <v>2010</v>
          </cell>
          <cell r="U53">
            <v>10</v>
          </cell>
          <cell r="V53">
            <v>0</v>
          </cell>
        </row>
        <row r="54">
          <cell r="C54" t="str">
            <v>ELI-463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1</v>
          </cell>
          <cell r="J54">
            <v>0</v>
          </cell>
          <cell r="K54">
            <v>1</v>
          </cell>
          <cell r="L54">
            <v>1</v>
          </cell>
          <cell r="M54">
            <v>1</v>
          </cell>
          <cell r="N54">
            <v>1</v>
          </cell>
          <cell r="O54">
            <v>0</v>
          </cell>
          <cell r="P54">
            <v>1</v>
          </cell>
          <cell r="Q54">
            <v>0</v>
          </cell>
          <cell r="R54">
            <v>0</v>
          </cell>
          <cell r="S54">
            <v>1</v>
          </cell>
          <cell r="T54">
            <v>2012</v>
          </cell>
          <cell r="U54">
            <v>9</v>
          </cell>
          <cell r="V54">
            <v>0</v>
          </cell>
        </row>
        <row r="55">
          <cell r="C55" t="str">
            <v>ELI-515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1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1</v>
          </cell>
          <cell r="Q55">
            <v>0</v>
          </cell>
          <cell r="R55">
            <v>0</v>
          </cell>
          <cell r="S55">
            <v>1</v>
          </cell>
          <cell r="T55">
            <v>2012</v>
          </cell>
          <cell r="U55">
            <v>10</v>
          </cell>
          <cell r="V55">
            <v>0</v>
          </cell>
        </row>
        <row r="56">
          <cell r="C56" t="str">
            <v>ELI-373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1</v>
          </cell>
          <cell r="J56">
            <v>0</v>
          </cell>
          <cell r="K56">
            <v>0</v>
          </cell>
          <cell r="L56">
            <v>1</v>
          </cell>
          <cell r="M56">
            <v>1</v>
          </cell>
          <cell r="N56">
            <v>1</v>
          </cell>
          <cell r="O56">
            <v>0</v>
          </cell>
          <cell r="P56">
            <v>1</v>
          </cell>
          <cell r="Q56">
            <v>1</v>
          </cell>
          <cell r="R56">
            <v>0</v>
          </cell>
          <cell r="S56">
            <v>1</v>
          </cell>
          <cell r="T56">
            <v>2010</v>
          </cell>
          <cell r="U56">
            <v>7</v>
          </cell>
          <cell r="V56">
            <v>0</v>
          </cell>
        </row>
        <row r="57">
          <cell r="C57" t="str">
            <v>ELI-375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1</v>
          </cell>
          <cell r="J57">
            <v>0</v>
          </cell>
          <cell r="K57">
            <v>0</v>
          </cell>
          <cell r="L57">
            <v>1</v>
          </cell>
          <cell r="M57">
            <v>1</v>
          </cell>
          <cell r="N57">
            <v>0</v>
          </cell>
          <cell r="O57">
            <v>0</v>
          </cell>
          <cell r="P57">
            <v>1</v>
          </cell>
          <cell r="Q57">
            <v>1</v>
          </cell>
          <cell r="R57">
            <v>0</v>
          </cell>
          <cell r="S57">
            <v>1</v>
          </cell>
          <cell r="T57">
            <v>2010</v>
          </cell>
          <cell r="U57">
            <v>10</v>
          </cell>
          <cell r="V57">
            <v>0</v>
          </cell>
        </row>
        <row r="58">
          <cell r="C58" t="str">
            <v>ELI-377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1</v>
          </cell>
          <cell r="J58">
            <v>0</v>
          </cell>
          <cell r="K58">
            <v>0</v>
          </cell>
          <cell r="L58">
            <v>1</v>
          </cell>
          <cell r="M58">
            <v>1</v>
          </cell>
          <cell r="N58">
            <v>1</v>
          </cell>
          <cell r="O58">
            <v>0</v>
          </cell>
          <cell r="P58">
            <v>1</v>
          </cell>
          <cell r="Q58">
            <v>1</v>
          </cell>
          <cell r="R58">
            <v>0</v>
          </cell>
          <cell r="S58">
            <v>1</v>
          </cell>
          <cell r="T58">
            <v>2010</v>
          </cell>
          <cell r="U58">
            <v>10</v>
          </cell>
          <cell r="V58">
            <v>0</v>
          </cell>
        </row>
        <row r="59">
          <cell r="C59" t="str">
            <v>ELI-376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1</v>
          </cell>
          <cell r="J59">
            <v>1</v>
          </cell>
          <cell r="K59">
            <v>0</v>
          </cell>
          <cell r="L59">
            <v>1</v>
          </cell>
          <cell r="M59">
            <v>1</v>
          </cell>
          <cell r="N59">
            <v>1</v>
          </cell>
          <cell r="O59">
            <v>0</v>
          </cell>
          <cell r="P59">
            <v>1</v>
          </cell>
          <cell r="Q59">
            <v>1</v>
          </cell>
          <cell r="R59">
            <v>0</v>
          </cell>
          <cell r="S59">
            <v>1</v>
          </cell>
          <cell r="T59">
            <v>2010</v>
          </cell>
          <cell r="U59">
            <v>10</v>
          </cell>
          <cell r="V59">
            <v>0</v>
          </cell>
        </row>
        <row r="60">
          <cell r="C60" t="str">
            <v>ELI-464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1</v>
          </cell>
          <cell r="J60">
            <v>1</v>
          </cell>
          <cell r="K60">
            <v>1</v>
          </cell>
          <cell r="L60">
            <v>0</v>
          </cell>
          <cell r="M60">
            <v>1</v>
          </cell>
          <cell r="N60">
            <v>1</v>
          </cell>
          <cell r="O60">
            <v>0</v>
          </cell>
          <cell r="P60">
            <v>1</v>
          </cell>
          <cell r="Q60">
            <v>1</v>
          </cell>
          <cell r="R60">
            <v>0</v>
          </cell>
          <cell r="S60">
            <v>1</v>
          </cell>
          <cell r="T60">
            <v>2012</v>
          </cell>
          <cell r="U60">
            <v>9</v>
          </cell>
          <cell r="V60">
            <v>0</v>
          </cell>
        </row>
        <row r="61">
          <cell r="C61" t="str">
            <v>ELI-252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1</v>
          </cell>
          <cell r="Q61">
            <v>0</v>
          </cell>
          <cell r="R61">
            <v>1</v>
          </cell>
          <cell r="S61">
            <v>1</v>
          </cell>
          <cell r="T61">
            <v>2009</v>
          </cell>
          <cell r="U61">
            <v>10</v>
          </cell>
          <cell r="V61">
            <v>0</v>
          </cell>
        </row>
        <row r="62">
          <cell r="C62" t="str">
            <v>ELI-553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1</v>
          </cell>
          <cell r="J62">
            <v>1</v>
          </cell>
          <cell r="K62">
            <v>1</v>
          </cell>
          <cell r="L62">
            <v>0</v>
          </cell>
          <cell r="M62">
            <v>1</v>
          </cell>
          <cell r="N62">
            <v>1</v>
          </cell>
          <cell r="O62">
            <v>0</v>
          </cell>
          <cell r="P62">
            <v>1</v>
          </cell>
          <cell r="Q62">
            <v>1</v>
          </cell>
          <cell r="R62">
            <v>0</v>
          </cell>
          <cell r="S62">
            <v>1</v>
          </cell>
          <cell r="T62">
            <v>2012</v>
          </cell>
          <cell r="U62">
            <v>11</v>
          </cell>
          <cell r="V62">
            <v>0</v>
          </cell>
        </row>
        <row r="63">
          <cell r="C63" t="str">
            <v>ELI-254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1</v>
          </cell>
          <cell r="Q63">
            <v>0</v>
          </cell>
          <cell r="R63">
            <v>1</v>
          </cell>
          <cell r="S63">
            <v>1</v>
          </cell>
          <cell r="T63">
            <v>2009</v>
          </cell>
          <cell r="U63">
            <v>10</v>
          </cell>
          <cell r="V63">
            <v>0</v>
          </cell>
        </row>
        <row r="64">
          <cell r="C64" t="str">
            <v>ELI-588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1</v>
          </cell>
          <cell r="J64">
            <v>1</v>
          </cell>
          <cell r="K64">
            <v>1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1</v>
          </cell>
          <cell r="Q64">
            <v>1</v>
          </cell>
          <cell r="R64">
            <v>1</v>
          </cell>
          <cell r="S64">
            <v>1</v>
          </cell>
          <cell r="T64">
            <v>2013</v>
          </cell>
          <cell r="U64">
            <v>5</v>
          </cell>
          <cell r="V64">
            <v>0</v>
          </cell>
        </row>
        <row r="65">
          <cell r="C65" t="str">
            <v>ELI-589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1</v>
          </cell>
          <cell r="J65">
            <v>1</v>
          </cell>
          <cell r="K65">
            <v>1</v>
          </cell>
          <cell r="L65">
            <v>1</v>
          </cell>
          <cell r="M65">
            <v>1</v>
          </cell>
          <cell r="N65">
            <v>1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</v>
          </cell>
          <cell r="T65">
            <v>2013</v>
          </cell>
          <cell r="U65">
            <v>5</v>
          </cell>
          <cell r="V65">
            <v>0</v>
          </cell>
        </row>
        <row r="66">
          <cell r="C66" t="str">
            <v>ELI-600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1</v>
          </cell>
          <cell r="N66">
            <v>1</v>
          </cell>
          <cell r="O66">
            <v>0</v>
          </cell>
          <cell r="P66">
            <v>0</v>
          </cell>
          <cell r="Q66" t="str">
            <v>NA</v>
          </cell>
          <cell r="R66">
            <v>1</v>
          </cell>
          <cell r="S66">
            <v>1</v>
          </cell>
          <cell r="T66">
            <v>2013</v>
          </cell>
          <cell r="U66">
            <v>10</v>
          </cell>
          <cell r="V66">
            <v>0</v>
          </cell>
        </row>
        <row r="67">
          <cell r="C67" t="str">
            <v>ELI-601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1</v>
          </cell>
          <cell r="N67">
            <v>1</v>
          </cell>
          <cell r="O67">
            <v>0</v>
          </cell>
          <cell r="P67">
            <v>0</v>
          </cell>
          <cell r="Q67" t="str">
            <v>NA</v>
          </cell>
          <cell r="R67">
            <v>1</v>
          </cell>
          <cell r="S67">
            <v>1</v>
          </cell>
          <cell r="T67">
            <v>2013</v>
          </cell>
          <cell r="U67">
            <v>10</v>
          </cell>
          <cell r="V67">
            <v>0</v>
          </cell>
        </row>
        <row r="68">
          <cell r="C68" t="str">
            <v>ELI-258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>
            <v>0</v>
          </cell>
          <cell r="L68">
            <v>1</v>
          </cell>
          <cell r="M68">
            <v>0</v>
          </cell>
          <cell r="N68">
            <v>1</v>
          </cell>
          <cell r="O68">
            <v>0</v>
          </cell>
          <cell r="P68">
            <v>1</v>
          </cell>
          <cell r="Q68">
            <v>0</v>
          </cell>
          <cell r="R68">
            <v>0</v>
          </cell>
          <cell r="S68">
            <v>1</v>
          </cell>
          <cell r="T68">
            <v>2009</v>
          </cell>
          <cell r="U68">
            <v>8</v>
          </cell>
          <cell r="V68">
            <v>2</v>
          </cell>
        </row>
        <row r="69">
          <cell r="C69" t="str">
            <v>ELI-608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1</v>
          </cell>
          <cell r="K69">
            <v>0</v>
          </cell>
          <cell r="L69">
            <v>1</v>
          </cell>
          <cell r="M69">
            <v>0</v>
          </cell>
          <cell r="N69">
            <v>1</v>
          </cell>
          <cell r="O69">
            <v>0</v>
          </cell>
          <cell r="P69">
            <v>1</v>
          </cell>
          <cell r="Q69">
            <v>0</v>
          </cell>
          <cell r="R69">
            <v>1</v>
          </cell>
          <cell r="S69">
            <v>1</v>
          </cell>
          <cell r="T69">
            <v>2013</v>
          </cell>
          <cell r="U69">
            <v>7</v>
          </cell>
          <cell r="V69">
            <v>0</v>
          </cell>
        </row>
        <row r="70">
          <cell r="C70" t="str">
            <v>ELI-609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>
            <v>0</v>
          </cell>
          <cell r="L70">
            <v>1</v>
          </cell>
          <cell r="M70">
            <v>0</v>
          </cell>
          <cell r="N70">
            <v>1</v>
          </cell>
          <cell r="O70">
            <v>0</v>
          </cell>
          <cell r="P70">
            <v>1</v>
          </cell>
          <cell r="Q70">
            <v>1</v>
          </cell>
          <cell r="R70">
            <v>0</v>
          </cell>
          <cell r="S70">
            <v>1</v>
          </cell>
          <cell r="T70">
            <v>2013</v>
          </cell>
          <cell r="U70">
            <v>7</v>
          </cell>
          <cell r="V70">
            <v>0</v>
          </cell>
        </row>
        <row r="71">
          <cell r="C71" t="str">
            <v>ELI-611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>
            <v>0</v>
          </cell>
          <cell r="L71">
            <v>1</v>
          </cell>
          <cell r="M71">
            <v>0</v>
          </cell>
          <cell r="N71">
            <v>1</v>
          </cell>
          <cell r="O71">
            <v>0</v>
          </cell>
          <cell r="P71">
            <v>1</v>
          </cell>
          <cell r="Q71">
            <v>1</v>
          </cell>
          <cell r="R71">
            <v>0</v>
          </cell>
          <cell r="S71">
            <v>1</v>
          </cell>
          <cell r="T71">
            <v>2013</v>
          </cell>
          <cell r="U71">
            <v>7</v>
          </cell>
          <cell r="V71">
            <v>0</v>
          </cell>
        </row>
        <row r="72">
          <cell r="C72" t="str">
            <v>ELI-256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>
            <v>0</v>
          </cell>
          <cell r="L72">
            <v>1</v>
          </cell>
          <cell r="M72">
            <v>0</v>
          </cell>
          <cell r="N72">
            <v>1</v>
          </cell>
          <cell r="O72">
            <v>0</v>
          </cell>
          <cell r="P72">
            <v>1</v>
          </cell>
          <cell r="Q72">
            <v>0</v>
          </cell>
          <cell r="R72">
            <v>0</v>
          </cell>
          <cell r="S72">
            <v>1</v>
          </cell>
          <cell r="T72">
            <v>2009</v>
          </cell>
          <cell r="U72">
            <v>8</v>
          </cell>
          <cell r="V72">
            <v>2</v>
          </cell>
        </row>
        <row r="73">
          <cell r="C73" t="str">
            <v>ELI-466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1</v>
          </cell>
          <cell r="Q73">
            <v>0</v>
          </cell>
          <cell r="R73">
            <v>1</v>
          </cell>
          <cell r="S73">
            <v>1</v>
          </cell>
          <cell r="T73">
            <v>2011</v>
          </cell>
          <cell r="U73">
            <v>8</v>
          </cell>
          <cell r="V73">
            <v>0</v>
          </cell>
        </row>
        <row r="74">
          <cell r="C74" t="str">
            <v>ELI-379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>
            <v>0</v>
          </cell>
          <cell r="L74">
            <v>1</v>
          </cell>
          <cell r="M74">
            <v>0</v>
          </cell>
          <cell r="N74">
            <v>1</v>
          </cell>
          <cell r="O74">
            <v>0</v>
          </cell>
          <cell r="P74">
            <v>1</v>
          </cell>
          <cell r="Q74">
            <v>1</v>
          </cell>
          <cell r="R74">
            <v>0</v>
          </cell>
          <cell r="S74">
            <v>1</v>
          </cell>
          <cell r="T74">
            <v>2010</v>
          </cell>
          <cell r="U74">
            <v>6</v>
          </cell>
          <cell r="V74">
            <v>0</v>
          </cell>
        </row>
        <row r="75">
          <cell r="C75" t="str">
            <v>ELI-203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</v>
          </cell>
          <cell r="Q75">
            <v>0</v>
          </cell>
          <cell r="R75">
            <v>0</v>
          </cell>
          <cell r="S75">
            <v>1</v>
          </cell>
          <cell r="T75">
            <v>2011</v>
          </cell>
          <cell r="U75">
            <v>6</v>
          </cell>
          <cell r="V75">
            <v>8</v>
          </cell>
        </row>
        <row r="76">
          <cell r="C76" t="str">
            <v>ELI-204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1</v>
          </cell>
          <cell r="Q76">
            <v>0</v>
          </cell>
          <cell r="R76">
            <v>0</v>
          </cell>
          <cell r="S76">
            <v>1</v>
          </cell>
          <cell r="T76">
            <v>2012</v>
          </cell>
          <cell r="U76">
            <v>10</v>
          </cell>
          <cell r="V76">
            <v>9</v>
          </cell>
        </row>
        <row r="77">
          <cell r="C77" t="str">
            <v>ELI-532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1</v>
          </cell>
          <cell r="Q77">
            <v>0</v>
          </cell>
          <cell r="R77">
            <v>0</v>
          </cell>
          <cell r="S77">
            <v>1</v>
          </cell>
          <cell r="T77">
            <v>2012</v>
          </cell>
          <cell r="U77">
            <v>10</v>
          </cell>
          <cell r="V77">
            <v>1</v>
          </cell>
        </row>
        <row r="78">
          <cell r="C78" t="str">
            <v>ELI-534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1</v>
          </cell>
          <cell r="Q78">
            <v>1</v>
          </cell>
          <cell r="R78">
            <v>0</v>
          </cell>
          <cell r="S78">
            <v>1</v>
          </cell>
          <cell r="T78">
            <v>2012</v>
          </cell>
          <cell r="U78">
            <v>10</v>
          </cell>
          <cell r="V78">
            <v>1</v>
          </cell>
        </row>
        <row r="79">
          <cell r="C79" t="str">
            <v>ELI-533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1</v>
          </cell>
          <cell r="Q79">
            <v>1</v>
          </cell>
          <cell r="R79">
            <v>0</v>
          </cell>
          <cell r="S79">
            <v>1</v>
          </cell>
          <cell r="T79">
            <v>2012</v>
          </cell>
          <cell r="U79">
            <v>10</v>
          </cell>
          <cell r="V79">
            <v>1</v>
          </cell>
        </row>
        <row r="80">
          <cell r="C80" t="str">
            <v>ELI-535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1</v>
          </cell>
          <cell r="Q80">
            <v>1</v>
          </cell>
          <cell r="R80">
            <v>0</v>
          </cell>
          <cell r="S80">
            <v>1</v>
          </cell>
          <cell r="T80">
            <v>2012</v>
          </cell>
          <cell r="U80">
            <v>10</v>
          </cell>
          <cell r="V80">
            <v>0</v>
          </cell>
        </row>
        <row r="81">
          <cell r="C81" t="str">
            <v>ELI-536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1</v>
          </cell>
          <cell r="Q81">
            <v>1</v>
          </cell>
          <cell r="R81">
            <v>0</v>
          </cell>
          <cell r="S81">
            <v>1</v>
          </cell>
          <cell r="T81">
            <v>2012</v>
          </cell>
          <cell r="U81">
            <v>10</v>
          </cell>
          <cell r="V81">
            <v>0</v>
          </cell>
        </row>
        <row r="82">
          <cell r="C82" t="str">
            <v>ELI-480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1</v>
          </cell>
          <cell r="Q82">
            <v>0</v>
          </cell>
          <cell r="R82">
            <v>0</v>
          </cell>
          <cell r="S82">
            <v>1</v>
          </cell>
          <cell r="T82">
            <v>2012</v>
          </cell>
          <cell r="U82">
            <v>11</v>
          </cell>
          <cell r="V82">
            <v>3</v>
          </cell>
        </row>
        <row r="83">
          <cell r="C83" t="str">
            <v>ELI-438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 t="str">
            <v>NA</v>
          </cell>
          <cell r="R83">
            <v>0</v>
          </cell>
          <cell r="S83">
            <v>1</v>
          </cell>
          <cell r="T83">
            <v>2011</v>
          </cell>
          <cell r="U83">
            <v>9</v>
          </cell>
          <cell r="V83">
            <v>0</v>
          </cell>
        </row>
        <row r="84">
          <cell r="C84" t="str">
            <v>ELI-441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 t="str">
            <v>NA</v>
          </cell>
          <cell r="R84">
            <v>0</v>
          </cell>
          <cell r="S84">
            <v>1</v>
          </cell>
          <cell r="T84">
            <v>2011</v>
          </cell>
          <cell r="U84">
            <v>9</v>
          </cell>
          <cell r="V84">
            <v>0</v>
          </cell>
        </row>
        <row r="85">
          <cell r="C85" t="str">
            <v>ELI-442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 t="str">
            <v>NA</v>
          </cell>
          <cell r="R85">
            <v>0</v>
          </cell>
          <cell r="S85">
            <v>1</v>
          </cell>
          <cell r="T85">
            <v>2011</v>
          </cell>
          <cell r="U85">
            <v>9</v>
          </cell>
          <cell r="V85">
            <v>0</v>
          </cell>
        </row>
        <row r="86">
          <cell r="C86" t="str">
            <v>ELI-443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 t="str">
            <v>NA</v>
          </cell>
          <cell r="R86">
            <v>0</v>
          </cell>
          <cell r="S86">
            <v>1</v>
          </cell>
          <cell r="T86">
            <v>2011</v>
          </cell>
          <cell r="U86">
            <v>9</v>
          </cell>
          <cell r="V86">
            <v>0</v>
          </cell>
        </row>
        <row r="87">
          <cell r="C87" t="str">
            <v>ELI-192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1</v>
          </cell>
          <cell r="T87">
            <v>2010</v>
          </cell>
          <cell r="U87">
            <v>8</v>
          </cell>
          <cell r="V87">
            <v>6</v>
          </cell>
        </row>
        <row r="88">
          <cell r="C88" t="str">
            <v>ELI-193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1</v>
          </cell>
          <cell r="Q88">
            <v>0</v>
          </cell>
          <cell r="R88">
            <v>0</v>
          </cell>
          <cell r="S88">
            <v>1</v>
          </cell>
          <cell r="T88">
            <v>2012</v>
          </cell>
          <cell r="U88">
            <v>10</v>
          </cell>
          <cell r="V88">
            <v>9</v>
          </cell>
        </row>
        <row r="89">
          <cell r="C89" t="str">
            <v>ELI-194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2012</v>
          </cell>
          <cell r="U89">
            <v>10</v>
          </cell>
          <cell r="V89">
            <v>9</v>
          </cell>
        </row>
        <row r="90">
          <cell r="C90" t="str">
            <v>ELI-228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1</v>
          </cell>
          <cell r="Q90">
            <v>0</v>
          </cell>
          <cell r="R90">
            <v>0</v>
          </cell>
          <cell r="S90">
            <v>1</v>
          </cell>
          <cell r="T90">
            <v>2010</v>
          </cell>
          <cell r="U90">
            <v>8</v>
          </cell>
          <cell r="V90">
            <v>4</v>
          </cell>
        </row>
        <row r="91">
          <cell r="C91" t="str">
            <v>ELI-398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1</v>
          </cell>
          <cell r="Q91">
            <v>0</v>
          </cell>
          <cell r="R91">
            <v>0</v>
          </cell>
          <cell r="S91">
            <v>1</v>
          </cell>
          <cell r="T91">
            <v>2010</v>
          </cell>
          <cell r="U91">
            <v>7</v>
          </cell>
          <cell r="V91">
            <v>9</v>
          </cell>
        </row>
        <row r="92">
          <cell r="C92" t="str">
            <v>ELI-405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1</v>
          </cell>
          <cell r="Q92">
            <v>0</v>
          </cell>
          <cell r="R92">
            <v>0</v>
          </cell>
          <cell r="S92">
            <v>1</v>
          </cell>
          <cell r="T92">
            <v>2010</v>
          </cell>
          <cell r="U92">
            <v>8</v>
          </cell>
          <cell r="V92">
            <v>2</v>
          </cell>
        </row>
        <row r="93">
          <cell r="C93" t="str">
            <v>ELI-444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1</v>
          </cell>
          <cell r="Q93">
            <v>0</v>
          </cell>
          <cell r="R93">
            <v>0</v>
          </cell>
          <cell r="S93">
            <v>1</v>
          </cell>
          <cell r="T93">
            <v>2011</v>
          </cell>
          <cell r="U93">
            <v>9</v>
          </cell>
          <cell r="V93">
            <v>4</v>
          </cell>
        </row>
        <row r="94">
          <cell r="C94" t="str">
            <v>ELI-439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1</v>
          </cell>
          <cell r="Q94">
            <v>0</v>
          </cell>
          <cell r="R94">
            <v>0</v>
          </cell>
          <cell r="S94">
            <v>1</v>
          </cell>
          <cell r="T94">
            <v>2011</v>
          </cell>
          <cell r="U94">
            <v>9</v>
          </cell>
          <cell r="V94">
            <v>0</v>
          </cell>
        </row>
        <row r="95">
          <cell r="C95" t="str">
            <v>ELI-440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1</v>
          </cell>
          <cell r="Q95">
            <v>0</v>
          </cell>
          <cell r="R95">
            <v>0</v>
          </cell>
          <cell r="S95">
            <v>1</v>
          </cell>
          <cell r="T95">
            <v>2011</v>
          </cell>
          <cell r="U95">
            <v>9</v>
          </cell>
          <cell r="V95">
            <v>0</v>
          </cell>
        </row>
        <row r="96">
          <cell r="C96" t="str">
            <v>ELI-437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1</v>
          </cell>
          <cell r="Q96">
            <v>0</v>
          </cell>
          <cell r="R96">
            <v>0</v>
          </cell>
          <cell r="S96">
            <v>1</v>
          </cell>
          <cell r="T96">
            <v>2011</v>
          </cell>
          <cell r="U96">
            <v>9</v>
          </cell>
          <cell r="V96">
            <v>0</v>
          </cell>
        </row>
        <row r="97">
          <cell r="C97" t="str">
            <v>ELI-404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1</v>
          </cell>
          <cell r="Q97">
            <v>1</v>
          </cell>
          <cell r="R97">
            <v>0</v>
          </cell>
          <cell r="S97">
            <v>1</v>
          </cell>
          <cell r="T97">
            <v>2010</v>
          </cell>
          <cell r="U97">
            <v>8</v>
          </cell>
          <cell r="V97">
            <v>1</v>
          </cell>
        </row>
        <row r="98">
          <cell r="C98" t="str">
            <v>ELI-196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1</v>
          </cell>
          <cell r="Q98">
            <v>1</v>
          </cell>
          <cell r="R98">
            <v>0</v>
          </cell>
          <cell r="S98">
            <v>1</v>
          </cell>
          <cell r="T98">
            <v>2011</v>
          </cell>
          <cell r="U98">
            <v>9</v>
          </cell>
          <cell r="V98">
            <v>3</v>
          </cell>
        </row>
        <row r="99">
          <cell r="C99" t="str">
            <v>ELI-233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1</v>
          </cell>
          <cell r="Q99">
            <v>1</v>
          </cell>
          <cell r="R99">
            <v>0</v>
          </cell>
          <cell r="S99">
            <v>1</v>
          </cell>
          <cell r="T99">
            <v>2009</v>
          </cell>
          <cell r="U99">
            <v>8</v>
          </cell>
          <cell r="V99">
            <v>0</v>
          </cell>
        </row>
        <row r="100">
          <cell r="C100" t="str">
            <v>ELI-400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 t="str">
            <v>NA</v>
          </cell>
          <cell r="R100">
            <v>0</v>
          </cell>
          <cell r="S100">
            <v>1</v>
          </cell>
          <cell r="T100">
            <v>2010</v>
          </cell>
          <cell r="U100">
            <v>10</v>
          </cell>
          <cell r="V100">
            <v>0</v>
          </cell>
        </row>
        <row r="101">
          <cell r="C101" t="str">
            <v>ELI-401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 t="str">
            <v>NA</v>
          </cell>
          <cell r="R101">
            <v>0</v>
          </cell>
          <cell r="S101">
            <v>1</v>
          </cell>
          <cell r="T101">
            <v>2010</v>
          </cell>
          <cell r="U101">
            <v>10</v>
          </cell>
          <cell r="V101">
            <v>0</v>
          </cell>
        </row>
        <row r="102">
          <cell r="C102" t="str">
            <v>ELI-197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</v>
          </cell>
          <cell r="I102">
            <v>0</v>
          </cell>
          <cell r="J102">
            <v>0</v>
          </cell>
          <cell r="K102">
            <v>0</v>
          </cell>
          <cell r="L102">
            <v>1</v>
          </cell>
          <cell r="M102">
            <v>1</v>
          </cell>
          <cell r="N102">
            <v>0</v>
          </cell>
          <cell r="O102">
            <v>0</v>
          </cell>
          <cell r="P102">
            <v>1</v>
          </cell>
          <cell r="Q102">
            <v>0</v>
          </cell>
          <cell r="R102">
            <v>0</v>
          </cell>
          <cell r="S102">
            <v>1</v>
          </cell>
          <cell r="T102">
            <v>2009</v>
          </cell>
          <cell r="U102">
            <v>8</v>
          </cell>
          <cell r="V102">
            <v>2</v>
          </cell>
        </row>
        <row r="103">
          <cell r="C103" t="str">
            <v>ELI-198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</v>
          </cell>
          <cell r="M103">
            <v>1</v>
          </cell>
          <cell r="N103">
            <v>0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</v>
          </cell>
          <cell r="T103">
            <v>2009</v>
          </cell>
          <cell r="U103">
            <v>8</v>
          </cell>
          <cell r="V103">
            <v>5</v>
          </cell>
        </row>
        <row r="104">
          <cell r="C104" t="str">
            <v>ELI-230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</v>
          </cell>
          <cell r="M104">
            <v>1</v>
          </cell>
          <cell r="N104">
            <v>0</v>
          </cell>
          <cell r="O104">
            <v>0</v>
          </cell>
          <cell r="P104">
            <v>1</v>
          </cell>
          <cell r="Q104">
            <v>0</v>
          </cell>
          <cell r="R104">
            <v>0</v>
          </cell>
          <cell r="S104">
            <v>1</v>
          </cell>
          <cell r="T104">
            <v>2009</v>
          </cell>
          <cell r="U104">
            <v>8</v>
          </cell>
          <cell r="V104">
            <v>4</v>
          </cell>
        </row>
        <row r="105">
          <cell r="C105" t="str">
            <v>ELI-231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</v>
          </cell>
          <cell r="M105">
            <v>1</v>
          </cell>
          <cell r="N105">
            <v>0</v>
          </cell>
          <cell r="O105">
            <v>0</v>
          </cell>
          <cell r="P105">
            <v>1</v>
          </cell>
          <cell r="Q105">
            <v>0</v>
          </cell>
          <cell r="R105">
            <v>0</v>
          </cell>
          <cell r="S105">
            <v>1</v>
          </cell>
          <cell r="T105">
            <v>2009</v>
          </cell>
          <cell r="U105">
            <v>8</v>
          </cell>
          <cell r="V105">
            <v>0</v>
          </cell>
        </row>
        <row r="106">
          <cell r="C106" t="str">
            <v>ELI-232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1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1</v>
          </cell>
          <cell r="Q106">
            <v>0</v>
          </cell>
          <cell r="R106">
            <v>0</v>
          </cell>
          <cell r="S106">
            <v>1</v>
          </cell>
          <cell r="T106">
            <v>2009</v>
          </cell>
          <cell r="U106">
            <v>8</v>
          </cell>
          <cell r="V106">
            <v>0</v>
          </cell>
        </row>
        <row r="107">
          <cell r="C107" t="str">
            <v>ELI-424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1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1</v>
          </cell>
          <cell r="N107">
            <v>0</v>
          </cell>
          <cell r="O107">
            <v>0</v>
          </cell>
          <cell r="P107">
            <v>1</v>
          </cell>
          <cell r="Q107">
            <v>0</v>
          </cell>
          <cell r="R107">
            <v>0</v>
          </cell>
          <cell r="S107">
            <v>1</v>
          </cell>
          <cell r="T107">
            <v>2012</v>
          </cell>
          <cell r="U107">
            <v>10</v>
          </cell>
          <cell r="V107">
            <v>3</v>
          </cell>
        </row>
        <row r="108">
          <cell r="C108" t="str">
            <v>ELI-425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</v>
          </cell>
          <cell r="M108">
            <v>1</v>
          </cell>
          <cell r="N108">
            <v>0</v>
          </cell>
          <cell r="O108">
            <v>0</v>
          </cell>
          <cell r="P108">
            <v>1</v>
          </cell>
          <cell r="Q108">
            <v>0</v>
          </cell>
          <cell r="R108">
            <v>0</v>
          </cell>
          <cell r="S108">
            <v>1</v>
          </cell>
          <cell r="T108">
            <v>2011</v>
          </cell>
          <cell r="U108">
            <v>6</v>
          </cell>
          <cell r="V108">
            <v>2</v>
          </cell>
        </row>
        <row r="109">
          <cell r="C109" t="str">
            <v>ELI-612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</v>
          </cell>
          <cell r="M109">
            <v>1</v>
          </cell>
          <cell r="N109">
            <v>0</v>
          </cell>
          <cell r="O109">
            <v>0</v>
          </cell>
          <cell r="P109">
            <v>1</v>
          </cell>
          <cell r="Q109">
            <v>0</v>
          </cell>
          <cell r="R109">
            <v>1</v>
          </cell>
          <cell r="S109">
            <v>1</v>
          </cell>
          <cell r="T109">
            <v>2013</v>
          </cell>
          <cell r="U109">
            <v>9</v>
          </cell>
          <cell r="V109">
            <v>0</v>
          </cell>
        </row>
        <row r="110">
          <cell r="C110" t="str">
            <v>ELI-613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0</v>
          </cell>
          <cell r="R110">
            <v>0</v>
          </cell>
          <cell r="S110">
            <v>1</v>
          </cell>
          <cell r="T110">
            <v>2013</v>
          </cell>
          <cell r="U110">
            <v>9</v>
          </cell>
          <cell r="V110">
            <v>0</v>
          </cell>
        </row>
        <row r="111">
          <cell r="C111" t="str">
            <v>ELI-615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</v>
          </cell>
          <cell r="M111">
            <v>1</v>
          </cell>
          <cell r="N111">
            <v>0</v>
          </cell>
          <cell r="O111">
            <v>0</v>
          </cell>
          <cell r="P111">
            <v>1</v>
          </cell>
          <cell r="Q111">
            <v>1</v>
          </cell>
          <cell r="R111">
            <v>0</v>
          </cell>
          <cell r="S111">
            <v>1</v>
          </cell>
          <cell r="T111">
            <v>2013</v>
          </cell>
          <cell r="U111">
            <v>9</v>
          </cell>
          <cell r="V111">
            <v>0</v>
          </cell>
        </row>
        <row r="112">
          <cell r="C112" t="str">
            <v>ELI-616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</v>
          </cell>
          <cell r="M112">
            <v>1</v>
          </cell>
          <cell r="N112">
            <v>0</v>
          </cell>
          <cell r="O112">
            <v>0</v>
          </cell>
          <cell r="P112">
            <v>1</v>
          </cell>
          <cell r="Q112">
            <v>0</v>
          </cell>
          <cell r="R112">
            <v>0</v>
          </cell>
          <cell r="S112">
            <v>1</v>
          </cell>
          <cell r="T112">
            <v>2013</v>
          </cell>
          <cell r="U112">
            <v>9</v>
          </cell>
          <cell r="V112">
            <v>0</v>
          </cell>
        </row>
        <row r="113">
          <cell r="C113" t="str">
            <v>ELI-617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</v>
          </cell>
          <cell r="M113">
            <v>1</v>
          </cell>
          <cell r="N113">
            <v>0</v>
          </cell>
          <cell r="O113">
            <v>0</v>
          </cell>
          <cell r="P113">
            <v>1</v>
          </cell>
          <cell r="Q113">
            <v>1</v>
          </cell>
          <cell r="R113">
            <v>0</v>
          </cell>
          <cell r="S113">
            <v>1</v>
          </cell>
          <cell r="T113">
            <v>2013</v>
          </cell>
          <cell r="U113">
            <v>9</v>
          </cell>
          <cell r="V113">
            <v>0</v>
          </cell>
        </row>
        <row r="114">
          <cell r="C114" t="str">
            <v>ELI-618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</v>
          </cell>
          <cell r="M114">
            <v>1</v>
          </cell>
          <cell r="N114">
            <v>0</v>
          </cell>
          <cell r="O114">
            <v>0</v>
          </cell>
          <cell r="P114">
            <v>1</v>
          </cell>
          <cell r="Q114">
            <v>0</v>
          </cell>
          <cell r="R114">
            <v>0</v>
          </cell>
          <cell r="S114">
            <v>1</v>
          </cell>
          <cell r="T114">
            <v>2013</v>
          </cell>
          <cell r="U114">
            <v>9</v>
          </cell>
          <cell r="V114">
            <v>0</v>
          </cell>
        </row>
        <row r="115">
          <cell r="C115" t="str">
            <v>ELI-619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1</v>
          </cell>
          <cell r="N115">
            <v>0</v>
          </cell>
          <cell r="O115">
            <v>0</v>
          </cell>
          <cell r="P115">
            <v>0</v>
          </cell>
          <cell r="Q115" t="str">
            <v>NA</v>
          </cell>
          <cell r="R115">
            <v>1</v>
          </cell>
          <cell r="S115">
            <v>1</v>
          </cell>
          <cell r="T115">
            <v>2013</v>
          </cell>
          <cell r="U115">
            <v>10</v>
          </cell>
          <cell r="V115">
            <v>0</v>
          </cell>
        </row>
        <row r="116">
          <cell r="C116" t="str">
            <v>ELI-HW2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1</v>
          </cell>
          <cell r="N116">
            <v>0</v>
          </cell>
          <cell r="O116">
            <v>0</v>
          </cell>
          <cell r="P116">
            <v>0</v>
          </cell>
          <cell r="Q116" t="str">
            <v>NA</v>
          </cell>
          <cell r="R116">
            <v>1</v>
          </cell>
          <cell r="S116">
            <v>1</v>
          </cell>
          <cell r="T116">
            <v>2013</v>
          </cell>
          <cell r="U116">
            <v>10</v>
          </cell>
          <cell r="V116">
            <v>0</v>
          </cell>
        </row>
        <row r="117">
          <cell r="C117" t="str">
            <v>ELI-152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1</v>
          </cell>
          <cell r="Q117">
            <v>0</v>
          </cell>
          <cell r="R117">
            <v>0</v>
          </cell>
          <cell r="S117">
            <v>1</v>
          </cell>
          <cell r="T117">
            <v>2009</v>
          </cell>
          <cell r="U117">
            <v>7</v>
          </cell>
          <cell r="V117">
            <v>7</v>
          </cell>
        </row>
        <row r="118">
          <cell r="C118" t="str">
            <v>ELI-154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1</v>
          </cell>
          <cell r="O118">
            <v>0</v>
          </cell>
          <cell r="P118">
            <v>1</v>
          </cell>
          <cell r="Q118">
            <v>0</v>
          </cell>
          <cell r="R118">
            <v>0</v>
          </cell>
          <cell r="S118">
            <v>1</v>
          </cell>
          <cell r="T118">
            <v>2008</v>
          </cell>
          <cell r="U118">
            <v>7</v>
          </cell>
          <cell r="V118">
            <v>4</v>
          </cell>
        </row>
        <row r="119">
          <cell r="C119" t="str">
            <v>ELI-155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1</v>
          </cell>
          <cell r="I119">
            <v>0</v>
          </cell>
          <cell r="J119">
            <v>0</v>
          </cell>
          <cell r="K119">
            <v>1</v>
          </cell>
          <cell r="L119">
            <v>0</v>
          </cell>
          <cell r="M119">
            <v>1</v>
          </cell>
          <cell r="N119">
            <v>1</v>
          </cell>
          <cell r="O119">
            <v>0</v>
          </cell>
          <cell r="P119">
            <v>1</v>
          </cell>
          <cell r="Q119">
            <v>0</v>
          </cell>
          <cell r="R119">
            <v>0</v>
          </cell>
          <cell r="S119">
            <v>1</v>
          </cell>
          <cell r="T119">
            <v>2008</v>
          </cell>
          <cell r="U119">
            <v>5</v>
          </cell>
          <cell r="V119">
            <v>2</v>
          </cell>
        </row>
        <row r="120">
          <cell r="C120" t="str">
            <v>ELI-160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1</v>
          </cell>
          <cell r="Q120">
            <v>0</v>
          </cell>
          <cell r="R120">
            <v>0</v>
          </cell>
          <cell r="S120">
            <v>1</v>
          </cell>
          <cell r="T120">
            <v>2008</v>
          </cell>
          <cell r="U120">
            <v>6</v>
          </cell>
          <cell r="V120">
            <v>0</v>
          </cell>
        </row>
        <row r="121">
          <cell r="C121" t="str">
            <v>ELI-241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1</v>
          </cell>
          <cell r="Q121">
            <v>0</v>
          </cell>
          <cell r="R121">
            <v>0</v>
          </cell>
          <cell r="S121">
            <v>1</v>
          </cell>
          <cell r="T121">
            <v>2009</v>
          </cell>
          <cell r="U121">
            <v>6</v>
          </cell>
          <cell r="V121">
            <v>6</v>
          </cell>
        </row>
        <row r="122">
          <cell r="C122" t="str">
            <v>ELI-369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1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1</v>
          </cell>
          <cell r="N122">
            <v>1</v>
          </cell>
          <cell r="O122">
            <v>0</v>
          </cell>
          <cell r="P122">
            <v>1</v>
          </cell>
          <cell r="Q122">
            <v>0</v>
          </cell>
          <cell r="R122">
            <v>0</v>
          </cell>
          <cell r="S122">
            <v>1</v>
          </cell>
          <cell r="T122">
            <v>2010</v>
          </cell>
          <cell r="U122">
            <v>5</v>
          </cell>
          <cell r="V122">
            <v>0</v>
          </cell>
        </row>
        <row r="123">
          <cell r="C123" t="str">
            <v>ELI-370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1</v>
          </cell>
          <cell r="N123">
            <v>1</v>
          </cell>
          <cell r="O123">
            <v>0</v>
          </cell>
          <cell r="P123">
            <v>1</v>
          </cell>
          <cell r="Q123">
            <v>1</v>
          </cell>
          <cell r="R123">
            <v>0</v>
          </cell>
          <cell r="S123">
            <v>1</v>
          </cell>
          <cell r="T123">
            <v>2010</v>
          </cell>
          <cell r="U123">
            <v>5</v>
          </cell>
          <cell r="V123">
            <v>0</v>
          </cell>
        </row>
        <row r="124">
          <cell r="C124" t="str">
            <v>ELI-159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1</v>
          </cell>
          <cell r="N124">
            <v>1</v>
          </cell>
          <cell r="O124">
            <v>0</v>
          </cell>
          <cell r="P124">
            <v>1</v>
          </cell>
          <cell r="Q124">
            <v>0</v>
          </cell>
          <cell r="R124">
            <v>0</v>
          </cell>
          <cell r="S124">
            <v>1</v>
          </cell>
          <cell r="T124">
            <v>2008</v>
          </cell>
          <cell r="U124">
            <v>6</v>
          </cell>
          <cell r="V124">
            <v>0</v>
          </cell>
        </row>
        <row r="125">
          <cell r="C125" t="str">
            <v>ELI-158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1</v>
          </cell>
          <cell r="Q125">
            <v>1</v>
          </cell>
          <cell r="R125">
            <v>0</v>
          </cell>
          <cell r="S125">
            <v>1</v>
          </cell>
          <cell r="T125">
            <v>2008</v>
          </cell>
          <cell r="U125">
            <v>6</v>
          </cell>
          <cell r="V125">
            <v>0</v>
          </cell>
        </row>
        <row r="126">
          <cell r="C126" t="str">
            <v>ELI-161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1</v>
          </cell>
          <cell r="Q126">
            <v>1</v>
          </cell>
          <cell r="R126">
            <v>0</v>
          </cell>
          <cell r="S126">
            <v>1</v>
          </cell>
          <cell r="T126">
            <v>2008</v>
          </cell>
          <cell r="U126">
            <v>6</v>
          </cell>
          <cell r="V126">
            <v>0</v>
          </cell>
        </row>
        <row r="127">
          <cell r="C127" t="str">
            <v>ELI-162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1</v>
          </cell>
          <cell r="Q127">
            <v>1</v>
          </cell>
          <cell r="R127">
            <v>0</v>
          </cell>
          <cell r="S127">
            <v>1</v>
          </cell>
          <cell r="T127">
            <v>2008</v>
          </cell>
          <cell r="U127">
            <v>10</v>
          </cell>
          <cell r="V127">
            <v>0</v>
          </cell>
        </row>
        <row r="128">
          <cell r="C128" t="str">
            <v>ELI-163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1</v>
          </cell>
          <cell r="Q128">
            <v>1</v>
          </cell>
          <cell r="R128">
            <v>0</v>
          </cell>
          <cell r="S128">
            <v>1</v>
          </cell>
          <cell r="T128">
            <v>2008</v>
          </cell>
          <cell r="U128">
            <v>10</v>
          </cell>
          <cell r="V128">
            <v>0</v>
          </cell>
        </row>
        <row r="129">
          <cell r="C129" t="str">
            <v>ELI-124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1</v>
          </cell>
          <cell r="L129">
            <v>0</v>
          </cell>
          <cell r="M129">
            <v>0</v>
          </cell>
          <cell r="N129">
            <v>1</v>
          </cell>
          <cell r="O129">
            <v>1</v>
          </cell>
          <cell r="P129">
            <v>1</v>
          </cell>
          <cell r="Q129">
            <v>0</v>
          </cell>
          <cell r="R129">
            <v>0</v>
          </cell>
          <cell r="S129">
            <v>1</v>
          </cell>
          <cell r="T129">
            <v>2008</v>
          </cell>
          <cell r="U129">
            <v>9</v>
          </cell>
          <cell r="V129">
            <v>6</v>
          </cell>
        </row>
        <row r="130">
          <cell r="C130" t="str">
            <v>ELI-125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1</v>
          </cell>
          <cell r="L130">
            <v>0</v>
          </cell>
          <cell r="M130">
            <v>0</v>
          </cell>
          <cell r="N130">
            <v>1</v>
          </cell>
          <cell r="O130">
            <v>1</v>
          </cell>
          <cell r="P130">
            <v>1</v>
          </cell>
          <cell r="Q130">
            <v>0</v>
          </cell>
          <cell r="R130">
            <v>0</v>
          </cell>
          <cell r="S130">
            <v>1</v>
          </cell>
          <cell r="T130">
            <v>2008</v>
          </cell>
          <cell r="U130">
            <v>9</v>
          </cell>
          <cell r="V130">
            <v>7</v>
          </cell>
        </row>
        <row r="131">
          <cell r="C131" t="str">
            <v>ELI-246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1</v>
          </cell>
          <cell r="Q131">
            <v>0</v>
          </cell>
          <cell r="R131">
            <v>0</v>
          </cell>
          <cell r="S131">
            <v>1</v>
          </cell>
          <cell r="T131">
            <v>2008</v>
          </cell>
          <cell r="U131">
            <v>9</v>
          </cell>
          <cell r="V131">
            <v>2</v>
          </cell>
        </row>
        <row r="132">
          <cell r="C132" t="str">
            <v>ELI-126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0</v>
          </cell>
          <cell r="N132">
            <v>1</v>
          </cell>
          <cell r="O132">
            <v>1</v>
          </cell>
          <cell r="P132">
            <v>1</v>
          </cell>
          <cell r="Q132">
            <v>0</v>
          </cell>
          <cell r="R132">
            <v>0</v>
          </cell>
          <cell r="S132">
            <v>1</v>
          </cell>
          <cell r="T132">
            <v>2008</v>
          </cell>
          <cell r="U132">
            <v>9</v>
          </cell>
          <cell r="V132">
            <v>3</v>
          </cell>
        </row>
        <row r="133">
          <cell r="C133" t="str">
            <v>ELI-127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1</v>
          </cell>
          <cell r="L133">
            <v>0</v>
          </cell>
          <cell r="M133">
            <v>0</v>
          </cell>
          <cell r="N133">
            <v>1</v>
          </cell>
          <cell r="O133">
            <v>1</v>
          </cell>
          <cell r="P133">
            <v>1</v>
          </cell>
          <cell r="Q133">
            <v>0</v>
          </cell>
          <cell r="R133">
            <v>0</v>
          </cell>
          <cell r="S133">
            <v>1</v>
          </cell>
          <cell r="T133">
            <v>2008</v>
          </cell>
          <cell r="U133">
            <v>9</v>
          </cell>
          <cell r="V133">
            <v>2</v>
          </cell>
        </row>
        <row r="134">
          <cell r="C134" t="str">
            <v>ELI-130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</v>
          </cell>
          <cell r="Q134">
            <v>1</v>
          </cell>
          <cell r="R134">
            <v>0</v>
          </cell>
          <cell r="S134">
            <v>1</v>
          </cell>
          <cell r="T134">
            <v>2008</v>
          </cell>
          <cell r="U134">
            <v>9</v>
          </cell>
          <cell r="V134">
            <v>0</v>
          </cell>
        </row>
        <row r="135">
          <cell r="C135" t="str">
            <v>ELI-657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1</v>
          </cell>
          <cell r="L135">
            <v>1</v>
          </cell>
          <cell r="M135">
            <v>0</v>
          </cell>
          <cell r="N135">
            <v>1</v>
          </cell>
          <cell r="O135">
            <v>1</v>
          </cell>
          <cell r="P135">
            <v>1</v>
          </cell>
          <cell r="Q135">
            <v>1</v>
          </cell>
          <cell r="R135">
            <v>0</v>
          </cell>
          <cell r="S135">
            <v>1</v>
          </cell>
          <cell r="T135">
            <v>2013</v>
          </cell>
          <cell r="U135">
            <v>8</v>
          </cell>
          <cell r="V135">
            <v>0</v>
          </cell>
        </row>
        <row r="136">
          <cell r="C136" t="str">
            <v>ELI-658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1</v>
          </cell>
          <cell r="O136">
            <v>1</v>
          </cell>
          <cell r="P136">
            <v>1</v>
          </cell>
          <cell r="Q136">
            <v>0</v>
          </cell>
          <cell r="R136">
            <v>0</v>
          </cell>
          <cell r="S136">
            <v>1</v>
          </cell>
          <cell r="T136">
            <v>2013</v>
          </cell>
          <cell r="U136">
            <v>11</v>
          </cell>
          <cell r="V136">
            <v>1</v>
          </cell>
        </row>
        <row r="137">
          <cell r="C137" t="str">
            <v>ELI-659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1</v>
          </cell>
          <cell r="L137">
            <v>0</v>
          </cell>
          <cell r="M137">
            <v>0</v>
          </cell>
          <cell r="N137">
            <v>1</v>
          </cell>
          <cell r="O137">
            <v>1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2013</v>
          </cell>
          <cell r="U137">
            <v>8</v>
          </cell>
          <cell r="V137">
            <v>0</v>
          </cell>
        </row>
        <row r="138">
          <cell r="C138" t="str">
            <v>ELI-660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1</v>
          </cell>
          <cell r="L138">
            <v>0</v>
          </cell>
          <cell r="M138">
            <v>0</v>
          </cell>
          <cell r="N138">
            <v>1</v>
          </cell>
          <cell r="O138">
            <v>1</v>
          </cell>
          <cell r="P138">
            <v>1</v>
          </cell>
          <cell r="Q138">
            <v>0</v>
          </cell>
          <cell r="R138">
            <v>0</v>
          </cell>
          <cell r="S138">
            <v>1</v>
          </cell>
          <cell r="T138">
            <v>2013</v>
          </cell>
          <cell r="U138">
            <v>8</v>
          </cell>
          <cell r="V138">
            <v>0</v>
          </cell>
        </row>
        <row r="139">
          <cell r="C139" t="str">
            <v>ELI-661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1</v>
          </cell>
          <cell r="L139">
            <v>0</v>
          </cell>
          <cell r="M139">
            <v>0</v>
          </cell>
          <cell r="N139">
            <v>1</v>
          </cell>
          <cell r="O139">
            <v>1</v>
          </cell>
          <cell r="P139">
            <v>1</v>
          </cell>
          <cell r="Q139">
            <v>0</v>
          </cell>
          <cell r="R139">
            <v>0</v>
          </cell>
          <cell r="S139">
            <v>1</v>
          </cell>
          <cell r="T139">
            <v>2013</v>
          </cell>
          <cell r="U139">
            <v>8</v>
          </cell>
          <cell r="V139">
            <v>0</v>
          </cell>
        </row>
        <row r="140">
          <cell r="C140" t="str">
            <v>ELI-662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1</v>
          </cell>
          <cell r="L140">
            <v>0</v>
          </cell>
          <cell r="M140">
            <v>0</v>
          </cell>
          <cell r="N140">
            <v>1</v>
          </cell>
          <cell r="O140">
            <v>1</v>
          </cell>
          <cell r="P140">
            <v>1</v>
          </cell>
          <cell r="Q140">
            <v>0</v>
          </cell>
          <cell r="R140">
            <v>0</v>
          </cell>
          <cell r="S140">
            <v>1</v>
          </cell>
          <cell r="T140">
            <v>2013</v>
          </cell>
          <cell r="U140">
            <v>8</v>
          </cell>
          <cell r="V140">
            <v>0</v>
          </cell>
        </row>
        <row r="141">
          <cell r="C141" t="str">
            <v>ELI-663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1</v>
          </cell>
          <cell r="L141">
            <v>0</v>
          </cell>
          <cell r="M141">
            <v>0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0</v>
          </cell>
          <cell r="S141">
            <v>1</v>
          </cell>
          <cell r="T141">
            <v>2013</v>
          </cell>
          <cell r="U141">
            <v>8</v>
          </cell>
          <cell r="V141">
            <v>2</v>
          </cell>
        </row>
        <row r="142">
          <cell r="C142" t="str">
            <v>ELI-664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1</v>
          </cell>
          <cell r="L142">
            <v>0</v>
          </cell>
          <cell r="M142">
            <v>0</v>
          </cell>
          <cell r="N142">
            <v>1</v>
          </cell>
          <cell r="O142">
            <v>1</v>
          </cell>
          <cell r="P142">
            <v>1</v>
          </cell>
          <cell r="Q142">
            <v>1</v>
          </cell>
          <cell r="R142">
            <v>0</v>
          </cell>
          <cell r="S142">
            <v>1</v>
          </cell>
          <cell r="T142">
            <v>2013</v>
          </cell>
          <cell r="U142">
            <v>8</v>
          </cell>
          <cell r="V142">
            <v>1</v>
          </cell>
        </row>
        <row r="143">
          <cell r="C143" t="str">
            <v>ELI-665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1</v>
          </cell>
          <cell r="L143">
            <v>0</v>
          </cell>
          <cell r="M143">
            <v>0</v>
          </cell>
          <cell r="N143">
            <v>1</v>
          </cell>
          <cell r="O143">
            <v>1</v>
          </cell>
          <cell r="P143">
            <v>1</v>
          </cell>
          <cell r="Q143">
            <v>1</v>
          </cell>
          <cell r="R143">
            <v>0</v>
          </cell>
          <cell r="S143">
            <v>1</v>
          </cell>
          <cell r="T143">
            <v>2013</v>
          </cell>
          <cell r="U143">
            <v>8</v>
          </cell>
          <cell r="V143">
            <v>2</v>
          </cell>
        </row>
        <row r="144">
          <cell r="C144" t="str">
            <v>ELI-666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1</v>
          </cell>
          <cell r="O144">
            <v>1</v>
          </cell>
          <cell r="P144">
            <v>1</v>
          </cell>
          <cell r="Q144">
            <v>1</v>
          </cell>
          <cell r="R144">
            <v>0</v>
          </cell>
          <cell r="S144">
            <v>1</v>
          </cell>
          <cell r="T144">
            <v>2013</v>
          </cell>
          <cell r="U144">
            <v>11</v>
          </cell>
          <cell r="V144">
            <v>1</v>
          </cell>
        </row>
        <row r="145">
          <cell r="C145" t="str">
            <v>ELI-697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1</v>
          </cell>
          <cell r="O145">
            <v>1</v>
          </cell>
          <cell r="P145">
            <v>1</v>
          </cell>
          <cell r="Q145">
            <v>0</v>
          </cell>
          <cell r="R145">
            <v>1</v>
          </cell>
          <cell r="S145">
            <v>1</v>
          </cell>
          <cell r="T145">
            <v>2013</v>
          </cell>
          <cell r="U145">
            <v>11</v>
          </cell>
          <cell r="V145">
            <v>12</v>
          </cell>
        </row>
        <row r="146">
          <cell r="C146" t="str">
            <v>ELI-138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1</v>
          </cell>
          <cell r="L146">
            <v>1</v>
          </cell>
          <cell r="M146">
            <v>0</v>
          </cell>
          <cell r="N146">
            <v>1</v>
          </cell>
          <cell r="O146">
            <v>1</v>
          </cell>
          <cell r="P146">
            <v>1</v>
          </cell>
          <cell r="Q146">
            <v>0</v>
          </cell>
          <cell r="R146">
            <v>0</v>
          </cell>
          <cell r="S146">
            <v>1</v>
          </cell>
          <cell r="T146">
            <v>2008</v>
          </cell>
          <cell r="U146">
            <v>10</v>
          </cell>
          <cell r="V146">
            <v>5</v>
          </cell>
        </row>
        <row r="147">
          <cell r="C147" t="str">
            <v>ELI-134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1</v>
          </cell>
          <cell r="M147">
            <v>0</v>
          </cell>
          <cell r="N147">
            <v>0</v>
          </cell>
          <cell r="O147">
            <v>0</v>
          </cell>
          <cell r="P147">
            <v>1</v>
          </cell>
          <cell r="Q147">
            <v>0</v>
          </cell>
          <cell r="R147">
            <v>0</v>
          </cell>
          <cell r="S147">
            <v>1</v>
          </cell>
          <cell r="T147">
            <v>2008</v>
          </cell>
          <cell r="U147">
            <v>10</v>
          </cell>
          <cell r="V147">
            <v>3</v>
          </cell>
        </row>
        <row r="148">
          <cell r="C148" t="str">
            <v>ELI-135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</v>
          </cell>
          <cell r="M148">
            <v>0</v>
          </cell>
          <cell r="N148">
            <v>0</v>
          </cell>
          <cell r="O148">
            <v>0</v>
          </cell>
          <cell r="P148">
            <v>1</v>
          </cell>
          <cell r="Q148">
            <v>0</v>
          </cell>
          <cell r="R148">
            <v>0</v>
          </cell>
          <cell r="S148">
            <v>1</v>
          </cell>
          <cell r="T148">
            <v>2008</v>
          </cell>
          <cell r="U148">
            <v>10</v>
          </cell>
          <cell r="V148">
            <v>2</v>
          </cell>
        </row>
        <row r="149">
          <cell r="C149" t="str">
            <v>ELI-136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</v>
          </cell>
          <cell r="M149">
            <v>0</v>
          </cell>
          <cell r="N149">
            <v>0</v>
          </cell>
          <cell r="O149">
            <v>0</v>
          </cell>
          <cell r="P149">
            <v>1</v>
          </cell>
          <cell r="Q149">
            <v>0</v>
          </cell>
          <cell r="R149">
            <v>0</v>
          </cell>
          <cell r="S149">
            <v>1</v>
          </cell>
          <cell r="T149">
            <v>2008</v>
          </cell>
          <cell r="U149">
            <v>10</v>
          </cell>
          <cell r="V149">
            <v>6</v>
          </cell>
        </row>
        <row r="150">
          <cell r="C150" t="str">
            <v>ELI-139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</v>
          </cell>
          <cell r="M150">
            <v>0</v>
          </cell>
          <cell r="N150">
            <v>0</v>
          </cell>
          <cell r="O150">
            <v>0</v>
          </cell>
          <cell r="P150">
            <v>1</v>
          </cell>
          <cell r="Q150">
            <v>0</v>
          </cell>
          <cell r="R150">
            <v>0</v>
          </cell>
          <cell r="S150">
            <v>1</v>
          </cell>
          <cell r="T150">
            <v>2008</v>
          </cell>
          <cell r="U150">
            <v>10</v>
          </cell>
          <cell r="V150">
            <v>3</v>
          </cell>
        </row>
        <row r="151">
          <cell r="C151" t="str">
            <v>ELI-XX1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1</v>
          </cell>
          <cell r="L151">
            <v>1</v>
          </cell>
          <cell r="M151">
            <v>0</v>
          </cell>
          <cell r="N151">
            <v>0</v>
          </cell>
          <cell r="O151">
            <v>0</v>
          </cell>
          <cell r="P151">
            <v>1</v>
          </cell>
          <cell r="Q151">
            <v>0</v>
          </cell>
          <cell r="R151">
            <v>0</v>
          </cell>
          <cell r="S151">
            <v>1</v>
          </cell>
          <cell r="T151">
            <v>2013</v>
          </cell>
          <cell r="U151">
            <v>8</v>
          </cell>
          <cell r="V151">
            <v>0</v>
          </cell>
        </row>
        <row r="152">
          <cell r="C152" t="str">
            <v>ELI-XX2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1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 t="str">
            <v>NA</v>
          </cell>
          <cell r="R152">
            <v>1</v>
          </cell>
          <cell r="S152">
            <v>1</v>
          </cell>
          <cell r="T152">
            <v>2013</v>
          </cell>
          <cell r="U152">
            <v>8</v>
          </cell>
          <cell r="V152">
            <v>0</v>
          </cell>
        </row>
        <row r="153">
          <cell r="C153" t="str">
            <v>ELI-XX3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1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 t="str">
            <v>NA</v>
          </cell>
          <cell r="R153">
            <v>1</v>
          </cell>
          <cell r="S153">
            <v>1</v>
          </cell>
          <cell r="T153">
            <v>2013</v>
          </cell>
          <cell r="U153">
            <v>8</v>
          </cell>
          <cell r="V153">
            <v>0</v>
          </cell>
        </row>
        <row r="154">
          <cell r="C154" t="str">
            <v>ELI-XX4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1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 t="str">
            <v>NA</v>
          </cell>
          <cell r="R154">
            <v>1</v>
          </cell>
          <cell r="S154">
            <v>1</v>
          </cell>
          <cell r="T154">
            <v>2013</v>
          </cell>
          <cell r="U154">
            <v>8</v>
          </cell>
          <cell r="V154">
            <v>0</v>
          </cell>
        </row>
        <row r="155">
          <cell r="C155" t="str">
            <v>ELI-XX5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1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 t="str">
            <v>NA</v>
          </cell>
          <cell r="R155">
            <v>1</v>
          </cell>
          <cell r="S155">
            <v>1</v>
          </cell>
          <cell r="T155">
            <v>2013</v>
          </cell>
          <cell r="U155">
            <v>8</v>
          </cell>
          <cell r="V155">
            <v>0</v>
          </cell>
        </row>
        <row r="156">
          <cell r="C156" t="str">
            <v>ELI-XX6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1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 t="str">
            <v>NA</v>
          </cell>
          <cell r="R156">
            <v>1</v>
          </cell>
          <cell r="S156">
            <v>1</v>
          </cell>
          <cell r="T156">
            <v>2013</v>
          </cell>
          <cell r="U156">
            <v>8</v>
          </cell>
          <cell r="V156">
            <v>0</v>
          </cell>
        </row>
        <row r="157">
          <cell r="C157" t="str">
            <v>ELI-XX7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1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 t="str">
            <v>NA</v>
          </cell>
          <cell r="R157">
            <v>1</v>
          </cell>
          <cell r="S157">
            <v>1</v>
          </cell>
          <cell r="T157">
            <v>2013</v>
          </cell>
          <cell r="U157">
            <v>8</v>
          </cell>
          <cell r="V157">
            <v>0</v>
          </cell>
        </row>
        <row r="158">
          <cell r="C158" t="str">
            <v>ELI-215</v>
          </cell>
          <cell r="D158">
            <v>0</v>
          </cell>
          <cell r="E158">
            <v>0</v>
          </cell>
          <cell r="F158">
            <v>0</v>
          </cell>
          <cell r="G158">
            <v>1</v>
          </cell>
          <cell r="H158">
            <v>1</v>
          </cell>
          <cell r="I158">
            <v>0</v>
          </cell>
          <cell r="J158">
            <v>1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1</v>
          </cell>
          <cell r="Q158">
            <v>0</v>
          </cell>
          <cell r="R158">
            <v>0</v>
          </cell>
          <cell r="S158">
            <v>1</v>
          </cell>
          <cell r="T158">
            <v>2008</v>
          </cell>
          <cell r="U158">
            <v>10</v>
          </cell>
          <cell r="V158">
            <v>0</v>
          </cell>
        </row>
        <row r="159">
          <cell r="C159" t="str">
            <v>ELI-454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1</v>
          </cell>
          <cell r="Q159">
            <v>0</v>
          </cell>
          <cell r="R159">
            <v>0</v>
          </cell>
          <cell r="S159">
            <v>1</v>
          </cell>
          <cell r="T159">
            <v>2011</v>
          </cell>
          <cell r="U159">
            <v>10</v>
          </cell>
          <cell r="V159">
            <v>0</v>
          </cell>
        </row>
        <row r="160">
          <cell r="C160" t="str">
            <v>ELI-455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1</v>
          </cell>
          <cell r="Q160">
            <v>0</v>
          </cell>
          <cell r="R160">
            <v>0</v>
          </cell>
          <cell r="S160">
            <v>1</v>
          </cell>
          <cell r="T160">
            <v>2011</v>
          </cell>
          <cell r="U160">
            <v>11</v>
          </cell>
          <cell r="V160">
            <v>0</v>
          </cell>
        </row>
        <row r="161">
          <cell r="C161" t="str">
            <v>ELI-458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 t="str">
            <v>NA</v>
          </cell>
          <cell r="R161">
            <v>0</v>
          </cell>
          <cell r="S161">
            <v>1</v>
          </cell>
          <cell r="T161">
            <v>2011</v>
          </cell>
          <cell r="U161">
            <v>8</v>
          </cell>
          <cell r="V161">
            <v>0</v>
          </cell>
        </row>
        <row r="162">
          <cell r="C162" t="str">
            <v>ELI-459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1</v>
          </cell>
          <cell r="Q162">
            <v>0</v>
          </cell>
          <cell r="R162">
            <v>0</v>
          </cell>
          <cell r="S162">
            <v>1</v>
          </cell>
          <cell r="T162">
            <v>2011</v>
          </cell>
          <cell r="U162">
            <v>8</v>
          </cell>
          <cell r="V162">
            <v>0</v>
          </cell>
        </row>
        <row r="163">
          <cell r="C163" t="str">
            <v>ELI-461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1</v>
          </cell>
          <cell r="Q163">
            <v>1</v>
          </cell>
          <cell r="R163">
            <v>0</v>
          </cell>
          <cell r="S163">
            <v>1</v>
          </cell>
          <cell r="T163">
            <v>2011</v>
          </cell>
          <cell r="U163">
            <v>11</v>
          </cell>
          <cell r="V163">
            <v>1</v>
          </cell>
        </row>
        <row r="164">
          <cell r="C164" t="str">
            <v>ELI-456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1</v>
          </cell>
          <cell r="Q164">
            <v>1</v>
          </cell>
          <cell r="R164">
            <v>0</v>
          </cell>
          <cell r="S164">
            <v>1</v>
          </cell>
          <cell r="T164">
            <v>2011</v>
          </cell>
          <cell r="U164">
            <v>11</v>
          </cell>
          <cell r="V164">
            <v>0</v>
          </cell>
        </row>
        <row r="165">
          <cell r="C165" t="str">
            <v>ELI-457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1</v>
          </cell>
          <cell r="Q165">
            <v>1</v>
          </cell>
          <cell r="R165">
            <v>0</v>
          </cell>
          <cell r="S165">
            <v>1</v>
          </cell>
          <cell r="T165">
            <v>2011</v>
          </cell>
          <cell r="U165">
            <v>11</v>
          </cell>
          <cell r="V165">
            <v>0</v>
          </cell>
        </row>
        <row r="166">
          <cell r="C166" t="str">
            <v>ELI-460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1</v>
          </cell>
          <cell r="Q166">
            <v>1</v>
          </cell>
          <cell r="R166">
            <v>0</v>
          </cell>
          <cell r="S166">
            <v>1</v>
          </cell>
          <cell r="T166">
            <v>2011</v>
          </cell>
          <cell r="U166">
            <v>11</v>
          </cell>
          <cell r="V166">
            <v>0</v>
          </cell>
        </row>
        <row r="167">
          <cell r="C167" t="str">
            <v>ELI-209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1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1</v>
          </cell>
          <cell r="Q167">
            <v>0</v>
          </cell>
          <cell r="R167">
            <v>0</v>
          </cell>
          <cell r="S167">
            <v>1</v>
          </cell>
          <cell r="T167">
            <v>2008</v>
          </cell>
          <cell r="U167">
            <v>10</v>
          </cell>
          <cell r="V167">
            <v>4</v>
          </cell>
        </row>
        <row r="168">
          <cell r="C168" t="str">
            <v>ELI-210</v>
          </cell>
          <cell r="D168">
            <v>0</v>
          </cell>
          <cell r="E168">
            <v>0</v>
          </cell>
          <cell r="F168">
            <v>0</v>
          </cell>
          <cell r="G168">
            <v>1</v>
          </cell>
          <cell r="H168">
            <v>1</v>
          </cell>
          <cell r="I168">
            <v>0</v>
          </cell>
          <cell r="J168">
            <v>1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1</v>
          </cell>
          <cell r="Q168">
            <v>0</v>
          </cell>
          <cell r="R168">
            <v>0</v>
          </cell>
          <cell r="S168">
            <v>1</v>
          </cell>
          <cell r="T168">
            <v>2008</v>
          </cell>
          <cell r="U168">
            <v>10</v>
          </cell>
          <cell r="V168">
            <v>6</v>
          </cell>
        </row>
        <row r="169">
          <cell r="C169" t="str">
            <v>ELI-212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1</v>
          </cell>
          <cell r="Q169">
            <v>0</v>
          </cell>
          <cell r="R169">
            <v>0</v>
          </cell>
          <cell r="S169">
            <v>1</v>
          </cell>
          <cell r="T169">
            <v>2008</v>
          </cell>
          <cell r="U169">
            <v>10</v>
          </cell>
          <cell r="V169">
            <v>7</v>
          </cell>
        </row>
        <row r="170">
          <cell r="C170" t="str">
            <v>ELI-700</v>
          </cell>
          <cell r="D170">
            <v>0</v>
          </cell>
          <cell r="E170">
            <v>0</v>
          </cell>
          <cell r="F170">
            <v>0</v>
          </cell>
          <cell r="G170">
            <v>1</v>
          </cell>
          <cell r="H170">
            <v>0</v>
          </cell>
          <cell r="I170">
            <v>0</v>
          </cell>
          <cell r="J170">
            <v>0</v>
          </cell>
          <cell r="K170">
            <v>1</v>
          </cell>
          <cell r="L170">
            <v>0</v>
          </cell>
          <cell r="M170">
            <v>0</v>
          </cell>
          <cell r="N170">
            <v>1</v>
          </cell>
          <cell r="O170">
            <v>0</v>
          </cell>
          <cell r="P170">
            <v>1</v>
          </cell>
          <cell r="Q170">
            <v>0</v>
          </cell>
          <cell r="R170">
            <v>0</v>
          </cell>
          <cell r="S170">
            <v>1</v>
          </cell>
          <cell r="T170">
            <v>2013</v>
          </cell>
          <cell r="U170">
            <v>4</v>
          </cell>
          <cell r="V170">
            <v>6</v>
          </cell>
        </row>
        <row r="171">
          <cell r="C171" t="str">
            <v>ELI-701</v>
          </cell>
          <cell r="D171">
            <v>0</v>
          </cell>
          <cell r="E171">
            <v>0</v>
          </cell>
          <cell r="F171">
            <v>0</v>
          </cell>
          <cell r="G171">
            <v>1</v>
          </cell>
          <cell r="H171">
            <v>0</v>
          </cell>
          <cell r="I171">
            <v>0</v>
          </cell>
          <cell r="J171">
            <v>0</v>
          </cell>
          <cell r="K171">
            <v>1</v>
          </cell>
          <cell r="L171">
            <v>0</v>
          </cell>
          <cell r="M171">
            <v>0</v>
          </cell>
          <cell r="N171">
            <v>1</v>
          </cell>
          <cell r="O171">
            <v>1</v>
          </cell>
          <cell r="P171">
            <v>1</v>
          </cell>
          <cell r="Q171">
            <v>0</v>
          </cell>
          <cell r="R171">
            <v>0</v>
          </cell>
          <cell r="S171">
            <v>1</v>
          </cell>
          <cell r="T171">
            <v>2013</v>
          </cell>
          <cell r="U171">
            <v>4</v>
          </cell>
          <cell r="V171">
            <v>4</v>
          </cell>
        </row>
        <row r="172">
          <cell r="C172" t="str">
            <v>ELI-702</v>
          </cell>
          <cell r="D172">
            <v>0</v>
          </cell>
          <cell r="E172">
            <v>0</v>
          </cell>
          <cell r="F172">
            <v>0</v>
          </cell>
          <cell r="G172">
            <v>1</v>
          </cell>
          <cell r="H172">
            <v>0</v>
          </cell>
          <cell r="I172">
            <v>0</v>
          </cell>
          <cell r="J172">
            <v>0</v>
          </cell>
          <cell r="K172">
            <v>1</v>
          </cell>
          <cell r="L172">
            <v>0</v>
          </cell>
          <cell r="M172">
            <v>0</v>
          </cell>
          <cell r="N172">
            <v>1</v>
          </cell>
          <cell r="O172">
            <v>0</v>
          </cell>
          <cell r="P172">
            <v>1</v>
          </cell>
          <cell r="Q172">
            <v>0</v>
          </cell>
          <cell r="R172">
            <v>0</v>
          </cell>
          <cell r="S172">
            <v>1</v>
          </cell>
          <cell r="T172">
            <v>2013</v>
          </cell>
          <cell r="U172">
            <v>4</v>
          </cell>
          <cell r="V172">
            <v>5</v>
          </cell>
        </row>
        <row r="173">
          <cell r="C173" t="str">
            <v>ELI-468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 t="str">
            <v>NA</v>
          </cell>
          <cell r="R173">
            <v>0</v>
          </cell>
          <cell r="S173">
            <v>1</v>
          </cell>
          <cell r="T173">
            <v>2011</v>
          </cell>
          <cell r="U173">
            <v>10</v>
          </cell>
          <cell r="V173">
            <v>0</v>
          </cell>
        </row>
        <row r="174">
          <cell r="C174" t="str">
            <v>ELI-182</v>
          </cell>
          <cell r="D174">
            <v>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</v>
          </cell>
          <cell r="T174">
            <v>2008</v>
          </cell>
          <cell r="U174">
            <v>8</v>
          </cell>
          <cell r="V174">
            <v>5</v>
          </cell>
        </row>
        <row r="175">
          <cell r="C175" t="str">
            <v>ELI-261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1</v>
          </cell>
          <cell r="Q175">
            <v>0</v>
          </cell>
          <cell r="R175">
            <v>0</v>
          </cell>
          <cell r="S175">
            <v>1</v>
          </cell>
          <cell r="T175">
            <v>2008</v>
          </cell>
          <cell r="U175">
            <v>8</v>
          </cell>
          <cell r="V175">
            <v>0</v>
          </cell>
        </row>
        <row r="176">
          <cell r="C176" t="str">
            <v>ELI-185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1</v>
          </cell>
          <cell r="Q176">
            <v>0</v>
          </cell>
          <cell r="R176">
            <v>0</v>
          </cell>
          <cell r="S176">
            <v>1</v>
          </cell>
          <cell r="T176">
            <v>2008</v>
          </cell>
          <cell r="U176">
            <v>8</v>
          </cell>
          <cell r="V176">
            <v>6</v>
          </cell>
        </row>
        <row r="177">
          <cell r="C177" t="str">
            <v>ELI-257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1</v>
          </cell>
          <cell r="Q177">
            <v>0</v>
          </cell>
          <cell r="R177">
            <v>0</v>
          </cell>
          <cell r="S177">
            <v>1</v>
          </cell>
          <cell r="T177">
            <v>2009</v>
          </cell>
          <cell r="U177">
            <v>11</v>
          </cell>
          <cell r="V177">
            <v>1</v>
          </cell>
        </row>
        <row r="178">
          <cell r="C178" t="str">
            <v>ELI-183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1</v>
          </cell>
          <cell r="Q178">
            <v>0</v>
          </cell>
          <cell r="R178">
            <v>0</v>
          </cell>
          <cell r="S178">
            <v>1</v>
          </cell>
          <cell r="T178">
            <v>2009</v>
          </cell>
          <cell r="U178">
            <v>9</v>
          </cell>
          <cell r="V178">
            <v>7</v>
          </cell>
        </row>
        <row r="179">
          <cell r="C179" t="str">
            <v>ELI-189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1</v>
          </cell>
          <cell r="Q179">
            <v>0</v>
          </cell>
          <cell r="R179">
            <v>0</v>
          </cell>
          <cell r="S179">
            <v>1</v>
          </cell>
          <cell r="T179">
            <v>2008</v>
          </cell>
          <cell r="U179">
            <v>8</v>
          </cell>
          <cell r="V179">
            <v>1</v>
          </cell>
        </row>
        <row r="180">
          <cell r="C180" t="str">
            <v>ELI-465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1</v>
          </cell>
          <cell r="Q180">
            <v>0</v>
          </cell>
          <cell r="R180">
            <v>0</v>
          </cell>
          <cell r="S180">
            <v>1</v>
          </cell>
          <cell r="T180">
            <v>2011</v>
          </cell>
          <cell r="U180">
            <v>10</v>
          </cell>
          <cell r="V180">
            <v>8</v>
          </cell>
        </row>
        <row r="181">
          <cell r="C181" t="str">
            <v>ELI-467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1</v>
          </cell>
          <cell r="Q181">
            <v>0</v>
          </cell>
          <cell r="R181">
            <v>0</v>
          </cell>
          <cell r="S181">
            <v>1</v>
          </cell>
          <cell r="T181">
            <v>2011</v>
          </cell>
          <cell r="U181">
            <v>10</v>
          </cell>
          <cell r="V181">
            <v>0</v>
          </cell>
        </row>
        <row r="182">
          <cell r="C182" t="str">
            <v>ELI-259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1</v>
          </cell>
          <cell r="Q182">
            <v>1</v>
          </cell>
          <cell r="R182">
            <v>0</v>
          </cell>
          <cell r="S182">
            <v>1</v>
          </cell>
          <cell r="T182">
            <v>2010</v>
          </cell>
          <cell r="U182">
            <v>9</v>
          </cell>
          <cell r="V182">
            <v>3</v>
          </cell>
        </row>
        <row r="183">
          <cell r="C183" t="str">
            <v>ELI-187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1</v>
          </cell>
          <cell r="Q183">
            <v>1</v>
          </cell>
          <cell r="R183">
            <v>0</v>
          </cell>
          <cell r="S183">
            <v>1</v>
          </cell>
          <cell r="T183">
            <v>2010</v>
          </cell>
          <cell r="U183">
            <v>9</v>
          </cell>
          <cell r="V183">
            <v>3</v>
          </cell>
        </row>
        <row r="184">
          <cell r="C184" t="str">
            <v>ELI-179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1</v>
          </cell>
          <cell r="Q184">
            <v>1</v>
          </cell>
          <cell r="R184">
            <v>0</v>
          </cell>
          <cell r="S184">
            <v>1</v>
          </cell>
          <cell r="T184">
            <v>2008</v>
          </cell>
          <cell r="U184">
            <v>8</v>
          </cell>
          <cell r="V184">
            <v>2</v>
          </cell>
        </row>
        <row r="185">
          <cell r="C185" t="str">
            <v>ELI-167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1</v>
          </cell>
          <cell r="R185">
            <v>0</v>
          </cell>
          <cell r="S185">
            <v>1</v>
          </cell>
          <cell r="T185">
            <v>2009</v>
          </cell>
          <cell r="U185">
            <v>4</v>
          </cell>
          <cell r="V185">
            <v>0</v>
          </cell>
        </row>
        <row r="186">
          <cell r="C186" t="str">
            <v>ELI-168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1</v>
          </cell>
          <cell r="Q186">
            <v>1</v>
          </cell>
          <cell r="R186">
            <v>0</v>
          </cell>
          <cell r="S186">
            <v>1</v>
          </cell>
          <cell r="T186">
            <v>2009</v>
          </cell>
          <cell r="U186">
            <v>4</v>
          </cell>
          <cell r="V186">
            <v>0</v>
          </cell>
        </row>
        <row r="187">
          <cell r="C187" t="str">
            <v>ELI-169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1</v>
          </cell>
          <cell r="Q187">
            <v>1</v>
          </cell>
          <cell r="R187">
            <v>1</v>
          </cell>
          <cell r="S187">
            <v>1</v>
          </cell>
          <cell r="T187">
            <v>2009</v>
          </cell>
          <cell r="U187">
            <v>4</v>
          </cell>
          <cell r="V187">
            <v>0</v>
          </cell>
        </row>
        <row r="188">
          <cell r="C188" t="str">
            <v>ELI-421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1</v>
          </cell>
          <cell r="L188">
            <v>0</v>
          </cell>
          <cell r="M188">
            <v>0</v>
          </cell>
          <cell r="N188">
            <v>1</v>
          </cell>
          <cell r="O188">
            <v>0</v>
          </cell>
          <cell r="P188">
            <v>1</v>
          </cell>
          <cell r="Q188">
            <v>1</v>
          </cell>
          <cell r="R188">
            <v>0</v>
          </cell>
          <cell r="S188">
            <v>1</v>
          </cell>
          <cell r="T188">
            <v>2011</v>
          </cell>
          <cell r="U188">
            <v>8</v>
          </cell>
          <cell r="V188">
            <v>3</v>
          </cell>
        </row>
        <row r="189">
          <cell r="C189" t="str">
            <v>ELI-422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1</v>
          </cell>
          <cell r="Q189">
            <v>1</v>
          </cell>
          <cell r="R189">
            <v>1</v>
          </cell>
          <cell r="S189">
            <v>1</v>
          </cell>
          <cell r="T189">
            <v>2011</v>
          </cell>
          <cell r="U189">
            <v>8</v>
          </cell>
          <cell r="V189">
            <v>3</v>
          </cell>
        </row>
        <row r="190">
          <cell r="C190" t="str">
            <v>ELI-420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1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1</v>
          </cell>
          <cell r="Q190">
            <v>1</v>
          </cell>
          <cell r="R190">
            <v>0</v>
          </cell>
          <cell r="S190">
            <v>1</v>
          </cell>
          <cell r="T190">
            <v>2011</v>
          </cell>
          <cell r="U190">
            <v>7</v>
          </cell>
          <cell r="V190">
            <v>3</v>
          </cell>
        </row>
        <row r="191">
          <cell r="C191" t="str">
            <v>ELI-475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1</v>
          </cell>
          <cell r="Q191">
            <v>0</v>
          </cell>
          <cell r="R191">
            <v>0</v>
          </cell>
          <cell r="S191">
            <v>1</v>
          </cell>
          <cell r="T191">
            <v>2011</v>
          </cell>
          <cell r="U191">
            <v>8</v>
          </cell>
          <cell r="V191">
            <v>3</v>
          </cell>
        </row>
        <row r="192">
          <cell r="C192" t="str">
            <v>ELI-476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1</v>
          </cell>
          <cell r="Q192">
            <v>1</v>
          </cell>
          <cell r="R192">
            <v>0</v>
          </cell>
          <cell r="S192">
            <v>1</v>
          </cell>
          <cell r="T192">
            <v>2011</v>
          </cell>
          <cell r="U192">
            <v>9</v>
          </cell>
          <cell r="V192">
            <v>2</v>
          </cell>
        </row>
        <row r="193">
          <cell r="C193" t="str">
            <v>ELI-477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1</v>
          </cell>
          <cell r="T193">
            <v>2011</v>
          </cell>
          <cell r="U193">
            <v>9</v>
          </cell>
          <cell r="V193">
            <v>2</v>
          </cell>
        </row>
        <row r="194">
          <cell r="C194" t="str">
            <v>ELI-478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1</v>
          </cell>
          <cell r="T194">
            <v>2011</v>
          </cell>
          <cell r="U194">
            <v>8</v>
          </cell>
          <cell r="V194">
            <v>2</v>
          </cell>
        </row>
        <row r="195">
          <cell r="C195" t="str">
            <v>ELI-564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</v>
          </cell>
          <cell r="J195">
            <v>0</v>
          </cell>
          <cell r="K195">
            <v>0</v>
          </cell>
          <cell r="L195">
            <v>1</v>
          </cell>
          <cell r="M195">
            <v>0</v>
          </cell>
          <cell r="N195">
            <v>1</v>
          </cell>
          <cell r="O195">
            <v>0</v>
          </cell>
          <cell r="P195">
            <v>1</v>
          </cell>
          <cell r="Q195">
            <v>1</v>
          </cell>
          <cell r="R195">
            <v>0</v>
          </cell>
          <cell r="S195">
            <v>1</v>
          </cell>
          <cell r="T195">
            <v>2012</v>
          </cell>
          <cell r="U195">
            <v>10</v>
          </cell>
          <cell r="V195">
            <v>3</v>
          </cell>
        </row>
        <row r="196">
          <cell r="C196" t="str">
            <v>ELI-565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1</v>
          </cell>
          <cell r="I196">
            <v>0</v>
          </cell>
          <cell r="J196">
            <v>0</v>
          </cell>
          <cell r="K196">
            <v>0</v>
          </cell>
          <cell r="L196">
            <v>1</v>
          </cell>
          <cell r="M196">
            <v>0</v>
          </cell>
          <cell r="N196">
            <v>1</v>
          </cell>
          <cell r="O196">
            <v>0</v>
          </cell>
          <cell r="P196">
            <v>1</v>
          </cell>
          <cell r="Q196">
            <v>1</v>
          </cell>
          <cell r="R196">
            <v>0</v>
          </cell>
          <cell r="S196">
            <v>1</v>
          </cell>
          <cell r="T196">
            <v>2012</v>
          </cell>
          <cell r="U196">
            <v>10</v>
          </cell>
          <cell r="V196">
            <v>3</v>
          </cell>
        </row>
        <row r="197">
          <cell r="C197" t="str">
            <v>ELI-628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1</v>
          </cell>
          <cell r="L197">
            <v>1</v>
          </cell>
          <cell r="M197">
            <v>1</v>
          </cell>
          <cell r="N197">
            <v>1</v>
          </cell>
          <cell r="O197">
            <v>0</v>
          </cell>
          <cell r="P197">
            <v>1</v>
          </cell>
          <cell r="Q197">
            <v>1</v>
          </cell>
          <cell r="R197">
            <v>0</v>
          </cell>
          <cell r="S197">
            <v>1</v>
          </cell>
          <cell r="T197">
            <v>2013</v>
          </cell>
          <cell r="U197">
            <v>8</v>
          </cell>
          <cell r="V197">
            <v>4</v>
          </cell>
        </row>
        <row r="198">
          <cell r="C198" t="str">
            <v>ELI-629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1</v>
          </cell>
          <cell r="L198">
            <v>1</v>
          </cell>
          <cell r="M198">
            <v>1</v>
          </cell>
          <cell r="N198">
            <v>1</v>
          </cell>
          <cell r="O198">
            <v>0</v>
          </cell>
          <cell r="P198">
            <v>1</v>
          </cell>
          <cell r="Q198">
            <v>1</v>
          </cell>
          <cell r="R198">
            <v>0</v>
          </cell>
          <cell r="S198">
            <v>1</v>
          </cell>
          <cell r="T198">
            <v>2013</v>
          </cell>
          <cell r="U198">
            <v>8</v>
          </cell>
          <cell r="V198">
            <v>4</v>
          </cell>
        </row>
        <row r="199">
          <cell r="C199" t="str">
            <v>ELI-207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1</v>
          </cell>
          <cell r="Q199">
            <v>1</v>
          </cell>
          <cell r="R199">
            <v>0</v>
          </cell>
          <cell r="S199">
            <v>1</v>
          </cell>
          <cell r="T199">
            <v>2008</v>
          </cell>
          <cell r="U199">
            <v>10</v>
          </cell>
          <cell r="V199">
            <v>4</v>
          </cell>
        </row>
        <row r="200">
          <cell r="C200" t="str">
            <v>ELI-213</v>
          </cell>
          <cell r="D200">
            <v>0</v>
          </cell>
          <cell r="E200">
            <v>0</v>
          </cell>
          <cell r="F200">
            <v>0</v>
          </cell>
          <cell r="G200">
            <v>1</v>
          </cell>
          <cell r="H200">
            <v>0</v>
          </cell>
          <cell r="I200">
            <v>1</v>
          </cell>
          <cell r="J200">
            <v>1</v>
          </cell>
          <cell r="K200">
            <v>0</v>
          </cell>
          <cell r="L200">
            <v>1</v>
          </cell>
          <cell r="M200">
            <v>1</v>
          </cell>
          <cell r="N200">
            <v>1</v>
          </cell>
          <cell r="O200">
            <v>0</v>
          </cell>
          <cell r="P200">
            <v>1</v>
          </cell>
          <cell r="Q200">
            <v>1</v>
          </cell>
          <cell r="R200">
            <v>0</v>
          </cell>
          <cell r="S200">
            <v>1</v>
          </cell>
          <cell r="T200">
            <v>2008</v>
          </cell>
          <cell r="U200">
            <v>10</v>
          </cell>
          <cell r="V200">
            <v>0</v>
          </cell>
        </row>
        <row r="201">
          <cell r="C201" t="str">
            <v>ELI-214</v>
          </cell>
          <cell r="D201">
            <v>0</v>
          </cell>
          <cell r="E201">
            <v>0</v>
          </cell>
          <cell r="F201">
            <v>0</v>
          </cell>
          <cell r="G201">
            <v>1</v>
          </cell>
          <cell r="H201">
            <v>0</v>
          </cell>
          <cell r="I201">
            <v>1</v>
          </cell>
          <cell r="J201">
            <v>1</v>
          </cell>
          <cell r="K201">
            <v>1</v>
          </cell>
          <cell r="L201">
            <v>1</v>
          </cell>
          <cell r="M201">
            <v>1</v>
          </cell>
          <cell r="N201">
            <v>1</v>
          </cell>
          <cell r="O201">
            <v>0</v>
          </cell>
          <cell r="P201">
            <v>1</v>
          </cell>
          <cell r="Q201">
            <v>1</v>
          </cell>
          <cell r="R201">
            <v>0</v>
          </cell>
          <cell r="S201">
            <v>1</v>
          </cell>
          <cell r="T201">
            <v>2008</v>
          </cell>
          <cell r="U201">
            <v>10</v>
          </cell>
          <cell r="V201">
            <v>0</v>
          </cell>
        </row>
        <row r="202">
          <cell r="C202" t="str">
            <v>ELI-216</v>
          </cell>
          <cell r="D202">
            <v>0</v>
          </cell>
          <cell r="E202">
            <v>0</v>
          </cell>
          <cell r="F202">
            <v>0</v>
          </cell>
          <cell r="G202">
            <v>1</v>
          </cell>
          <cell r="H202">
            <v>0</v>
          </cell>
          <cell r="I202">
            <v>1</v>
          </cell>
          <cell r="J202">
            <v>1</v>
          </cell>
          <cell r="K202">
            <v>1</v>
          </cell>
          <cell r="L202">
            <v>1</v>
          </cell>
          <cell r="M202">
            <v>1</v>
          </cell>
          <cell r="N202">
            <v>1</v>
          </cell>
          <cell r="O202">
            <v>0</v>
          </cell>
          <cell r="P202">
            <v>1</v>
          </cell>
          <cell r="Q202">
            <v>1</v>
          </cell>
          <cell r="R202">
            <v>0</v>
          </cell>
          <cell r="S202">
            <v>1</v>
          </cell>
          <cell r="T202">
            <v>2008</v>
          </cell>
          <cell r="U202">
            <v>10</v>
          </cell>
          <cell r="V202">
            <v>2</v>
          </cell>
        </row>
        <row r="203">
          <cell r="C203" t="str">
            <v>ELI-445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1</v>
          </cell>
          <cell r="Q203">
            <v>1</v>
          </cell>
          <cell r="R203">
            <v>1</v>
          </cell>
          <cell r="S203">
            <v>1</v>
          </cell>
          <cell r="T203">
            <v>2011</v>
          </cell>
          <cell r="U203">
            <v>9</v>
          </cell>
          <cell r="V203">
            <v>3</v>
          </cell>
        </row>
        <row r="204">
          <cell r="C204" t="str">
            <v>ELI-267</v>
          </cell>
          <cell r="D204">
            <v>0</v>
          </cell>
          <cell r="E204">
            <v>0</v>
          </cell>
          <cell r="F204">
            <v>0</v>
          </cell>
          <cell r="G204">
            <v>1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1</v>
          </cell>
          <cell r="Q204">
            <v>1</v>
          </cell>
          <cell r="R204">
            <v>0</v>
          </cell>
          <cell r="S204">
            <v>1</v>
          </cell>
          <cell r="T204">
            <v>2009</v>
          </cell>
          <cell r="U204">
            <v>11</v>
          </cell>
          <cell r="V204">
            <v>1</v>
          </cell>
        </row>
        <row r="205">
          <cell r="C205" t="str">
            <v>ELI-563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1</v>
          </cell>
          <cell r="Q205">
            <v>1</v>
          </cell>
          <cell r="R205">
            <v>0</v>
          </cell>
          <cell r="S205">
            <v>1</v>
          </cell>
          <cell r="T205">
            <v>2012</v>
          </cell>
          <cell r="U205">
            <v>10</v>
          </cell>
          <cell r="V205">
            <v>4</v>
          </cell>
        </row>
        <row r="206">
          <cell r="C206" t="str">
            <v>ELI-202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1</v>
          </cell>
          <cell r="Q206">
            <v>1</v>
          </cell>
          <cell r="R206">
            <v>0</v>
          </cell>
          <cell r="S206">
            <v>1</v>
          </cell>
          <cell r="T206">
            <v>2009</v>
          </cell>
          <cell r="U206">
            <v>10</v>
          </cell>
          <cell r="V206">
            <v>4</v>
          </cell>
        </row>
        <row r="207">
          <cell r="C207" t="str">
            <v>ELI-407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1</v>
          </cell>
          <cell r="Q207">
            <v>1</v>
          </cell>
          <cell r="R207">
            <v>0</v>
          </cell>
          <cell r="S207">
            <v>1</v>
          </cell>
          <cell r="T207">
            <v>2010</v>
          </cell>
          <cell r="U207">
            <v>9</v>
          </cell>
          <cell r="V207">
            <v>3</v>
          </cell>
        </row>
        <row r="208">
          <cell r="C208" t="str">
            <v>ELI-175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1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1</v>
          </cell>
          <cell r="T208">
            <v>2008</v>
          </cell>
          <cell r="U208">
            <v>7</v>
          </cell>
          <cell r="V208">
            <v>2</v>
          </cell>
        </row>
        <row r="209">
          <cell r="C209" t="str">
            <v>ELI-562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1</v>
          </cell>
          <cell r="Q209">
            <v>0</v>
          </cell>
          <cell r="R209">
            <v>0</v>
          </cell>
          <cell r="S209">
            <v>1</v>
          </cell>
          <cell r="T209">
            <v>2012</v>
          </cell>
          <cell r="U209">
            <v>7</v>
          </cell>
          <cell r="V209">
            <v>6</v>
          </cell>
        </row>
        <row r="210">
          <cell r="C210" t="str">
            <v>ELI-402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1</v>
          </cell>
          <cell r="Q210">
            <v>1</v>
          </cell>
          <cell r="R210">
            <v>0</v>
          </cell>
          <cell r="S210">
            <v>1</v>
          </cell>
          <cell r="T210">
            <v>2010</v>
          </cell>
          <cell r="U210">
            <v>11</v>
          </cell>
          <cell r="V210">
            <v>3</v>
          </cell>
        </row>
        <row r="211">
          <cell r="C211" t="str">
            <v>ELI-474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</v>
          </cell>
          <cell r="J211">
            <v>0</v>
          </cell>
          <cell r="K211">
            <v>0</v>
          </cell>
          <cell r="L211">
            <v>1</v>
          </cell>
          <cell r="M211">
            <v>1</v>
          </cell>
          <cell r="N211">
            <v>0</v>
          </cell>
          <cell r="O211">
            <v>0</v>
          </cell>
          <cell r="P211">
            <v>1</v>
          </cell>
          <cell r="Q211">
            <v>1</v>
          </cell>
          <cell r="R211">
            <v>0</v>
          </cell>
          <cell r="S211">
            <v>1</v>
          </cell>
          <cell r="T211">
            <v>2011</v>
          </cell>
          <cell r="U211">
            <v>9</v>
          </cell>
          <cell r="V211">
            <v>3</v>
          </cell>
        </row>
        <row r="212">
          <cell r="C212" t="str">
            <v>ELI-234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1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1</v>
          </cell>
          <cell r="Q212">
            <v>1</v>
          </cell>
          <cell r="R212">
            <v>0</v>
          </cell>
          <cell r="S212">
            <v>1</v>
          </cell>
          <cell r="T212">
            <v>2008</v>
          </cell>
          <cell r="U212">
            <v>9</v>
          </cell>
          <cell r="V212">
            <v>2</v>
          </cell>
        </row>
        <row r="213">
          <cell r="C213" t="str">
            <v>ELI-130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</v>
          </cell>
          <cell r="J213">
            <v>0</v>
          </cell>
          <cell r="K213">
            <v>1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1</v>
          </cell>
          <cell r="Q213">
            <v>1</v>
          </cell>
          <cell r="R213">
            <v>0</v>
          </cell>
          <cell r="S213">
            <v>1</v>
          </cell>
          <cell r="T213">
            <v>2008</v>
          </cell>
          <cell r="U213">
            <v>9</v>
          </cell>
          <cell r="V213">
            <v>0</v>
          </cell>
        </row>
        <row r="214">
          <cell r="C214" t="str">
            <v>ELI-699</v>
          </cell>
          <cell r="D214">
            <v>0</v>
          </cell>
          <cell r="E214">
            <v>0</v>
          </cell>
          <cell r="F214">
            <v>0</v>
          </cell>
          <cell r="G214">
            <v>1</v>
          </cell>
          <cell r="H214">
            <v>1</v>
          </cell>
          <cell r="I214">
            <v>0</v>
          </cell>
          <cell r="J214">
            <v>0</v>
          </cell>
          <cell r="K214">
            <v>1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1</v>
          </cell>
          <cell r="Q214">
            <v>1</v>
          </cell>
          <cell r="R214">
            <v>0</v>
          </cell>
          <cell r="S214">
            <v>1</v>
          </cell>
          <cell r="T214">
            <v>2013</v>
          </cell>
          <cell r="U214">
            <v>4</v>
          </cell>
          <cell r="V214">
            <v>3</v>
          </cell>
        </row>
        <row r="215">
          <cell r="C215" t="str">
            <v>ELI-779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1</v>
          </cell>
          <cell r="I215">
            <v>0</v>
          </cell>
          <cell r="J215">
            <v>0</v>
          </cell>
          <cell r="K215">
            <v>1</v>
          </cell>
          <cell r="L215">
            <v>0</v>
          </cell>
          <cell r="M215">
            <v>1</v>
          </cell>
          <cell r="N215">
            <v>1</v>
          </cell>
          <cell r="O215">
            <v>0</v>
          </cell>
          <cell r="P215">
            <v>1</v>
          </cell>
          <cell r="Q215">
            <v>1</v>
          </cell>
          <cell r="R215">
            <v>0</v>
          </cell>
          <cell r="S215">
            <v>1</v>
          </cell>
          <cell r="T215">
            <v>2013</v>
          </cell>
          <cell r="U215">
            <v>5</v>
          </cell>
          <cell r="V215">
            <v>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CC"/>
      <sheetName val="NHK"/>
      <sheetName val="CH"/>
      <sheetName val="LM"/>
      <sheetName val="NS"/>
      <sheetName val="Coa"/>
      <sheetName val="pride covariates"/>
      <sheetName val="allpride"/>
      <sheetName val="2013 SLNP Lion 12 month.inp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Big Pride</v>
          </cell>
          <cell r="B2">
            <v>1</v>
          </cell>
        </row>
        <row r="3">
          <cell r="A3" t="str">
            <v>Chichele</v>
          </cell>
          <cell r="B3">
            <v>1</v>
          </cell>
        </row>
        <row r="4">
          <cell r="A4" t="str">
            <v>Chowo</v>
          </cell>
          <cell r="B4">
            <v>1</v>
          </cell>
        </row>
        <row r="5">
          <cell r="A5" t="str">
            <v>Nsefu</v>
          </cell>
          <cell r="B5">
            <v>1</v>
          </cell>
        </row>
        <row r="6">
          <cell r="A6" t="str">
            <v>Hot Springs</v>
          </cell>
          <cell r="B6">
            <v>1</v>
          </cell>
        </row>
        <row r="7">
          <cell r="A7" t="str">
            <v>Kapamba</v>
          </cell>
          <cell r="B7">
            <v>0</v>
          </cell>
        </row>
        <row r="8">
          <cell r="A8" t="str">
            <v>Hollywood</v>
          </cell>
          <cell r="B8">
            <v>0</v>
          </cell>
        </row>
        <row r="9">
          <cell r="A9" t="str">
            <v>Mwamba I</v>
          </cell>
          <cell r="B9">
            <v>1</v>
          </cell>
        </row>
        <row r="10">
          <cell r="A10" t="str">
            <v>Mwamba II</v>
          </cell>
          <cell r="B10">
            <v>0</v>
          </cell>
        </row>
        <row r="11">
          <cell r="A11" t="str">
            <v>Chamilandu</v>
          </cell>
          <cell r="B11">
            <v>0</v>
          </cell>
        </row>
        <row r="12">
          <cell r="A12" t="str">
            <v>Luwi</v>
          </cell>
          <cell r="B12">
            <v>1</v>
          </cell>
        </row>
        <row r="13">
          <cell r="A13" t="str">
            <v>Nsolo</v>
          </cell>
          <cell r="B13">
            <v>1</v>
          </cell>
        </row>
        <row r="14">
          <cell r="A14" t="str">
            <v>Nsolo 2</v>
          </cell>
          <cell r="B14">
            <v>1</v>
          </cell>
        </row>
        <row r="15">
          <cell r="A15" t="str">
            <v>Saltpan</v>
          </cell>
          <cell r="B15">
            <v>0</v>
          </cell>
        </row>
        <row r="16">
          <cell r="A16" t="str">
            <v>Saltpan COA</v>
          </cell>
          <cell r="B16">
            <v>0</v>
          </cell>
        </row>
        <row r="17">
          <cell r="A17" t="str">
            <v>Big Pride COA</v>
          </cell>
          <cell r="B17">
            <v>0</v>
          </cell>
        </row>
        <row r="18">
          <cell r="A18" t="str">
            <v>Mwamba COA</v>
          </cell>
          <cell r="B18">
            <v>0</v>
          </cell>
        </row>
        <row r="19">
          <cell r="A19" t="str">
            <v>Tafika COA</v>
          </cell>
          <cell r="B19">
            <v>0</v>
          </cell>
        </row>
        <row r="20">
          <cell r="A20" t="str">
            <v>Tsetse COA</v>
          </cell>
          <cell r="B20">
            <v>0</v>
          </cell>
        </row>
        <row r="21">
          <cell r="A21" t="str">
            <v>Tafika 2 COA</v>
          </cell>
          <cell r="B21">
            <v>0</v>
          </cell>
        </row>
        <row r="22">
          <cell r="A22" t="str">
            <v>Nsolo I COA</v>
          </cell>
          <cell r="B22">
            <v>0</v>
          </cell>
        </row>
        <row r="23">
          <cell r="A23" t="str">
            <v>Nsolo II COA</v>
          </cell>
          <cell r="B23">
            <v>0</v>
          </cell>
        </row>
        <row r="24">
          <cell r="A24" t="str">
            <v>Puku Ridge COA</v>
          </cell>
          <cell r="B24">
            <v>0</v>
          </cell>
        </row>
        <row r="25">
          <cell r="A25" t="str">
            <v>Malama COA</v>
          </cell>
          <cell r="B25">
            <v>0</v>
          </cell>
        </row>
        <row r="26">
          <cell r="A26" t="str">
            <v>Scarface COA</v>
          </cell>
          <cell r="B26">
            <v>0</v>
          </cell>
        </row>
        <row r="27">
          <cell r="A27" t="str">
            <v>Kakonje COA</v>
          </cell>
          <cell r="B27">
            <v>0</v>
          </cell>
        </row>
        <row r="28">
          <cell r="A28" t="str">
            <v>Lion Plain COA</v>
          </cell>
          <cell r="B28">
            <v>1</v>
          </cell>
        </row>
        <row r="29">
          <cell r="A29" t="str">
            <v>Luamfwa COA</v>
          </cell>
          <cell r="B29">
            <v>0</v>
          </cell>
        </row>
        <row r="30">
          <cell r="A30" t="str">
            <v>Limpy COA</v>
          </cell>
          <cell r="B30">
            <v>0</v>
          </cell>
        </row>
        <row r="31">
          <cell r="A31" t="str">
            <v>Shak COA</v>
          </cell>
          <cell r="B31">
            <v>0</v>
          </cell>
        </row>
        <row r="32">
          <cell r="A32" t="str">
            <v>Zikomo COA</v>
          </cell>
          <cell r="B32">
            <v>0</v>
          </cell>
        </row>
        <row r="33">
          <cell r="A33" t="str">
            <v>New Luwi COA</v>
          </cell>
          <cell r="B33">
            <v>0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opLeftCell="A13" zoomScale="90" zoomScaleNormal="90" zoomScaleSheetLayoutView="70" zoomScalePageLayoutView="90" workbookViewId="0">
      <selection activeCell="A65" sqref="A65:N67"/>
    </sheetView>
  </sheetViews>
  <sheetFormatPr defaultColWidth="9.21875" defaultRowHeight="11.1" customHeight="1" x14ac:dyDescent="0.3"/>
  <cols>
    <col min="1" max="1" width="28.77734375" style="17" customWidth="1"/>
    <col min="2" max="2" width="9.77734375" style="17" bestFit="1" customWidth="1"/>
    <col min="3" max="3" width="7.44140625" style="17" customWidth="1"/>
    <col min="4" max="4" width="5.77734375" style="17" customWidth="1"/>
    <col min="5" max="5" width="5.21875" style="17" customWidth="1"/>
    <col min="6" max="6" width="5.44140625" style="17" customWidth="1"/>
    <col min="7" max="7" width="6.77734375" style="17" customWidth="1"/>
    <col min="8" max="8" width="7.44140625" style="126" customWidth="1"/>
    <col min="9" max="9" width="7.21875" style="126" customWidth="1"/>
    <col min="10" max="10" width="5.77734375" style="17" customWidth="1"/>
    <col min="11" max="11" width="6.44140625" style="17" customWidth="1"/>
    <col min="12" max="12" width="6.77734375" style="17" customWidth="1"/>
    <col min="13" max="13" width="6" style="17" customWidth="1"/>
    <col min="14" max="14" width="5.77734375" style="17" customWidth="1"/>
    <col min="15" max="15" width="9.21875" style="4" customWidth="1"/>
    <col min="16" max="16384" width="9.21875" style="4"/>
  </cols>
  <sheetData>
    <row r="1" spans="1:14" ht="15.75" customHeight="1" thickBot="1" x14ac:dyDescent="0.35">
      <c r="A1" s="24"/>
      <c r="B1" s="25"/>
      <c r="C1" s="60" t="s">
        <v>37</v>
      </c>
      <c r="D1" s="65" t="s">
        <v>38</v>
      </c>
      <c r="E1" s="65" t="s">
        <v>39</v>
      </c>
      <c r="F1" s="66" t="s">
        <v>40</v>
      </c>
      <c r="G1" s="65" t="s">
        <v>36</v>
      </c>
      <c r="H1" s="118" t="s">
        <v>41</v>
      </c>
      <c r="I1" s="119" t="s">
        <v>42</v>
      </c>
      <c r="J1" s="67" t="s">
        <v>43</v>
      </c>
      <c r="K1" s="67" t="s">
        <v>44</v>
      </c>
      <c r="L1" s="67" t="s">
        <v>45</v>
      </c>
      <c r="M1" s="65" t="s">
        <v>46</v>
      </c>
      <c r="N1" s="67" t="s">
        <v>47</v>
      </c>
    </row>
    <row r="2" spans="1:14" ht="15.75" customHeight="1" thickBot="1" x14ac:dyDescent="0.35">
      <c r="A2" s="29" t="s">
        <v>0</v>
      </c>
      <c r="B2" s="31" t="s">
        <v>1</v>
      </c>
      <c r="C2" s="2"/>
      <c r="D2" s="2"/>
      <c r="E2" s="2"/>
      <c r="F2" s="2"/>
      <c r="G2" s="2"/>
      <c r="H2" s="120"/>
      <c r="I2" s="120"/>
      <c r="J2" s="75"/>
      <c r="K2" s="2"/>
      <c r="L2" s="2"/>
      <c r="M2" s="21"/>
      <c r="N2" s="74"/>
    </row>
    <row r="3" spans="1:14" ht="15.75" customHeight="1" thickBot="1" x14ac:dyDescent="0.35">
      <c r="A3" s="44" t="s">
        <v>48</v>
      </c>
      <c r="B3" s="44" t="s">
        <v>66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121">
        <v>0</v>
      </c>
      <c r="I3" s="121">
        <v>0</v>
      </c>
      <c r="J3" s="76">
        <v>0</v>
      </c>
      <c r="K3" s="7">
        <v>0</v>
      </c>
      <c r="L3" s="7">
        <v>0</v>
      </c>
      <c r="M3" s="7">
        <v>0</v>
      </c>
      <c r="N3" s="74">
        <v>0</v>
      </c>
    </row>
    <row r="4" spans="1:14" ht="15.75" customHeight="1" thickBot="1" x14ac:dyDescent="0.35">
      <c r="A4" s="44" t="s">
        <v>49</v>
      </c>
      <c r="B4" s="44" t="s">
        <v>67</v>
      </c>
      <c r="C4" s="7">
        <v>0</v>
      </c>
      <c r="D4" s="7">
        <v>0</v>
      </c>
      <c r="E4" s="7">
        <v>0</v>
      </c>
      <c r="F4" s="7">
        <v>1</v>
      </c>
      <c r="G4" s="7">
        <v>0</v>
      </c>
      <c r="H4" s="121">
        <v>1</v>
      </c>
      <c r="I4" s="121">
        <v>0</v>
      </c>
      <c r="J4" s="76">
        <v>1</v>
      </c>
      <c r="K4" s="7">
        <v>0</v>
      </c>
      <c r="L4" s="7">
        <v>0</v>
      </c>
      <c r="M4" s="7">
        <v>0</v>
      </c>
      <c r="N4" s="74">
        <v>0</v>
      </c>
    </row>
    <row r="5" spans="1:14" ht="15.75" customHeight="1" thickBot="1" x14ac:dyDescent="0.35">
      <c r="A5" s="44" t="s">
        <v>50</v>
      </c>
      <c r="B5" s="44" t="s">
        <v>68</v>
      </c>
      <c r="C5" s="7">
        <v>0</v>
      </c>
      <c r="D5" s="7">
        <v>0</v>
      </c>
      <c r="E5" s="7">
        <v>0</v>
      </c>
      <c r="F5" s="7">
        <v>1</v>
      </c>
      <c r="G5" s="7">
        <v>1</v>
      </c>
      <c r="H5" s="121">
        <v>1</v>
      </c>
      <c r="I5" s="121">
        <v>1</v>
      </c>
      <c r="J5" s="76">
        <v>1</v>
      </c>
      <c r="K5" s="7">
        <v>1</v>
      </c>
      <c r="L5" s="7">
        <v>1</v>
      </c>
      <c r="M5" s="7">
        <v>1</v>
      </c>
      <c r="N5" s="74">
        <v>0</v>
      </c>
    </row>
    <row r="6" spans="1:14" ht="15.75" customHeight="1" thickBot="1" x14ac:dyDescent="0.35">
      <c r="A6" s="44" t="s">
        <v>51</v>
      </c>
      <c r="B6" s="44" t="s">
        <v>69</v>
      </c>
      <c r="C6" s="7">
        <v>0</v>
      </c>
      <c r="D6" s="7">
        <v>0</v>
      </c>
      <c r="E6" s="7">
        <v>0</v>
      </c>
      <c r="F6" s="7">
        <v>1</v>
      </c>
      <c r="G6" s="7">
        <v>1</v>
      </c>
      <c r="H6" s="121">
        <v>1</v>
      </c>
      <c r="I6" s="121">
        <v>1</v>
      </c>
      <c r="J6" s="76">
        <v>1</v>
      </c>
      <c r="K6" s="7">
        <v>1</v>
      </c>
      <c r="L6" s="7">
        <v>1</v>
      </c>
      <c r="M6" s="7">
        <v>1</v>
      </c>
      <c r="N6" s="74">
        <v>0</v>
      </c>
    </row>
    <row r="7" spans="1:14" s="10" customFormat="1" ht="15.75" customHeight="1" thickBot="1" x14ac:dyDescent="0.35">
      <c r="A7" s="44" t="s">
        <v>52</v>
      </c>
      <c r="B7" s="44" t="s">
        <v>70</v>
      </c>
      <c r="C7" s="7">
        <v>0</v>
      </c>
      <c r="D7" s="7">
        <v>0</v>
      </c>
      <c r="E7" s="7">
        <v>0</v>
      </c>
      <c r="F7" s="7">
        <v>1</v>
      </c>
      <c r="G7" s="7">
        <v>1</v>
      </c>
      <c r="H7" s="121">
        <v>1</v>
      </c>
      <c r="I7" s="121">
        <v>1</v>
      </c>
      <c r="J7" s="76">
        <v>1</v>
      </c>
      <c r="K7" s="7">
        <v>1</v>
      </c>
      <c r="L7" s="7">
        <v>1</v>
      </c>
      <c r="M7" s="7">
        <v>1</v>
      </c>
      <c r="N7" s="74">
        <v>0</v>
      </c>
    </row>
    <row r="8" spans="1:14" s="16" customFormat="1" ht="15.75" customHeight="1" thickBot="1" x14ac:dyDescent="0.35">
      <c r="A8" s="44" t="s">
        <v>53</v>
      </c>
      <c r="B8" s="44" t="s">
        <v>71</v>
      </c>
      <c r="C8" s="7">
        <v>0</v>
      </c>
      <c r="D8" s="7">
        <v>0</v>
      </c>
      <c r="E8" s="7">
        <v>0</v>
      </c>
      <c r="F8" s="7">
        <v>1</v>
      </c>
      <c r="G8" s="7">
        <v>1</v>
      </c>
      <c r="H8" s="121">
        <v>1</v>
      </c>
      <c r="I8" s="121">
        <v>1</v>
      </c>
      <c r="J8" s="76">
        <v>1</v>
      </c>
      <c r="K8" s="7">
        <v>1</v>
      </c>
      <c r="L8" s="7">
        <v>1</v>
      </c>
      <c r="M8" s="7">
        <v>1</v>
      </c>
      <c r="N8" s="74">
        <v>0</v>
      </c>
    </row>
    <row r="9" spans="1:14" s="16" customFormat="1" ht="15.75" customHeight="1" thickBot="1" x14ac:dyDescent="0.35">
      <c r="A9" s="44" t="s">
        <v>339</v>
      </c>
      <c r="B9" s="44" t="s">
        <v>333</v>
      </c>
      <c r="C9" s="7">
        <v>0</v>
      </c>
      <c r="D9" s="7">
        <v>0</v>
      </c>
      <c r="E9" s="7">
        <v>0</v>
      </c>
      <c r="F9" s="7">
        <v>1</v>
      </c>
      <c r="G9" s="7">
        <v>1</v>
      </c>
      <c r="H9" s="121">
        <v>1</v>
      </c>
      <c r="I9" s="121">
        <v>1</v>
      </c>
      <c r="J9" s="76">
        <v>1</v>
      </c>
      <c r="K9" s="7">
        <v>1</v>
      </c>
      <c r="L9" s="7">
        <v>1</v>
      </c>
      <c r="M9" s="7">
        <v>1</v>
      </c>
      <c r="N9" s="74">
        <v>0</v>
      </c>
    </row>
    <row r="10" spans="1:14" s="16" customFormat="1" ht="15.75" customHeight="1" thickBot="1" x14ac:dyDescent="0.35">
      <c r="A10" s="44" t="s">
        <v>340</v>
      </c>
      <c r="B10" s="44" t="s">
        <v>334</v>
      </c>
      <c r="C10" s="7">
        <v>0</v>
      </c>
      <c r="D10" s="7">
        <v>0</v>
      </c>
      <c r="E10" s="7">
        <v>0</v>
      </c>
      <c r="F10" s="7">
        <v>0</v>
      </c>
      <c r="G10" s="7">
        <v>0</v>
      </c>
      <c r="H10" s="121">
        <v>0</v>
      </c>
      <c r="I10" s="121">
        <v>0</v>
      </c>
      <c r="J10" s="76">
        <v>0</v>
      </c>
      <c r="K10" s="7">
        <v>0</v>
      </c>
      <c r="L10" s="7">
        <v>0</v>
      </c>
      <c r="M10" s="7">
        <v>0</v>
      </c>
      <c r="N10" s="74">
        <v>0</v>
      </c>
    </row>
    <row r="11" spans="1:14" s="16" customFormat="1" ht="15.75" customHeight="1" thickBot="1" x14ac:dyDescent="0.35">
      <c r="A11" s="44" t="s">
        <v>341</v>
      </c>
      <c r="B11" s="44" t="s">
        <v>335</v>
      </c>
      <c r="C11" s="7">
        <v>0</v>
      </c>
      <c r="D11" s="7">
        <v>0</v>
      </c>
      <c r="E11" s="7">
        <v>0</v>
      </c>
      <c r="F11" s="7">
        <v>1</v>
      </c>
      <c r="G11" s="7">
        <v>1</v>
      </c>
      <c r="H11" s="121">
        <v>1</v>
      </c>
      <c r="I11" s="121">
        <v>1</v>
      </c>
      <c r="J11" s="76">
        <v>1</v>
      </c>
      <c r="K11" s="7">
        <v>1</v>
      </c>
      <c r="L11" s="7">
        <v>1</v>
      </c>
      <c r="M11" s="7">
        <v>1</v>
      </c>
      <c r="N11" s="74">
        <v>0</v>
      </c>
    </row>
    <row r="12" spans="1:14" s="16" customFormat="1" ht="15.75" customHeight="1" thickBot="1" x14ac:dyDescent="0.35">
      <c r="A12" s="44" t="s">
        <v>342</v>
      </c>
      <c r="B12" s="44" t="s">
        <v>336</v>
      </c>
      <c r="C12" s="7">
        <v>0</v>
      </c>
      <c r="D12" s="7">
        <v>0</v>
      </c>
      <c r="E12" s="7">
        <v>0</v>
      </c>
      <c r="F12" s="7">
        <v>1</v>
      </c>
      <c r="G12" s="7">
        <v>1</v>
      </c>
      <c r="H12" s="121">
        <v>1</v>
      </c>
      <c r="I12" s="121">
        <v>1</v>
      </c>
      <c r="J12" s="76">
        <v>1</v>
      </c>
      <c r="K12" s="7">
        <v>1</v>
      </c>
      <c r="L12" s="7">
        <v>1</v>
      </c>
      <c r="M12" s="7">
        <v>1</v>
      </c>
      <c r="N12" s="74">
        <v>0</v>
      </c>
    </row>
    <row r="13" spans="1:14" s="16" customFormat="1" ht="15.75" customHeight="1" thickBot="1" x14ac:dyDescent="0.35">
      <c r="A13" s="44" t="s">
        <v>343</v>
      </c>
      <c r="B13" s="44" t="s">
        <v>337</v>
      </c>
      <c r="C13" s="7">
        <v>0</v>
      </c>
      <c r="D13" s="7">
        <v>0</v>
      </c>
      <c r="E13" s="7">
        <v>0</v>
      </c>
      <c r="F13" s="7">
        <v>1</v>
      </c>
      <c r="G13" s="7">
        <v>1</v>
      </c>
      <c r="H13" s="121">
        <v>1</v>
      </c>
      <c r="I13" s="121">
        <v>1</v>
      </c>
      <c r="J13" s="76">
        <v>1</v>
      </c>
      <c r="K13" s="7">
        <v>1</v>
      </c>
      <c r="L13" s="7">
        <v>1</v>
      </c>
      <c r="M13" s="7">
        <v>1</v>
      </c>
      <c r="N13" s="74">
        <v>0</v>
      </c>
    </row>
    <row r="14" spans="1:14" s="16" customFormat="1" ht="15.75" customHeight="1" thickBot="1" x14ac:dyDescent="0.35">
      <c r="A14" s="44" t="s">
        <v>344</v>
      </c>
      <c r="B14" s="44" t="s">
        <v>338</v>
      </c>
      <c r="C14" s="7">
        <v>0</v>
      </c>
      <c r="D14" s="7">
        <v>0</v>
      </c>
      <c r="E14" s="7">
        <v>0</v>
      </c>
      <c r="F14" s="7">
        <v>1</v>
      </c>
      <c r="G14" s="7">
        <v>1</v>
      </c>
      <c r="H14" s="121">
        <v>1</v>
      </c>
      <c r="I14" s="121">
        <v>1</v>
      </c>
      <c r="J14" s="76">
        <v>1</v>
      </c>
      <c r="K14" s="7">
        <v>1</v>
      </c>
      <c r="L14" s="7">
        <v>1</v>
      </c>
      <c r="M14" s="7">
        <v>1</v>
      </c>
      <c r="N14" s="74">
        <v>0</v>
      </c>
    </row>
    <row r="15" spans="1:14" ht="15.75" customHeight="1" thickBot="1" x14ac:dyDescent="0.35">
      <c r="A15" s="44" t="s">
        <v>54</v>
      </c>
      <c r="B15" s="44" t="s">
        <v>72</v>
      </c>
      <c r="C15" s="7">
        <v>0</v>
      </c>
      <c r="D15" s="7">
        <v>1</v>
      </c>
      <c r="E15" s="7">
        <v>0</v>
      </c>
      <c r="F15" s="7">
        <v>1</v>
      </c>
      <c r="G15" s="7">
        <v>1</v>
      </c>
      <c r="H15" s="121">
        <v>1</v>
      </c>
      <c r="I15" s="121">
        <v>1</v>
      </c>
      <c r="J15" s="76">
        <v>1</v>
      </c>
      <c r="K15" s="7">
        <v>1</v>
      </c>
      <c r="L15" s="7">
        <v>1</v>
      </c>
      <c r="M15" s="7">
        <v>1</v>
      </c>
      <c r="N15" s="74">
        <v>0</v>
      </c>
    </row>
    <row r="16" spans="1:14" ht="15.75" customHeight="1" thickBot="1" x14ac:dyDescent="0.35">
      <c r="A16" s="44" t="s">
        <v>55</v>
      </c>
      <c r="B16" s="44" t="s">
        <v>73</v>
      </c>
      <c r="C16" s="7">
        <v>0</v>
      </c>
      <c r="D16" s="7">
        <v>1</v>
      </c>
      <c r="E16" s="7">
        <v>0</v>
      </c>
      <c r="F16" s="7">
        <v>1</v>
      </c>
      <c r="G16" s="7">
        <v>1</v>
      </c>
      <c r="H16" s="121">
        <v>1</v>
      </c>
      <c r="I16" s="121">
        <v>0</v>
      </c>
      <c r="J16" s="76">
        <v>1</v>
      </c>
      <c r="K16" s="7">
        <v>0</v>
      </c>
      <c r="L16" s="7">
        <v>1</v>
      </c>
      <c r="M16" s="7">
        <v>1</v>
      </c>
      <c r="N16" s="74">
        <v>0</v>
      </c>
    </row>
    <row r="17" spans="1:14" ht="15.75" customHeight="1" thickBot="1" x14ac:dyDescent="0.35">
      <c r="A17" s="44" t="s">
        <v>56</v>
      </c>
      <c r="B17" s="44" t="s">
        <v>74</v>
      </c>
      <c r="C17" s="7">
        <v>0</v>
      </c>
      <c r="D17" s="7">
        <v>0</v>
      </c>
      <c r="E17" s="7">
        <v>0</v>
      </c>
      <c r="F17" s="7">
        <v>0</v>
      </c>
      <c r="G17" s="7">
        <v>1</v>
      </c>
      <c r="H17" s="121">
        <v>0</v>
      </c>
      <c r="I17" s="121">
        <v>0</v>
      </c>
      <c r="J17" s="76">
        <v>0</v>
      </c>
      <c r="K17" s="7">
        <v>0</v>
      </c>
      <c r="L17" s="7">
        <v>0</v>
      </c>
      <c r="M17" s="7">
        <v>0</v>
      </c>
      <c r="N17" s="74">
        <v>0</v>
      </c>
    </row>
    <row r="18" spans="1:14" ht="15.75" customHeight="1" thickBot="1" x14ac:dyDescent="0.35">
      <c r="A18" s="44" t="s">
        <v>57</v>
      </c>
      <c r="B18" s="44" t="s">
        <v>75</v>
      </c>
      <c r="C18" s="7">
        <v>0</v>
      </c>
      <c r="D18" s="7">
        <v>0</v>
      </c>
      <c r="E18" s="7">
        <v>0</v>
      </c>
      <c r="F18" s="7">
        <v>1</v>
      </c>
      <c r="G18" s="7">
        <v>0</v>
      </c>
      <c r="H18" s="121">
        <v>0</v>
      </c>
      <c r="I18" s="121">
        <v>0</v>
      </c>
      <c r="J18" s="76">
        <v>0</v>
      </c>
      <c r="K18" s="7">
        <v>1</v>
      </c>
      <c r="L18" s="7">
        <v>1</v>
      </c>
      <c r="M18" s="7">
        <v>1</v>
      </c>
      <c r="N18" s="74">
        <v>0</v>
      </c>
    </row>
    <row r="19" spans="1:14" ht="15.75" customHeight="1" thickBot="1" x14ac:dyDescent="0.35">
      <c r="A19" s="44" t="s">
        <v>58</v>
      </c>
      <c r="B19" s="44" t="s">
        <v>76</v>
      </c>
      <c r="C19" s="7">
        <v>0</v>
      </c>
      <c r="D19" s="7">
        <v>0</v>
      </c>
      <c r="E19" s="7">
        <v>0</v>
      </c>
      <c r="F19" s="7">
        <v>1</v>
      </c>
      <c r="G19" s="7">
        <v>1</v>
      </c>
      <c r="H19" s="121">
        <v>0</v>
      </c>
      <c r="I19" s="121">
        <v>0</v>
      </c>
      <c r="J19" s="76">
        <v>0</v>
      </c>
      <c r="K19" s="7">
        <v>1</v>
      </c>
      <c r="L19" s="7">
        <v>1</v>
      </c>
      <c r="M19" s="7">
        <v>1</v>
      </c>
      <c r="N19" s="74">
        <v>0</v>
      </c>
    </row>
    <row r="20" spans="1:14" ht="15.75" customHeight="1" thickBot="1" x14ac:dyDescent="0.35">
      <c r="A20" s="44" t="s">
        <v>59</v>
      </c>
      <c r="B20" s="44" t="s">
        <v>77</v>
      </c>
      <c r="C20" s="7">
        <v>0</v>
      </c>
      <c r="D20" s="7">
        <v>0</v>
      </c>
      <c r="E20" s="7">
        <v>0</v>
      </c>
      <c r="F20" s="7">
        <v>1</v>
      </c>
      <c r="G20" s="7">
        <v>1</v>
      </c>
      <c r="H20" s="121">
        <v>1</v>
      </c>
      <c r="I20" s="121">
        <v>1</v>
      </c>
      <c r="J20" s="76">
        <v>1</v>
      </c>
      <c r="K20" s="7">
        <v>1</v>
      </c>
      <c r="L20" s="7">
        <v>1</v>
      </c>
      <c r="M20" s="7">
        <v>1</v>
      </c>
      <c r="N20" s="74">
        <v>0</v>
      </c>
    </row>
    <row r="21" spans="1:14" ht="15.75" customHeight="1" thickBot="1" x14ac:dyDescent="0.35">
      <c r="A21" s="44" t="s">
        <v>60</v>
      </c>
      <c r="B21" s="44" t="s">
        <v>78</v>
      </c>
      <c r="C21" s="7">
        <v>0</v>
      </c>
      <c r="D21" s="7">
        <v>0</v>
      </c>
      <c r="E21" s="7">
        <v>0</v>
      </c>
      <c r="F21" s="7">
        <v>1</v>
      </c>
      <c r="G21" s="7">
        <v>1</v>
      </c>
      <c r="H21" s="121">
        <v>1</v>
      </c>
      <c r="I21" s="121">
        <v>1</v>
      </c>
      <c r="J21" s="76">
        <v>1</v>
      </c>
      <c r="K21" s="7">
        <v>1</v>
      </c>
      <c r="L21" s="7">
        <v>1</v>
      </c>
      <c r="M21" s="7">
        <v>1</v>
      </c>
      <c r="N21" s="74">
        <v>0</v>
      </c>
    </row>
    <row r="22" spans="1:14" ht="15.75" customHeight="1" thickBot="1" x14ac:dyDescent="0.35">
      <c r="A22" s="44" t="s">
        <v>61</v>
      </c>
      <c r="B22" s="44" t="s">
        <v>79</v>
      </c>
      <c r="C22" s="7">
        <v>0</v>
      </c>
      <c r="D22" s="7">
        <v>0</v>
      </c>
      <c r="E22" s="7">
        <v>0</v>
      </c>
      <c r="F22" s="7">
        <v>1</v>
      </c>
      <c r="G22" s="7">
        <v>1</v>
      </c>
      <c r="H22" s="121">
        <v>1</v>
      </c>
      <c r="I22" s="121">
        <v>1</v>
      </c>
      <c r="J22" s="76">
        <v>1</v>
      </c>
      <c r="K22" s="7">
        <v>1</v>
      </c>
      <c r="L22" s="7">
        <v>1</v>
      </c>
      <c r="M22" s="7">
        <v>1</v>
      </c>
      <c r="N22" s="74">
        <v>0</v>
      </c>
    </row>
    <row r="23" spans="1:14" ht="15.75" customHeight="1" thickBot="1" x14ac:dyDescent="0.35">
      <c r="A23" s="44" t="s">
        <v>62</v>
      </c>
      <c r="B23" s="44" t="s">
        <v>81</v>
      </c>
      <c r="C23" s="7">
        <v>0</v>
      </c>
      <c r="D23" s="7">
        <v>0</v>
      </c>
      <c r="E23" s="7">
        <v>0</v>
      </c>
      <c r="F23" s="7">
        <v>1</v>
      </c>
      <c r="G23" s="7">
        <v>1</v>
      </c>
      <c r="H23" s="121">
        <v>1</v>
      </c>
      <c r="I23" s="121">
        <v>1</v>
      </c>
      <c r="J23" s="76">
        <v>1</v>
      </c>
      <c r="K23" s="7">
        <v>1</v>
      </c>
      <c r="L23" s="7">
        <v>1</v>
      </c>
      <c r="M23" s="7">
        <v>1</v>
      </c>
      <c r="N23" s="74">
        <v>0</v>
      </c>
    </row>
    <row r="24" spans="1:14" ht="15.75" customHeight="1" thickBot="1" x14ac:dyDescent="0.35">
      <c r="A24" s="44" t="s">
        <v>63</v>
      </c>
      <c r="B24" s="44" t="s">
        <v>83</v>
      </c>
      <c r="C24" s="7">
        <v>0</v>
      </c>
      <c r="D24" s="7">
        <v>0</v>
      </c>
      <c r="E24" s="7">
        <v>0</v>
      </c>
      <c r="F24" s="7">
        <v>0</v>
      </c>
      <c r="G24" s="7">
        <v>0</v>
      </c>
      <c r="H24" s="121">
        <v>0</v>
      </c>
      <c r="I24" s="121">
        <v>0</v>
      </c>
      <c r="J24" s="76">
        <v>0</v>
      </c>
      <c r="K24" s="7">
        <v>0</v>
      </c>
      <c r="L24" s="7">
        <v>0</v>
      </c>
      <c r="M24" s="7">
        <v>0</v>
      </c>
      <c r="N24" s="74">
        <v>0</v>
      </c>
    </row>
    <row r="25" spans="1:14" ht="15.75" customHeight="1" thickBot="1" x14ac:dyDescent="0.35">
      <c r="A25" s="44" t="s">
        <v>64</v>
      </c>
      <c r="B25" s="44" t="s">
        <v>84</v>
      </c>
      <c r="C25" s="7">
        <v>0</v>
      </c>
      <c r="D25" s="7">
        <v>0</v>
      </c>
      <c r="E25" s="7">
        <v>0</v>
      </c>
      <c r="F25" s="7">
        <v>0</v>
      </c>
      <c r="G25" s="7">
        <v>0</v>
      </c>
      <c r="H25" s="121">
        <v>0</v>
      </c>
      <c r="I25" s="121">
        <v>0</v>
      </c>
      <c r="J25" s="76">
        <v>0</v>
      </c>
      <c r="K25" s="7">
        <v>0</v>
      </c>
      <c r="L25" s="7">
        <v>0</v>
      </c>
      <c r="M25" s="7">
        <v>0</v>
      </c>
      <c r="N25" s="74">
        <v>0</v>
      </c>
    </row>
    <row r="26" spans="1:14" ht="15.75" customHeight="1" thickBot="1" x14ac:dyDescent="0.35">
      <c r="A26" s="50" t="s">
        <v>65</v>
      </c>
      <c r="B26" s="50" t="s">
        <v>85</v>
      </c>
      <c r="C26" s="101">
        <v>0</v>
      </c>
      <c r="D26" s="101">
        <v>0</v>
      </c>
      <c r="E26" s="101">
        <v>0</v>
      </c>
      <c r="F26" s="101">
        <v>0</v>
      </c>
      <c r="G26" s="101">
        <v>0</v>
      </c>
      <c r="H26" s="122">
        <v>0</v>
      </c>
      <c r="I26" s="122">
        <v>0</v>
      </c>
      <c r="J26" s="101">
        <v>0</v>
      </c>
      <c r="K26" s="101">
        <v>0</v>
      </c>
      <c r="L26" s="101">
        <v>0</v>
      </c>
      <c r="M26" s="101">
        <v>0</v>
      </c>
      <c r="N26" s="102">
        <v>0</v>
      </c>
    </row>
    <row r="27" spans="1:14" ht="15.75" customHeight="1" thickBot="1" x14ac:dyDescent="0.35">
      <c r="A27" s="44" t="s">
        <v>406</v>
      </c>
      <c r="B27" s="44" t="s">
        <v>401</v>
      </c>
      <c r="C27" s="101">
        <v>0</v>
      </c>
      <c r="D27" s="101">
        <v>0</v>
      </c>
      <c r="E27" s="101">
        <v>0</v>
      </c>
      <c r="F27" s="101">
        <v>1</v>
      </c>
      <c r="G27" s="101">
        <v>0</v>
      </c>
      <c r="H27" s="122">
        <v>0</v>
      </c>
      <c r="I27" s="122">
        <v>0</v>
      </c>
      <c r="J27" s="101">
        <v>0</v>
      </c>
      <c r="K27" s="3">
        <v>1</v>
      </c>
      <c r="L27" s="3">
        <v>1</v>
      </c>
      <c r="M27" s="3">
        <v>1</v>
      </c>
      <c r="N27" s="102">
        <v>0</v>
      </c>
    </row>
    <row r="28" spans="1:14" ht="15.75" customHeight="1" thickBot="1" x14ac:dyDescent="0.35">
      <c r="A28" s="44" t="s">
        <v>407</v>
      </c>
      <c r="B28" s="44" t="s">
        <v>402</v>
      </c>
      <c r="C28" s="101">
        <v>0</v>
      </c>
      <c r="D28" s="101">
        <v>0</v>
      </c>
      <c r="E28" s="101">
        <v>0</v>
      </c>
      <c r="F28" s="101">
        <v>1</v>
      </c>
      <c r="G28" s="101">
        <v>0</v>
      </c>
      <c r="H28" s="122">
        <v>0</v>
      </c>
      <c r="I28" s="122">
        <v>0</v>
      </c>
      <c r="J28" s="101">
        <v>0</v>
      </c>
      <c r="K28" s="3">
        <v>1</v>
      </c>
      <c r="L28" s="3">
        <v>1</v>
      </c>
      <c r="M28" s="3">
        <v>1</v>
      </c>
      <c r="N28" s="102">
        <v>0</v>
      </c>
    </row>
    <row r="29" spans="1:14" ht="15.75" customHeight="1" thickBot="1" x14ac:dyDescent="0.35">
      <c r="A29" s="44" t="s">
        <v>408</v>
      </c>
      <c r="B29" s="44" t="s">
        <v>403</v>
      </c>
      <c r="C29" s="101">
        <v>0</v>
      </c>
      <c r="D29" s="101">
        <v>0</v>
      </c>
      <c r="E29" s="101">
        <v>0</v>
      </c>
      <c r="F29" s="101">
        <v>1</v>
      </c>
      <c r="G29" s="101">
        <v>0</v>
      </c>
      <c r="H29" s="122">
        <v>0</v>
      </c>
      <c r="I29" s="122">
        <v>0</v>
      </c>
      <c r="J29" s="101">
        <v>0</v>
      </c>
      <c r="K29" s="3">
        <v>1</v>
      </c>
      <c r="L29" s="3">
        <v>1</v>
      </c>
      <c r="M29" s="3">
        <v>1</v>
      </c>
      <c r="N29" s="102">
        <v>0</v>
      </c>
    </row>
    <row r="30" spans="1:14" ht="15.75" customHeight="1" x14ac:dyDescent="0.3">
      <c r="A30" s="44" t="s">
        <v>409</v>
      </c>
      <c r="B30" s="44" t="s">
        <v>404</v>
      </c>
      <c r="C30" s="101">
        <v>0</v>
      </c>
      <c r="D30" s="101">
        <v>0</v>
      </c>
      <c r="E30" s="101">
        <v>0</v>
      </c>
      <c r="F30" s="101">
        <v>1</v>
      </c>
      <c r="G30" s="101">
        <v>0</v>
      </c>
      <c r="H30" s="122">
        <v>0</v>
      </c>
      <c r="I30" s="122">
        <v>0</v>
      </c>
      <c r="J30" s="101">
        <v>0</v>
      </c>
      <c r="K30" s="3">
        <v>1</v>
      </c>
      <c r="L30" s="3">
        <v>1</v>
      </c>
      <c r="M30" s="3">
        <v>1</v>
      </c>
      <c r="N30" s="102">
        <v>0</v>
      </c>
    </row>
    <row r="31" spans="1:14" ht="15.75" customHeight="1" x14ac:dyDescent="0.3">
      <c r="A31" s="44" t="s">
        <v>410</v>
      </c>
      <c r="B31" s="103" t="s">
        <v>405</v>
      </c>
      <c r="C31" s="3">
        <v>0</v>
      </c>
      <c r="D31" s="3">
        <v>0</v>
      </c>
      <c r="E31" s="3">
        <v>0</v>
      </c>
      <c r="F31" s="3">
        <v>1</v>
      </c>
      <c r="G31" s="3">
        <v>0</v>
      </c>
      <c r="H31" s="15">
        <v>0</v>
      </c>
      <c r="I31" s="15">
        <v>0</v>
      </c>
      <c r="J31" s="3">
        <v>0</v>
      </c>
      <c r="K31" s="3">
        <v>1</v>
      </c>
      <c r="L31" s="3">
        <v>1</v>
      </c>
      <c r="M31" s="3">
        <v>1</v>
      </c>
      <c r="N31" s="87">
        <v>0</v>
      </c>
    </row>
    <row r="32" spans="1:14" ht="15.75" customHeight="1" x14ac:dyDescent="0.3">
      <c r="A32" s="43"/>
      <c r="B32" s="43"/>
      <c r="C32" s="39"/>
      <c r="D32" s="39"/>
      <c r="E32" s="39"/>
      <c r="F32" s="39"/>
      <c r="G32" s="39"/>
      <c r="H32" s="123"/>
      <c r="I32" s="123"/>
      <c r="J32" s="39"/>
      <c r="K32" s="39"/>
      <c r="L32" s="39"/>
      <c r="M32" s="39"/>
      <c r="N32" s="100"/>
    </row>
    <row r="33" spans="1:14" s="33" customFormat="1" ht="15.75" customHeight="1" x14ac:dyDescent="0.3">
      <c r="A33" s="32"/>
      <c r="B33" s="32"/>
      <c r="C33" s="32"/>
      <c r="D33" s="32"/>
      <c r="E33" s="32"/>
      <c r="F33" s="32"/>
      <c r="G33" s="32"/>
      <c r="H33" s="123"/>
      <c r="I33" s="123"/>
      <c r="J33" s="32"/>
      <c r="K33" s="32"/>
      <c r="L33" s="32"/>
      <c r="M33" s="32"/>
      <c r="N33" s="32"/>
    </row>
    <row r="34" spans="1:14" ht="15.75" customHeight="1" x14ac:dyDescent="0.3">
      <c r="A34" s="34"/>
      <c r="B34" s="35"/>
      <c r="C34" s="61" t="s">
        <v>37</v>
      </c>
      <c r="D34" s="72" t="s">
        <v>38</v>
      </c>
      <c r="E34" s="72" t="s">
        <v>39</v>
      </c>
      <c r="F34" s="73" t="s">
        <v>40</v>
      </c>
      <c r="G34" s="72" t="s">
        <v>36</v>
      </c>
      <c r="H34" s="124" t="s">
        <v>41</v>
      </c>
      <c r="I34" s="124" t="s">
        <v>42</v>
      </c>
      <c r="J34" s="62" t="s">
        <v>43</v>
      </c>
      <c r="K34" s="62" t="s">
        <v>44</v>
      </c>
      <c r="L34" s="62" t="s">
        <v>45</v>
      </c>
      <c r="M34" s="62" t="s">
        <v>46</v>
      </c>
      <c r="N34" s="62" t="s">
        <v>47</v>
      </c>
    </row>
    <row r="35" spans="1:14" ht="15.75" customHeight="1" x14ac:dyDescent="0.3">
      <c r="A35" s="36" t="s">
        <v>0</v>
      </c>
      <c r="B35" s="35" t="s">
        <v>1</v>
      </c>
      <c r="C35" s="37"/>
      <c r="D35" s="37"/>
      <c r="E35" s="37"/>
      <c r="F35" s="37"/>
      <c r="G35" s="37"/>
      <c r="H35" s="124"/>
      <c r="I35" s="124"/>
      <c r="J35" s="37"/>
      <c r="K35" s="37"/>
      <c r="L35" s="37"/>
      <c r="M35" s="37"/>
      <c r="N35" s="37"/>
    </row>
    <row r="36" spans="1:14" s="28" customFormat="1" ht="15.75" customHeight="1" x14ac:dyDescent="0.3">
      <c r="A36" s="77" t="s">
        <v>23</v>
      </c>
      <c r="B36" s="77" t="s">
        <v>17</v>
      </c>
      <c r="C36" s="6">
        <v>0</v>
      </c>
      <c r="D36" s="6">
        <v>0</v>
      </c>
      <c r="E36" s="6">
        <v>1</v>
      </c>
      <c r="F36" s="6">
        <v>0</v>
      </c>
      <c r="G36" s="6">
        <v>1</v>
      </c>
      <c r="H36" s="125">
        <v>0</v>
      </c>
      <c r="I36" s="125">
        <v>1</v>
      </c>
      <c r="J36" s="6">
        <v>1</v>
      </c>
      <c r="K36" s="6">
        <v>1</v>
      </c>
      <c r="L36" s="6">
        <v>1</v>
      </c>
      <c r="M36" s="18">
        <v>1</v>
      </c>
      <c r="N36" s="6">
        <v>0</v>
      </c>
    </row>
    <row r="37" spans="1:14" ht="15.75" customHeight="1" x14ac:dyDescent="0.3">
      <c r="A37" s="44" t="s">
        <v>24</v>
      </c>
      <c r="B37" s="44" t="s">
        <v>18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125">
        <v>0</v>
      </c>
      <c r="I37" s="125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</row>
    <row r="38" spans="1:14" ht="15.75" customHeight="1" x14ac:dyDescent="0.3">
      <c r="A38" s="44" t="s">
        <v>25</v>
      </c>
      <c r="B38" s="44" t="s">
        <v>19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125">
        <v>0</v>
      </c>
      <c r="I38" s="125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</row>
    <row r="39" spans="1:14" ht="15.75" customHeight="1" x14ac:dyDescent="0.3">
      <c r="A39" s="44" t="s">
        <v>26</v>
      </c>
      <c r="B39" s="44" t="s">
        <v>20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125">
        <v>0</v>
      </c>
      <c r="I39" s="125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</row>
    <row r="40" spans="1:14" ht="15.75" customHeight="1" x14ac:dyDescent="0.3">
      <c r="A40" s="44" t="s">
        <v>27</v>
      </c>
      <c r="B40" s="44" t="s">
        <v>21</v>
      </c>
      <c r="C40" s="6">
        <v>0</v>
      </c>
      <c r="D40" s="6">
        <v>0</v>
      </c>
      <c r="E40" s="6">
        <v>1</v>
      </c>
      <c r="F40" s="6">
        <v>0</v>
      </c>
      <c r="G40" s="6">
        <v>0</v>
      </c>
      <c r="H40" s="125">
        <v>0</v>
      </c>
      <c r="I40" s="125">
        <v>1</v>
      </c>
      <c r="J40" s="6">
        <v>1</v>
      </c>
      <c r="K40" s="6">
        <v>1</v>
      </c>
      <c r="L40" s="26">
        <v>1</v>
      </c>
      <c r="M40" s="6">
        <v>1</v>
      </c>
      <c r="N40" s="6">
        <v>0</v>
      </c>
    </row>
    <row r="41" spans="1:14" ht="15.75" customHeight="1" x14ac:dyDescent="0.3">
      <c r="A41" s="44" t="s">
        <v>28</v>
      </c>
      <c r="B41" s="44" t="s">
        <v>22</v>
      </c>
      <c r="C41" s="6">
        <v>0</v>
      </c>
      <c r="D41" s="6">
        <v>0</v>
      </c>
      <c r="E41" s="6">
        <v>1</v>
      </c>
      <c r="F41" s="6">
        <v>0</v>
      </c>
      <c r="G41" s="6">
        <v>1</v>
      </c>
      <c r="H41" s="125">
        <v>0</v>
      </c>
      <c r="I41" s="125">
        <v>0</v>
      </c>
      <c r="J41" s="6">
        <v>1</v>
      </c>
      <c r="K41" s="6">
        <v>1</v>
      </c>
      <c r="L41" s="26">
        <v>1</v>
      </c>
      <c r="M41" s="6">
        <v>1</v>
      </c>
      <c r="N41" s="6">
        <v>0</v>
      </c>
    </row>
    <row r="42" spans="1:14" ht="15.75" customHeight="1" thickBot="1" x14ac:dyDescent="0.35">
      <c r="A42" s="44" t="s">
        <v>86</v>
      </c>
      <c r="B42" s="44" t="s">
        <v>89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125">
        <v>0</v>
      </c>
      <c r="I42" s="125">
        <v>0</v>
      </c>
      <c r="J42" s="6">
        <v>0</v>
      </c>
      <c r="K42" s="6">
        <v>0</v>
      </c>
      <c r="L42" s="12">
        <v>0</v>
      </c>
      <c r="M42" s="6">
        <v>0</v>
      </c>
      <c r="N42" s="6">
        <v>0</v>
      </c>
    </row>
    <row r="43" spans="1:14" ht="15.75" customHeight="1" x14ac:dyDescent="0.3">
      <c r="A43" s="44" t="s">
        <v>87</v>
      </c>
      <c r="B43" s="44" t="s">
        <v>90</v>
      </c>
      <c r="C43" s="6">
        <v>0</v>
      </c>
      <c r="D43" s="6">
        <v>0</v>
      </c>
      <c r="E43" s="6">
        <v>1</v>
      </c>
      <c r="F43" s="6">
        <v>0</v>
      </c>
      <c r="G43" s="6">
        <v>1</v>
      </c>
      <c r="H43" s="125">
        <v>0</v>
      </c>
      <c r="I43" s="125">
        <v>1</v>
      </c>
      <c r="J43" s="6">
        <v>1</v>
      </c>
      <c r="K43" s="6">
        <v>1</v>
      </c>
      <c r="L43" s="6">
        <v>1</v>
      </c>
      <c r="M43" s="6">
        <v>1</v>
      </c>
      <c r="N43" s="6">
        <v>0</v>
      </c>
    </row>
    <row r="44" spans="1:14" ht="15.75" customHeight="1" x14ac:dyDescent="0.3">
      <c r="A44" s="44" t="s">
        <v>88</v>
      </c>
      <c r="B44" s="44" t="s">
        <v>91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125">
        <v>0</v>
      </c>
      <c r="I44" s="125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</row>
    <row r="45" spans="1:14" ht="15.6" customHeight="1" x14ac:dyDescent="0.3">
      <c r="A45" s="44"/>
      <c r="B45" s="44" t="s">
        <v>411</v>
      </c>
      <c r="C45" s="6">
        <v>0</v>
      </c>
      <c r="D45" s="6">
        <v>0</v>
      </c>
      <c r="E45" s="6">
        <v>1</v>
      </c>
      <c r="F45" s="6">
        <v>0</v>
      </c>
      <c r="G45" s="6">
        <v>1</v>
      </c>
      <c r="H45" s="125">
        <v>0</v>
      </c>
      <c r="I45" s="125">
        <v>1</v>
      </c>
      <c r="J45" s="6">
        <v>1</v>
      </c>
      <c r="K45" s="6">
        <v>1</v>
      </c>
      <c r="L45" s="6">
        <v>1</v>
      </c>
      <c r="M45" s="6">
        <v>1</v>
      </c>
      <c r="N45" s="6">
        <v>0</v>
      </c>
    </row>
    <row r="46" spans="1:14" ht="15" customHeight="1" x14ac:dyDescent="0.3">
      <c r="A46" s="3"/>
      <c r="B46" s="44" t="s">
        <v>412</v>
      </c>
      <c r="C46" s="6">
        <v>0</v>
      </c>
      <c r="D46" s="6">
        <v>0</v>
      </c>
      <c r="E46" s="6">
        <v>1</v>
      </c>
      <c r="F46" s="6">
        <v>0</v>
      </c>
      <c r="G46" s="6">
        <v>1</v>
      </c>
      <c r="H46" s="125">
        <v>0</v>
      </c>
      <c r="I46" s="125">
        <v>1</v>
      </c>
      <c r="J46" s="6">
        <v>1</v>
      </c>
      <c r="K46" s="6">
        <v>1</v>
      </c>
      <c r="L46" s="3">
        <v>1</v>
      </c>
      <c r="M46" s="6">
        <v>1</v>
      </c>
      <c r="N46" s="6">
        <v>0</v>
      </c>
    </row>
    <row r="48" spans="1:14" ht="11.1" customHeight="1" thickBot="1" x14ac:dyDescent="0.35"/>
    <row r="49" spans="1:14" ht="15.75" customHeight="1" thickBot="1" x14ac:dyDescent="0.35">
      <c r="A49" s="24"/>
      <c r="B49" s="25"/>
      <c r="C49" s="60" t="s">
        <v>37</v>
      </c>
      <c r="D49" s="70" t="s">
        <v>38</v>
      </c>
      <c r="E49" s="70" t="s">
        <v>39</v>
      </c>
      <c r="F49" s="71" t="s">
        <v>40</v>
      </c>
      <c r="G49" s="70" t="s">
        <v>36</v>
      </c>
      <c r="H49" s="127" t="s">
        <v>41</v>
      </c>
      <c r="I49" s="128" t="s">
        <v>42</v>
      </c>
      <c r="J49" s="64" t="s">
        <v>43</v>
      </c>
      <c r="K49" s="64" t="s">
        <v>44</v>
      </c>
      <c r="L49" s="64" t="s">
        <v>45</v>
      </c>
      <c r="M49" s="63" t="s">
        <v>46</v>
      </c>
      <c r="N49" s="64" t="s">
        <v>47</v>
      </c>
    </row>
    <row r="50" spans="1:14" ht="15.75" customHeight="1" thickBot="1" x14ac:dyDescent="0.35">
      <c r="A50" s="29" t="s">
        <v>0</v>
      </c>
      <c r="B50" s="31" t="s">
        <v>1</v>
      </c>
      <c r="C50" s="2"/>
      <c r="D50" s="2"/>
      <c r="E50" s="2"/>
      <c r="F50" s="2"/>
      <c r="G50" s="2"/>
      <c r="H50" s="129"/>
      <c r="I50" s="120"/>
      <c r="J50" s="2"/>
      <c r="K50" s="2"/>
      <c r="L50" s="2"/>
      <c r="M50" s="30"/>
      <c r="N50" s="2"/>
    </row>
    <row r="51" spans="1:14" ht="15.75" customHeight="1" x14ac:dyDescent="0.3">
      <c r="A51" s="44" t="s">
        <v>92</v>
      </c>
      <c r="B51" s="44" t="s">
        <v>15</v>
      </c>
      <c r="C51" s="9">
        <v>0</v>
      </c>
      <c r="D51" s="9">
        <v>0</v>
      </c>
      <c r="E51" s="9">
        <v>1</v>
      </c>
      <c r="F51" s="9">
        <v>1</v>
      </c>
      <c r="G51" s="9">
        <v>1</v>
      </c>
      <c r="H51" s="14">
        <v>1</v>
      </c>
      <c r="I51" s="14">
        <v>1</v>
      </c>
      <c r="J51" s="3">
        <v>1</v>
      </c>
      <c r="K51" s="3">
        <v>1</v>
      </c>
      <c r="L51" s="9">
        <v>0</v>
      </c>
      <c r="M51" s="9">
        <v>1</v>
      </c>
      <c r="N51" s="9">
        <v>0</v>
      </c>
    </row>
    <row r="52" spans="1:14" ht="15.75" customHeight="1" x14ac:dyDescent="0.3">
      <c r="A52" s="44" t="s">
        <v>93</v>
      </c>
      <c r="B52" s="44" t="s">
        <v>16</v>
      </c>
      <c r="C52" s="9">
        <v>0</v>
      </c>
      <c r="D52" s="9">
        <v>0</v>
      </c>
      <c r="E52" s="9">
        <v>1</v>
      </c>
      <c r="F52" s="9">
        <v>1</v>
      </c>
      <c r="G52" s="9">
        <v>1</v>
      </c>
      <c r="H52" s="14">
        <v>1</v>
      </c>
      <c r="I52" s="14">
        <v>1</v>
      </c>
      <c r="J52" s="3">
        <v>1</v>
      </c>
      <c r="K52" s="3">
        <v>1</v>
      </c>
      <c r="L52" s="9">
        <v>0</v>
      </c>
      <c r="M52" s="9">
        <v>1</v>
      </c>
      <c r="N52" s="9">
        <v>0</v>
      </c>
    </row>
    <row r="53" spans="1:14" ht="15.75" customHeight="1" x14ac:dyDescent="0.3">
      <c r="A53" s="44" t="s">
        <v>95</v>
      </c>
      <c r="B53" s="44" t="s">
        <v>94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14">
        <v>0</v>
      </c>
      <c r="I53" s="14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</row>
    <row r="54" spans="1:14" ht="15.75" customHeight="1" x14ac:dyDescent="0.3">
      <c r="A54" s="44" t="s">
        <v>97</v>
      </c>
      <c r="B54" s="44" t="s">
        <v>96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14">
        <v>0</v>
      </c>
      <c r="I54" s="14">
        <v>0</v>
      </c>
      <c r="J54" s="9">
        <v>0</v>
      </c>
      <c r="K54" s="9">
        <v>0</v>
      </c>
      <c r="L54" s="9">
        <v>0</v>
      </c>
      <c r="M54" s="9">
        <v>0</v>
      </c>
      <c r="N54" s="9">
        <v>0</v>
      </c>
    </row>
    <row r="55" spans="1:14" ht="15.75" customHeight="1" x14ac:dyDescent="0.3">
      <c r="A55" s="44" t="s">
        <v>99</v>
      </c>
      <c r="B55" s="44" t="s">
        <v>98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14">
        <v>0</v>
      </c>
      <c r="I55" s="14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</row>
    <row r="56" spans="1:14" ht="15.75" customHeight="1" x14ac:dyDescent="0.3">
      <c r="A56" s="44" t="s">
        <v>101</v>
      </c>
      <c r="B56" s="44" t="s">
        <v>100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  <c r="H56" s="14">
        <v>0</v>
      </c>
      <c r="I56" s="14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</row>
    <row r="57" spans="1:14" ht="15" customHeight="1" x14ac:dyDescent="0.3">
      <c r="A57" s="3"/>
      <c r="B57" s="85" t="s">
        <v>378</v>
      </c>
      <c r="C57" s="9">
        <v>0</v>
      </c>
      <c r="D57" s="9">
        <v>0</v>
      </c>
      <c r="E57" s="9">
        <v>1</v>
      </c>
      <c r="F57" s="9">
        <v>1</v>
      </c>
      <c r="G57" s="9">
        <v>1</v>
      </c>
      <c r="H57" s="14">
        <v>1</v>
      </c>
      <c r="I57" s="15">
        <v>1</v>
      </c>
      <c r="J57" s="3">
        <v>1</v>
      </c>
      <c r="K57" s="3">
        <v>1</v>
      </c>
      <c r="L57" s="9">
        <v>0</v>
      </c>
      <c r="M57" s="9">
        <v>1</v>
      </c>
      <c r="N57" s="9">
        <v>0</v>
      </c>
    </row>
    <row r="58" spans="1:14" ht="15" customHeight="1" x14ac:dyDescent="0.3">
      <c r="A58" s="3"/>
      <c r="B58" s="85" t="s">
        <v>379</v>
      </c>
      <c r="C58" s="9">
        <v>0</v>
      </c>
      <c r="D58" s="9">
        <v>0</v>
      </c>
      <c r="E58" s="9">
        <v>1</v>
      </c>
      <c r="F58" s="9">
        <v>1</v>
      </c>
      <c r="G58" s="9">
        <v>1</v>
      </c>
      <c r="H58" s="14">
        <v>1</v>
      </c>
      <c r="I58" s="15">
        <v>1</v>
      </c>
      <c r="J58" s="3">
        <v>1</v>
      </c>
      <c r="K58" s="3">
        <v>1</v>
      </c>
      <c r="L58" s="9">
        <v>0</v>
      </c>
      <c r="M58" s="9">
        <v>1</v>
      </c>
      <c r="N58" s="9">
        <v>0</v>
      </c>
    </row>
    <row r="59" spans="1:14" ht="16.350000000000001" customHeight="1" x14ac:dyDescent="0.3">
      <c r="A59" s="3"/>
      <c r="B59" s="85" t="s">
        <v>380</v>
      </c>
      <c r="C59" s="9">
        <v>0</v>
      </c>
      <c r="D59" s="9">
        <v>0</v>
      </c>
      <c r="E59" s="9">
        <v>1</v>
      </c>
      <c r="F59" s="9">
        <v>1</v>
      </c>
      <c r="G59" s="9">
        <v>1</v>
      </c>
      <c r="H59" s="14">
        <v>1</v>
      </c>
      <c r="I59" s="15">
        <v>1</v>
      </c>
      <c r="J59" s="3">
        <v>1</v>
      </c>
      <c r="K59" s="3">
        <v>1</v>
      </c>
      <c r="L59" s="9">
        <v>0</v>
      </c>
      <c r="M59" s="9">
        <v>1</v>
      </c>
      <c r="N59" s="9">
        <v>0</v>
      </c>
    </row>
    <row r="60" spans="1:14" ht="16.350000000000001" customHeight="1" x14ac:dyDescent="0.3">
      <c r="A60" s="39"/>
      <c r="B60" s="88"/>
      <c r="C60" s="39"/>
      <c r="D60" s="39"/>
      <c r="E60" s="39"/>
      <c r="F60" s="39"/>
      <c r="G60" s="39"/>
      <c r="H60" s="123"/>
      <c r="I60" s="123"/>
      <c r="J60" s="39"/>
      <c r="K60" s="39"/>
      <c r="L60" s="39"/>
      <c r="M60" s="39"/>
      <c r="N60" s="39"/>
    </row>
    <row r="61" spans="1:14" ht="16.350000000000001" customHeight="1" x14ac:dyDescent="0.3">
      <c r="A61" s="39"/>
      <c r="B61" s="88"/>
      <c r="C61" s="39"/>
      <c r="D61" s="39"/>
      <c r="E61" s="39"/>
      <c r="F61" s="39"/>
      <c r="G61" s="39"/>
      <c r="H61" s="123"/>
      <c r="I61" s="123"/>
      <c r="J61" s="39"/>
      <c r="K61" s="39"/>
      <c r="L61" s="39"/>
      <c r="M61" s="39"/>
      <c r="N61" s="39"/>
    </row>
    <row r="62" spans="1:14" ht="11.1" customHeight="1" thickBot="1" x14ac:dyDescent="0.35"/>
    <row r="63" spans="1:14" ht="15.75" customHeight="1" x14ac:dyDescent="0.3">
      <c r="A63" s="89"/>
      <c r="B63" s="90"/>
      <c r="C63" s="91" t="s">
        <v>37</v>
      </c>
      <c r="D63" s="92" t="s">
        <v>38</v>
      </c>
      <c r="E63" s="92" t="s">
        <v>39</v>
      </c>
      <c r="F63" s="91" t="s">
        <v>40</v>
      </c>
      <c r="G63" s="92" t="s">
        <v>36</v>
      </c>
      <c r="H63" s="130" t="s">
        <v>41</v>
      </c>
      <c r="I63" s="131" t="s">
        <v>42</v>
      </c>
      <c r="J63" s="93" t="s">
        <v>43</v>
      </c>
      <c r="K63" s="93" t="s">
        <v>44</v>
      </c>
      <c r="L63" s="93" t="s">
        <v>45</v>
      </c>
      <c r="M63" s="92" t="s">
        <v>46</v>
      </c>
      <c r="N63" s="94" t="s">
        <v>47</v>
      </c>
    </row>
    <row r="64" spans="1:14" ht="15.75" customHeight="1" x14ac:dyDescent="0.3">
      <c r="A64" s="94" t="s">
        <v>0</v>
      </c>
      <c r="B64" s="95" t="s">
        <v>1</v>
      </c>
      <c r="C64" s="94"/>
      <c r="D64" s="94"/>
      <c r="E64" s="94"/>
      <c r="F64" s="94"/>
      <c r="G64" s="94"/>
      <c r="H64" s="132"/>
      <c r="I64" s="132"/>
      <c r="J64" s="94"/>
      <c r="K64" s="94"/>
      <c r="L64" s="94"/>
      <c r="M64" s="94"/>
      <c r="N64" s="94"/>
    </row>
    <row r="65" spans="1:14" ht="15.75" customHeight="1" x14ac:dyDescent="0.3">
      <c r="A65" s="96" t="s">
        <v>398</v>
      </c>
      <c r="B65" s="97" t="s">
        <v>80</v>
      </c>
      <c r="C65" s="85">
        <v>0</v>
      </c>
      <c r="D65" s="85">
        <v>0</v>
      </c>
      <c r="E65" s="85">
        <v>0</v>
      </c>
      <c r="F65" s="85">
        <v>0</v>
      </c>
      <c r="G65" s="85">
        <v>0</v>
      </c>
      <c r="H65" s="133">
        <v>0</v>
      </c>
      <c r="I65" s="133">
        <v>0</v>
      </c>
      <c r="J65" s="98">
        <v>1</v>
      </c>
      <c r="K65" s="98">
        <v>1</v>
      </c>
      <c r="L65" s="85">
        <v>0</v>
      </c>
      <c r="M65" s="85">
        <v>1</v>
      </c>
      <c r="N65" s="85">
        <v>1</v>
      </c>
    </row>
    <row r="66" spans="1:14" ht="15.75" customHeight="1" x14ac:dyDescent="0.3">
      <c r="A66" s="96" t="s">
        <v>397</v>
      </c>
      <c r="B66" s="96" t="s">
        <v>82</v>
      </c>
      <c r="C66" s="85">
        <v>0</v>
      </c>
      <c r="D66" s="85">
        <v>0</v>
      </c>
      <c r="E66" s="85">
        <v>0</v>
      </c>
      <c r="F66" s="85">
        <v>0</v>
      </c>
      <c r="G66" s="85">
        <v>0</v>
      </c>
      <c r="H66" s="133">
        <v>0</v>
      </c>
      <c r="I66" s="133">
        <v>0</v>
      </c>
      <c r="J66" s="99">
        <v>1</v>
      </c>
      <c r="K66" s="99">
        <v>1</v>
      </c>
      <c r="L66" s="85">
        <v>0</v>
      </c>
      <c r="M66" s="99">
        <v>1</v>
      </c>
      <c r="N66" s="99">
        <v>1</v>
      </c>
    </row>
    <row r="67" spans="1:14" ht="14.55" customHeight="1" x14ac:dyDescent="0.3">
      <c r="A67" s="96" t="s">
        <v>399</v>
      </c>
      <c r="B67" s="85" t="s">
        <v>400</v>
      </c>
      <c r="C67" s="85">
        <v>0</v>
      </c>
      <c r="D67" s="85">
        <v>0</v>
      </c>
      <c r="E67" s="85">
        <v>0</v>
      </c>
      <c r="F67" s="85">
        <v>0</v>
      </c>
      <c r="G67" s="85">
        <v>0</v>
      </c>
      <c r="H67" s="133">
        <v>0</v>
      </c>
      <c r="I67" s="133">
        <v>0</v>
      </c>
      <c r="J67" s="85">
        <v>1</v>
      </c>
      <c r="K67" s="85">
        <v>1</v>
      </c>
      <c r="L67" s="85">
        <v>0</v>
      </c>
      <c r="M67" s="85">
        <v>1</v>
      </c>
      <c r="N67" s="85">
        <v>1</v>
      </c>
    </row>
  </sheetData>
  <pageMargins left="0.45" right="0.45" top="0.5" bottom="0.5" header="0.3" footer="0.3"/>
  <pageSetup scale="69" orientation="landscape"/>
  <colBreaks count="1" manualBreakCount="1">
    <brk id="14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9"/>
  <sheetViews>
    <sheetView topLeftCell="A43" zoomScaleSheetLayoutView="100" workbookViewId="0">
      <selection activeCell="T74" sqref="T74"/>
    </sheetView>
  </sheetViews>
  <sheetFormatPr defaultColWidth="8.77734375" defaultRowHeight="14.4" x14ac:dyDescent="0.3"/>
  <cols>
    <col min="1" max="1" width="18.44140625" customWidth="1"/>
  </cols>
  <sheetData>
    <row r="1" spans="1:14" ht="15" thickBot="1" x14ac:dyDescent="0.35">
      <c r="A1" s="24"/>
      <c r="B1" s="25"/>
      <c r="C1" s="63" t="s">
        <v>37</v>
      </c>
      <c r="D1" s="63" t="s">
        <v>38</v>
      </c>
      <c r="E1" s="63" t="s">
        <v>39</v>
      </c>
      <c r="F1" s="63" t="s">
        <v>40</v>
      </c>
      <c r="G1" s="65" t="s">
        <v>36</v>
      </c>
      <c r="H1" s="63" t="s">
        <v>41</v>
      </c>
      <c r="I1" s="64" t="s">
        <v>42</v>
      </c>
      <c r="J1" s="64" t="s">
        <v>43</v>
      </c>
      <c r="K1" s="64" t="s">
        <v>44</v>
      </c>
      <c r="L1" s="64" t="s">
        <v>45</v>
      </c>
      <c r="M1" s="63" t="s">
        <v>46</v>
      </c>
      <c r="N1" s="64" t="s">
        <v>47</v>
      </c>
    </row>
    <row r="2" spans="1:14" x14ac:dyDescent="0.3">
      <c r="A2" s="29" t="s">
        <v>0</v>
      </c>
      <c r="B2" s="31" t="s">
        <v>1</v>
      </c>
      <c r="C2" s="109"/>
      <c r="D2" s="110"/>
      <c r="E2" s="110"/>
      <c r="F2" s="110"/>
      <c r="G2" s="111"/>
      <c r="H2" s="109"/>
      <c r="I2" s="110"/>
      <c r="J2" s="110"/>
      <c r="K2" s="110"/>
      <c r="L2" s="110"/>
      <c r="M2" s="112"/>
      <c r="N2" s="110"/>
    </row>
    <row r="3" spans="1:14" ht="18.75" customHeight="1" x14ac:dyDescent="0.3">
      <c r="A3" s="44" t="s">
        <v>102</v>
      </c>
      <c r="B3" s="103" t="s">
        <v>103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</v>
      </c>
      <c r="J3" s="3">
        <v>0</v>
      </c>
      <c r="K3" s="3">
        <v>1</v>
      </c>
      <c r="L3" s="3">
        <v>0</v>
      </c>
      <c r="M3" s="3">
        <v>1</v>
      </c>
      <c r="N3" s="3">
        <v>0</v>
      </c>
    </row>
    <row r="4" spans="1:14" x14ac:dyDescent="0.3">
      <c r="A4" s="44" t="s">
        <v>104</v>
      </c>
      <c r="B4" s="103" t="s">
        <v>105</v>
      </c>
      <c r="C4" s="3">
        <v>0</v>
      </c>
      <c r="D4" s="3">
        <v>0</v>
      </c>
      <c r="E4" s="3">
        <v>0</v>
      </c>
      <c r="F4" s="3">
        <v>0</v>
      </c>
      <c r="G4" s="3">
        <v>1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0</v>
      </c>
    </row>
    <row r="5" spans="1:14" x14ac:dyDescent="0.3">
      <c r="A5" s="44" t="s">
        <v>106</v>
      </c>
      <c r="B5" s="103" t="s">
        <v>107</v>
      </c>
      <c r="C5" s="3">
        <v>0</v>
      </c>
      <c r="D5" s="3">
        <v>0</v>
      </c>
      <c r="E5" s="3">
        <v>0</v>
      </c>
      <c r="F5" s="3">
        <v>0</v>
      </c>
      <c r="G5" s="3">
        <v>1</v>
      </c>
      <c r="H5" s="3">
        <v>1</v>
      </c>
      <c r="I5" s="3">
        <v>1</v>
      </c>
      <c r="J5" s="3">
        <v>0</v>
      </c>
      <c r="K5" s="3">
        <v>1</v>
      </c>
      <c r="L5" s="3">
        <v>0</v>
      </c>
      <c r="M5" s="3">
        <v>1</v>
      </c>
      <c r="N5" s="3">
        <v>0</v>
      </c>
    </row>
    <row r="6" spans="1:14" x14ac:dyDescent="0.3">
      <c r="A6" s="44" t="s">
        <v>108</v>
      </c>
      <c r="B6" s="103" t="s">
        <v>109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0</v>
      </c>
    </row>
    <row r="7" spans="1:14" s="48" customFormat="1" x14ac:dyDescent="0.3">
      <c r="A7" s="44" t="s">
        <v>110</v>
      </c>
      <c r="B7" s="103" t="s">
        <v>111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46">
        <v>0</v>
      </c>
      <c r="N7" s="3">
        <v>0</v>
      </c>
    </row>
    <row r="8" spans="1:14" x14ac:dyDescent="0.3">
      <c r="A8" s="44" t="s">
        <v>112</v>
      </c>
      <c r="B8" s="103" t="s">
        <v>113</v>
      </c>
      <c r="C8" s="3">
        <v>0</v>
      </c>
      <c r="D8" s="3">
        <v>0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15">
        <v>1</v>
      </c>
      <c r="N8" s="3">
        <v>0</v>
      </c>
    </row>
    <row r="9" spans="1:14" x14ac:dyDescent="0.3">
      <c r="A9" s="44" t="s">
        <v>114</v>
      </c>
      <c r="B9" s="103" t="s">
        <v>115</v>
      </c>
      <c r="C9" s="3">
        <v>0</v>
      </c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1</v>
      </c>
      <c r="N9" s="3">
        <v>0</v>
      </c>
    </row>
    <row r="10" spans="1:14" x14ac:dyDescent="0.3">
      <c r="A10" s="44" t="s">
        <v>116</v>
      </c>
      <c r="B10" s="103" t="s">
        <v>117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0</v>
      </c>
      <c r="N10" s="3">
        <v>0</v>
      </c>
    </row>
    <row r="11" spans="1:14" x14ac:dyDescent="0.3">
      <c r="A11" s="44" t="s">
        <v>118</v>
      </c>
      <c r="B11" s="103" t="s">
        <v>119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  <c r="L11" s="3">
        <v>1</v>
      </c>
      <c r="M11" s="3">
        <v>1</v>
      </c>
      <c r="N11" s="3">
        <v>0</v>
      </c>
    </row>
    <row r="12" spans="1:14" x14ac:dyDescent="0.3">
      <c r="A12" s="44" t="s">
        <v>120</v>
      </c>
      <c r="B12" s="103" t="s">
        <v>121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</row>
    <row r="13" spans="1:14" x14ac:dyDescent="0.3">
      <c r="A13" s="44" t="s">
        <v>122</v>
      </c>
      <c r="B13" s="103" t="s">
        <v>123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1</v>
      </c>
      <c r="L13" s="3">
        <v>0</v>
      </c>
      <c r="M13" s="3">
        <v>0</v>
      </c>
      <c r="N13" s="3">
        <v>0</v>
      </c>
    </row>
    <row r="14" spans="1:14" x14ac:dyDescent="0.3">
      <c r="A14" s="44" t="s">
        <v>124</v>
      </c>
      <c r="B14" s="103" t="s">
        <v>125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113">
        <v>1</v>
      </c>
      <c r="L14" s="3">
        <v>0</v>
      </c>
      <c r="M14" s="3">
        <v>0</v>
      </c>
      <c r="N14" s="3">
        <v>0</v>
      </c>
    </row>
    <row r="15" spans="1:14" x14ac:dyDescent="0.3">
      <c r="A15" s="44" t="s">
        <v>126</v>
      </c>
      <c r="B15" s="103" t="s">
        <v>127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1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</row>
    <row r="16" spans="1:14" x14ac:dyDescent="0.3">
      <c r="A16" s="44" t="s">
        <v>128</v>
      </c>
      <c r="B16" s="103" t="s">
        <v>129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1</v>
      </c>
      <c r="J16" s="3">
        <v>0</v>
      </c>
      <c r="K16" s="3">
        <v>1</v>
      </c>
      <c r="L16" s="3">
        <v>0</v>
      </c>
      <c r="M16" s="3">
        <v>0</v>
      </c>
      <c r="N16" s="3">
        <v>0</v>
      </c>
    </row>
    <row r="17" spans="1:43" x14ac:dyDescent="0.3">
      <c r="A17" s="44"/>
      <c r="B17" s="103" t="s">
        <v>444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</v>
      </c>
      <c r="N17" s="3">
        <v>0</v>
      </c>
    </row>
    <row r="18" spans="1:43" x14ac:dyDescent="0.3">
      <c r="A18" s="44"/>
      <c r="B18" s="103" t="s">
        <v>115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1</v>
      </c>
      <c r="N18" s="3">
        <v>0</v>
      </c>
    </row>
    <row r="19" spans="1:43" x14ac:dyDescent="0.3">
      <c r="A19" s="44" t="s">
        <v>130</v>
      </c>
      <c r="B19" s="103" t="s">
        <v>131</v>
      </c>
      <c r="C19" s="3">
        <v>0</v>
      </c>
      <c r="D19" s="3">
        <v>0</v>
      </c>
      <c r="E19" s="3">
        <v>0</v>
      </c>
      <c r="F19" s="3">
        <v>1</v>
      </c>
      <c r="G19" s="3">
        <v>0</v>
      </c>
      <c r="H19" s="3">
        <v>1</v>
      </c>
      <c r="I19" s="3">
        <v>1</v>
      </c>
      <c r="J19" s="3">
        <v>1</v>
      </c>
      <c r="K19" s="3">
        <v>1</v>
      </c>
      <c r="L19" s="3">
        <v>0</v>
      </c>
      <c r="M19" s="3">
        <v>1</v>
      </c>
      <c r="N19" s="3">
        <v>1</v>
      </c>
    </row>
    <row r="20" spans="1:43" x14ac:dyDescent="0.3">
      <c r="A20" s="50" t="s">
        <v>132</v>
      </c>
      <c r="B20" s="108" t="s">
        <v>133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1</v>
      </c>
      <c r="J20" s="3">
        <v>0</v>
      </c>
      <c r="K20" s="3">
        <v>1</v>
      </c>
      <c r="L20" s="3">
        <v>0</v>
      </c>
      <c r="M20" s="3">
        <v>1</v>
      </c>
      <c r="N20" s="3">
        <v>0</v>
      </c>
    </row>
    <row r="21" spans="1:43" s="38" customFormat="1" x14ac:dyDescent="0.3">
      <c r="A21" s="44" t="s">
        <v>331</v>
      </c>
      <c r="B21" s="103" t="s">
        <v>332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P21" s="105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</row>
    <row r="22" spans="1:43" s="38" customFormat="1" x14ac:dyDescent="0.3">
      <c r="A22" s="44"/>
      <c r="B22" s="103" t="s">
        <v>347</v>
      </c>
      <c r="C22" s="3">
        <v>0</v>
      </c>
      <c r="D22" s="3">
        <v>0</v>
      </c>
      <c r="E22" s="3">
        <v>0</v>
      </c>
      <c r="F22" s="3">
        <v>1</v>
      </c>
      <c r="G22" s="3">
        <v>0</v>
      </c>
      <c r="H22" s="3">
        <v>1</v>
      </c>
      <c r="I22" s="3">
        <v>1</v>
      </c>
      <c r="J22" s="3">
        <v>0</v>
      </c>
      <c r="K22" s="3">
        <v>1</v>
      </c>
      <c r="L22" s="3">
        <v>0</v>
      </c>
      <c r="M22" s="3">
        <v>1</v>
      </c>
      <c r="N22" s="3">
        <v>0</v>
      </c>
      <c r="P22" s="105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</row>
    <row r="23" spans="1:43" s="38" customFormat="1" x14ac:dyDescent="0.3">
      <c r="A23" s="44"/>
      <c r="B23" s="103" t="s">
        <v>361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0</v>
      </c>
      <c r="M23" s="3">
        <v>0</v>
      </c>
      <c r="N23" s="3">
        <v>0</v>
      </c>
      <c r="P23" s="105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</row>
    <row r="24" spans="1:43" s="38" customFormat="1" x14ac:dyDescent="0.3">
      <c r="A24" s="44"/>
      <c r="B24" s="103" t="s">
        <v>362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1</v>
      </c>
      <c r="K24" s="3">
        <v>1</v>
      </c>
      <c r="L24" s="3">
        <v>0</v>
      </c>
      <c r="M24" s="3">
        <v>0</v>
      </c>
      <c r="N24" s="3">
        <v>0</v>
      </c>
      <c r="P24" s="105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1"/>
      <c r="AQ24" s="51"/>
    </row>
    <row r="25" spans="1:43" s="38" customFormat="1" x14ac:dyDescent="0.3">
      <c r="A25" s="44"/>
      <c r="B25" s="103" t="s">
        <v>352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1</v>
      </c>
      <c r="J25" s="3">
        <v>1</v>
      </c>
      <c r="K25" s="3">
        <v>1</v>
      </c>
      <c r="L25" s="3">
        <v>0</v>
      </c>
      <c r="M25" s="3">
        <v>1</v>
      </c>
      <c r="N25" s="3">
        <v>0</v>
      </c>
      <c r="P25" s="105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spans="1:43" s="38" customFormat="1" x14ac:dyDescent="0.3">
      <c r="A26" s="44"/>
      <c r="B26" s="103" t="s">
        <v>353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1</v>
      </c>
      <c r="J26" s="3">
        <v>1</v>
      </c>
      <c r="K26" s="3">
        <v>1</v>
      </c>
      <c r="L26" s="3">
        <v>0</v>
      </c>
      <c r="M26" s="3">
        <v>1</v>
      </c>
      <c r="N26" s="3">
        <v>0</v>
      </c>
      <c r="P26" s="105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</row>
    <row r="27" spans="1:43" s="38" customFormat="1" x14ac:dyDescent="0.3">
      <c r="A27" s="44"/>
      <c r="B27" s="103" t="s">
        <v>354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1</v>
      </c>
      <c r="J27" s="3">
        <v>0</v>
      </c>
      <c r="K27" s="3">
        <v>1</v>
      </c>
      <c r="L27" s="3">
        <v>0</v>
      </c>
      <c r="M27" s="3">
        <v>1</v>
      </c>
      <c r="N27" s="3">
        <v>0</v>
      </c>
      <c r="P27" s="105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</row>
    <row r="28" spans="1:43" s="38" customFormat="1" x14ac:dyDescent="0.3">
      <c r="A28" s="44"/>
      <c r="B28" s="103" t="s">
        <v>355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3">
        <v>1</v>
      </c>
      <c r="K28" s="3">
        <v>1</v>
      </c>
      <c r="L28" s="3">
        <v>0</v>
      </c>
      <c r="M28" s="3">
        <v>1</v>
      </c>
      <c r="N28" s="3">
        <v>0</v>
      </c>
      <c r="P28" s="105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</row>
    <row r="29" spans="1:43" s="38" customFormat="1" x14ac:dyDescent="0.3">
      <c r="A29" s="44"/>
      <c r="B29" s="103" t="s">
        <v>356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1</v>
      </c>
      <c r="L29" s="3">
        <v>0</v>
      </c>
      <c r="M29" s="3">
        <v>1</v>
      </c>
      <c r="N29" s="3">
        <v>0</v>
      </c>
      <c r="P29" s="105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spans="1:43" s="38" customFormat="1" x14ac:dyDescent="0.3">
      <c r="A30" s="50"/>
      <c r="B30" s="108" t="s">
        <v>357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1</v>
      </c>
      <c r="J30" s="3">
        <v>0</v>
      </c>
      <c r="K30" s="3">
        <v>1</v>
      </c>
      <c r="L30" s="3">
        <v>0</v>
      </c>
      <c r="M30" s="3">
        <v>1</v>
      </c>
      <c r="N30" s="3">
        <v>0</v>
      </c>
      <c r="O30" s="104"/>
      <c r="P30" s="106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</row>
    <row r="31" spans="1:43" s="38" customFormat="1" x14ac:dyDescent="0.3">
      <c r="A31" s="44"/>
      <c r="B31" s="103" t="s">
        <v>358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1</v>
      </c>
      <c r="J31" s="3">
        <v>0</v>
      </c>
      <c r="K31" s="3">
        <v>1</v>
      </c>
      <c r="L31" s="3">
        <v>0</v>
      </c>
      <c r="M31" s="3">
        <v>1</v>
      </c>
      <c r="N31" s="3">
        <v>0</v>
      </c>
      <c r="P31" s="105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</row>
    <row r="32" spans="1:43" s="104" customFormat="1" x14ac:dyDescent="0.3">
      <c r="A32" s="43"/>
      <c r="B32" s="43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</row>
    <row r="33" spans="1:43" s="51" customFormat="1" x14ac:dyDescent="0.3">
      <c r="A33" s="43"/>
      <c r="B33" s="43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</row>
    <row r="34" spans="1:43" s="51" customFormat="1" x14ac:dyDescent="0.3">
      <c r="A34" s="43"/>
      <c r="B34" s="43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</row>
    <row r="35" spans="1:43" s="43" customFormat="1" x14ac:dyDescent="0.3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/>
    </row>
    <row r="36" spans="1:43" x14ac:dyDescent="0.3">
      <c r="A36" s="53"/>
      <c r="B36" s="54"/>
      <c r="C36" s="69" t="s">
        <v>37</v>
      </c>
      <c r="D36" s="69" t="s">
        <v>38</v>
      </c>
      <c r="E36" s="69" t="s">
        <v>39</v>
      </c>
      <c r="F36" s="69" t="s">
        <v>40</v>
      </c>
      <c r="G36" s="69" t="s">
        <v>36</v>
      </c>
      <c r="H36" s="69" t="s">
        <v>41</v>
      </c>
      <c r="I36" s="69" t="s">
        <v>42</v>
      </c>
      <c r="J36" s="69" t="s">
        <v>43</v>
      </c>
      <c r="K36" s="69" t="s">
        <v>44</v>
      </c>
      <c r="L36" s="69" t="s">
        <v>45</v>
      </c>
      <c r="M36" s="69" t="s">
        <v>46</v>
      </c>
      <c r="N36" s="69" t="s">
        <v>47</v>
      </c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spans="1:43" x14ac:dyDescent="0.3">
      <c r="A37" s="57" t="s">
        <v>0</v>
      </c>
      <c r="B37" s="54" t="s">
        <v>1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</row>
    <row r="38" spans="1:43" x14ac:dyDescent="0.3">
      <c r="A38" s="44" t="s">
        <v>134</v>
      </c>
      <c r="B38" s="44" t="s">
        <v>135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6">
        <v>1</v>
      </c>
      <c r="M38" s="18">
        <v>1</v>
      </c>
      <c r="N38" s="6">
        <v>0</v>
      </c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</row>
    <row r="39" spans="1:43" x14ac:dyDescent="0.3">
      <c r="A39" s="44" t="s">
        <v>136</v>
      </c>
      <c r="B39" s="44" t="s">
        <v>137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1</v>
      </c>
      <c r="M39" s="19">
        <v>1</v>
      </c>
      <c r="N39" s="3">
        <v>0</v>
      </c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</row>
    <row r="40" spans="1:43" x14ac:dyDescent="0.3">
      <c r="A40" s="50" t="s">
        <v>138</v>
      </c>
      <c r="B40" s="44" t="s">
        <v>139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26">
        <v>0</v>
      </c>
      <c r="M40" s="27">
        <v>0</v>
      </c>
      <c r="N40" s="26">
        <v>0</v>
      </c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</row>
    <row r="41" spans="1:43" s="38" customFormat="1" x14ac:dyDescent="0.3">
      <c r="A41" s="44" t="s">
        <v>140</v>
      </c>
      <c r="B41" s="44" t="s">
        <v>141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P41" s="105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</row>
    <row r="42" spans="1:43" s="51" customFormat="1" x14ac:dyDescent="0.3">
      <c r="A42" s="44" t="s">
        <v>413</v>
      </c>
      <c r="B42" s="44" t="s">
        <v>414</v>
      </c>
      <c r="C42" s="3">
        <v>0</v>
      </c>
      <c r="D42" s="3">
        <v>0</v>
      </c>
      <c r="E42" s="3">
        <v>0</v>
      </c>
      <c r="F42" s="3">
        <v>1</v>
      </c>
      <c r="G42" s="3">
        <v>1</v>
      </c>
      <c r="H42" s="3">
        <v>1</v>
      </c>
      <c r="I42" s="3">
        <v>0</v>
      </c>
      <c r="J42" s="3">
        <v>1</v>
      </c>
      <c r="K42" s="3">
        <v>1</v>
      </c>
      <c r="L42" s="3">
        <v>1</v>
      </c>
      <c r="M42" s="3">
        <v>1</v>
      </c>
      <c r="N42" s="3">
        <v>0</v>
      </c>
    </row>
    <row r="43" spans="1:43" s="51" customFormat="1" x14ac:dyDescent="0.3">
      <c r="A43" s="44"/>
      <c r="B43" s="44" t="s">
        <v>415</v>
      </c>
      <c r="C43" s="3">
        <v>0</v>
      </c>
      <c r="D43" s="3">
        <v>0</v>
      </c>
      <c r="E43" s="3">
        <v>0</v>
      </c>
      <c r="F43" s="3">
        <v>1</v>
      </c>
      <c r="G43" s="3">
        <v>1</v>
      </c>
      <c r="H43" s="3">
        <v>1</v>
      </c>
      <c r="I43" s="3">
        <v>0</v>
      </c>
      <c r="J43" s="3">
        <v>1</v>
      </c>
      <c r="K43" s="3">
        <v>1</v>
      </c>
      <c r="L43" s="3">
        <v>1</v>
      </c>
      <c r="M43" s="3">
        <v>1</v>
      </c>
      <c r="N43" s="3">
        <v>0</v>
      </c>
    </row>
    <row r="44" spans="1:43" s="51" customFormat="1" x14ac:dyDescent="0.3">
      <c r="A44" s="44"/>
      <c r="B44" s="44" t="s">
        <v>416</v>
      </c>
      <c r="C44" s="3">
        <v>0</v>
      </c>
      <c r="D44" s="3">
        <v>0</v>
      </c>
      <c r="E44" s="3">
        <v>0</v>
      </c>
      <c r="F44" s="3">
        <v>1</v>
      </c>
      <c r="G44" s="3">
        <v>0</v>
      </c>
      <c r="H44" s="3">
        <v>1</v>
      </c>
      <c r="I44" s="3">
        <v>1</v>
      </c>
      <c r="J44" s="3">
        <v>0</v>
      </c>
      <c r="K44" s="3">
        <v>1</v>
      </c>
      <c r="L44" s="3">
        <v>1</v>
      </c>
      <c r="M44" s="3">
        <v>1</v>
      </c>
      <c r="N44" s="3">
        <v>1</v>
      </c>
    </row>
    <row r="45" spans="1:43" s="51" customFormat="1" x14ac:dyDescent="0.3">
      <c r="A45" s="44"/>
      <c r="B45" s="44" t="s">
        <v>417</v>
      </c>
      <c r="C45" s="3">
        <v>0</v>
      </c>
      <c r="D45" s="3">
        <v>0</v>
      </c>
      <c r="E45" s="3">
        <v>0</v>
      </c>
      <c r="F45" s="3">
        <v>1</v>
      </c>
      <c r="G45" s="3">
        <v>1</v>
      </c>
      <c r="H45" s="3">
        <v>1</v>
      </c>
      <c r="I45" s="3">
        <v>1</v>
      </c>
      <c r="J45" s="3">
        <v>1</v>
      </c>
      <c r="K45" s="3">
        <v>1</v>
      </c>
      <c r="L45" s="3">
        <v>1</v>
      </c>
      <c r="M45" s="3">
        <v>1</v>
      </c>
      <c r="N45" s="3">
        <v>0</v>
      </c>
    </row>
    <row r="46" spans="1:43" s="51" customFormat="1" x14ac:dyDescent="0.3">
      <c r="A46" s="44"/>
      <c r="B46" s="44" t="s">
        <v>121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</row>
    <row r="47" spans="1:43" s="51" customFormat="1" x14ac:dyDescent="0.3">
      <c r="A47" s="44"/>
      <c r="B47" s="44" t="s">
        <v>425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1</v>
      </c>
      <c r="J47" s="3">
        <v>0</v>
      </c>
      <c r="K47" s="3">
        <v>1</v>
      </c>
      <c r="L47" s="3">
        <v>1</v>
      </c>
      <c r="M47" s="3">
        <v>1</v>
      </c>
      <c r="N47" s="3">
        <v>1</v>
      </c>
    </row>
    <row r="48" spans="1:43" s="51" customFormat="1" x14ac:dyDescent="0.3">
      <c r="A48" s="44"/>
      <c r="B48" s="44" t="s">
        <v>426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1</v>
      </c>
      <c r="I48" s="3">
        <v>1</v>
      </c>
      <c r="J48" s="3">
        <v>0</v>
      </c>
      <c r="K48" s="3">
        <v>1</v>
      </c>
      <c r="L48" s="3">
        <v>0</v>
      </c>
      <c r="M48" s="3">
        <v>0</v>
      </c>
      <c r="N48" s="3">
        <v>0</v>
      </c>
    </row>
    <row r="49" spans="1:43" s="51" customFormat="1" x14ac:dyDescent="0.3">
      <c r="A49" s="44"/>
      <c r="B49" s="44" t="s">
        <v>198</v>
      </c>
      <c r="C49" s="3">
        <v>0</v>
      </c>
      <c r="D49" s="3">
        <v>0</v>
      </c>
      <c r="E49" s="3">
        <v>0</v>
      </c>
      <c r="F49" s="3">
        <v>1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1:43" s="51" customFormat="1" x14ac:dyDescent="0.3">
      <c r="A50" s="44"/>
      <c r="B50" s="44" t="s">
        <v>457</v>
      </c>
      <c r="C50" s="3">
        <v>0</v>
      </c>
      <c r="D50" s="3">
        <v>0</v>
      </c>
      <c r="E50" s="3">
        <v>0</v>
      </c>
      <c r="F50" s="3">
        <v>0</v>
      </c>
      <c r="G50" s="3">
        <v>1</v>
      </c>
      <c r="H50" s="3">
        <v>1</v>
      </c>
      <c r="I50" s="3">
        <v>1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1:43" s="51" customFormat="1" x14ac:dyDescent="0.3">
      <c r="A51" s="44"/>
      <c r="B51" s="44" t="s">
        <v>458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1</v>
      </c>
      <c r="M51" s="3">
        <v>0</v>
      </c>
      <c r="N51" s="3">
        <v>0</v>
      </c>
    </row>
    <row r="52" spans="1:43" s="51" customFormat="1" x14ac:dyDescent="0.3">
      <c r="A52" s="44"/>
      <c r="B52" s="44" t="s">
        <v>418</v>
      </c>
      <c r="C52" s="3">
        <v>0</v>
      </c>
      <c r="D52" s="3">
        <v>0</v>
      </c>
      <c r="E52" s="3">
        <v>0</v>
      </c>
      <c r="F52" s="3">
        <v>0</v>
      </c>
      <c r="G52" s="3">
        <v>1</v>
      </c>
      <c r="H52" s="3">
        <v>1</v>
      </c>
      <c r="I52" s="3">
        <v>1</v>
      </c>
      <c r="J52" s="3">
        <v>0</v>
      </c>
      <c r="K52" s="3">
        <v>1</v>
      </c>
      <c r="L52" s="3">
        <v>1</v>
      </c>
      <c r="M52" s="3">
        <v>1</v>
      </c>
      <c r="N52" s="3">
        <v>1</v>
      </c>
    </row>
    <row r="53" spans="1:43" s="51" customFormat="1" x14ac:dyDescent="0.3">
      <c r="A53" s="44"/>
      <c r="B53" s="44" t="s">
        <v>419</v>
      </c>
      <c r="C53" s="3">
        <v>0</v>
      </c>
      <c r="D53" s="3">
        <v>0</v>
      </c>
      <c r="E53" s="3">
        <v>0</v>
      </c>
      <c r="F53" s="3">
        <v>0</v>
      </c>
      <c r="G53" s="3">
        <v>1</v>
      </c>
      <c r="H53" s="3">
        <v>1</v>
      </c>
      <c r="I53" s="3">
        <v>1</v>
      </c>
      <c r="J53" s="3">
        <v>0</v>
      </c>
      <c r="K53" s="3">
        <v>1</v>
      </c>
      <c r="L53" s="3">
        <v>1</v>
      </c>
      <c r="M53" s="3">
        <v>1</v>
      </c>
      <c r="N53" s="3">
        <v>1</v>
      </c>
    </row>
    <row r="54" spans="1:43" s="51" customFormat="1" x14ac:dyDescent="0.3">
      <c r="A54" s="44"/>
      <c r="B54" s="44" t="s">
        <v>427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1</v>
      </c>
      <c r="K54" s="3">
        <v>1</v>
      </c>
      <c r="L54" s="3">
        <v>1</v>
      </c>
      <c r="M54" s="3">
        <v>1</v>
      </c>
      <c r="N54" s="3">
        <v>0</v>
      </c>
    </row>
    <row r="55" spans="1:43" s="51" customFormat="1" x14ac:dyDescent="0.3">
      <c r="A55" s="44"/>
      <c r="B55" s="44" t="s">
        <v>428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1</v>
      </c>
      <c r="M55" s="3">
        <v>1</v>
      </c>
      <c r="N55" s="3">
        <v>0</v>
      </c>
    </row>
    <row r="56" spans="1:43" s="51" customFormat="1" x14ac:dyDescent="0.3">
      <c r="A56" s="44"/>
      <c r="B56" s="44" t="s">
        <v>429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1</v>
      </c>
      <c r="N56" s="3">
        <v>0</v>
      </c>
    </row>
    <row r="57" spans="1:43" s="51" customFormat="1" x14ac:dyDescent="0.3">
      <c r="A57" s="44"/>
      <c r="B57" s="44" t="s">
        <v>423</v>
      </c>
      <c r="C57" s="3">
        <v>0</v>
      </c>
      <c r="D57" s="3">
        <v>0</v>
      </c>
      <c r="E57" s="3">
        <v>0</v>
      </c>
      <c r="F57" s="3">
        <v>0</v>
      </c>
      <c r="G57" s="3">
        <v>1</v>
      </c>
      <c r="H57" s="3">
        <v>1</v>
      </c>
      <c r="I57" s="3">
        <v>1</v>
      </c>
      <c r="J57" s="3">
        <v>0</v>
      </c>
      <c r="K57" s="3">
        <v>1</v>
      </c>
      <c r="L57" s="3">
        <v>1</v>
      </c>
      <c r="M57" s="3">
        <v>1</v>
      </c>
      <c r="N57" s="3">
        <v>1</v>
      </c>
    </row>
    <row r="58" spans="1:43" s="51" customFormat="1" x14ac:dyDescent="0.3">
      <c r="A58" s="44"/>
      <c r="B58" s="44" t="s">
        <v>424</v>
      </c>
      <c r="C58" s="3">
        <v>0</v>
      </c>
      <c r="D58" s="3">
        <v>0</v>
      </c>
      <c r="E58" s="3">
        <v>0</v>
      </c>
      <c r="F58" s="3">
        <v>0</v>
      </c>
      <c r="G58" s="3">
        <v>1</v>
      </c>
      <c r="H58" s="3">
        <v>1</v>
      </c>
      <c r="I58" s="3">
        <v>1</v>
      </c>
      <c r="J58" s="3">
        <v>0</v>
      </c>
      <c r="K58" s="3">
        <v>1</v>
      </c>
      <c r="L58" s="3">
        <v>1</v>
      </c>
      <c r="M58" s="3">
        <v>1</v>
      </c>
      <c r="N58" s="3">
        <v>1</v>
      </c>
    </row>
    <row r="59" spans="1:43" s="51" customFormat="1" x14ac:dyDescent="0.3">
      <c r="A59" s="44"/>
      <c r="B59" s="44" t="s">
        <v>420</v>
      </c>
      <c r="C59" s="3">
        <v>0</v>
      </c>
      <c r="D59" s="3">
        <v>0</v>
      </c>
      <c r="E59" s="3">
        <v>0</v>
      </c>
      <c r="F59" s="3">
        <v>0</v>
      </c>
      <c r="G59" s="3">
        <v>1</v>
      </c>
      <c r="H59" s="3">
        <v>1</v>
      </c>
      <c r="I59" s="3">
        <v>1</v>
      </c>
      <c r="J59" s="3">
        <v>0</v>
      </c>
      <c r="K59" s="3">
        <v>1</v>
      </c>
      <c r="L59" s="3">
        <v>1</v>
      </c>
      <c r="M59" s="3">
        <v>1</v>
      </c>
      <c r="N59" s="3">
        <v>1</v>
      </c>
    </row>
    <row r="60" spans="1:43" s="51" customFormat="1" x14ac:dyDescent="0.3">
      <c r="A60" s="44"/>
      <c r="B60" s="44" t="s">
        <v>421</v>
      </c>
      <c r="C60" s="3">
        <v>0</v>
      </c>
      <c r="D60" s="3">
        <v>0</v>
      </c>
      <c r="E60" s="3">
        <v>0</v>
      </c>
      <c r="F60" s="3">
        <v>0</v>
      </c>
      <c r="G60" s="3">
        <v>1</v>
      </c>
      <c r="H60" s="3">
        <v>1</v>
      </c>
      <c r="I60" s="3">
        <v>1</v>
      </c>
      <c r="J60" s="3">
        <v>0</v>
      </c>
      <c r="K60" s="3">
        <v>1</v>
      </c>
      <c r="L60" s="3">
        <v>0</v>
      </c>
      <c r="M60" s="3">
        <v>1</v>
      </c>
      <c r="N60" s="3">
        <v>1</v>
      </c>
    </row>
    <row r="61" spans="1:43" s="51" customFormat="1" x14ac:dyDescent="0.3">
      <c r="A61" s="44"/>
      <c r="B61" s="44" t="s">
        <v>422</v>
      </c>
      <c r="C61" s="3">
        <v>0</v>
      </c>
      <c r="D61" s="3">
        <v>0</v>
      </c>
      <c r="E61" s="3">
        <v>0</v>
      </c>
      <c r="F61" s="3">
        <v>0</v>
      </c>
      <c r="G61" s="3">
        <v>1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1:43" s="51" customFormat="1" x14ac:dyDescent="0.3">
      <c r="A62" s="44"/>
      <c r="B62" s="43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</row>
    <row r="63" spans="1:43" x14ac:dyDescent="0.3">
      <c r="A63" s="43"/>
      <c r="B63" s="43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</row>
    <row r="64" spans="1:43" s="38" customFormat="1" x14ac:dyDescent="0.3">
      <c r="A64" s="43"/>
      <c r="B64" s="54"/>
      <c r="C64" s="37" t="s">
        <v>37</v>
      </c>
      <c r="D64" s="37" t="s">
        <v>38</v>
      </c>
      <c r="E64" s="37" t="s">
        <v>39</v>
      </c>
      <c r="F64" s="37" t="s">
        <v>40</v>
      </c>
      <c r="G64" s="37" t="s">
        <v>36</v>
      </c>
      <c r="H64" s="37" t="s">
        <v>41</v>
      </c>
      <c r="I64" s="37" t="s">
        <v>42</v>
      </c>
      <c r="J64" s="37" t="s">
        <v>43</v>
      </c>
      <c r="K64" s="37" t="s">
        <v>44</v>
      </c>
      <c r="L64" s="37" t="s">
        <v>45</v>
      </c>
      <c r="M64" s="37" t="s">
        <v>46</v>
      </c>
      <c r="N64" s="37" t="s">
        <v>47</v>
      </c>
      <c r="P64" s="105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  <c r="AM64" s="51"/>
      <c r="AN64" s="51"/>
      <c r="AO64" s="51"/>
      <c r="AP64" s="51"/>
      <c r="AQ64" s="51"/>
    </row>
    <row r="65" spans="1:43" x14ac:dyDescent="0.3">
      <c r="A65" s="59" t="s">
        <v>0</v>
      </c>
      <c r="B65" s="107" t="s">
        <v>1</v>
      </c>
      <c r="C65" s="69">
        <v>0</v>
      </c>
      <c r="D65" s="69">
        <v>0</v>
      </c>
      <c r="E65" s="69">
        <v>0</v>
      </c>
      <c r="F65" s="69">
        <v>0</v>
      </c>
      <c r="G65" s="69">
        <v>0</v>
      </c>
      <c r="H65" s="42">
        <v>0</v>
      </c>
      <c r="I65" s="114">
        <v>0</v>
      </c>
      <c r="J65" s="114">
        <v>0</v>
      </c>
      <c r="K65" s="114">
        <v>0</v>
      </c>
      <c r="L65" s="114">
        <v>0</v>
      </c>
      <c r="M65" s="114">
        <v>0</v>
      </c>
      <c r="N65" s="114">
        <v>0</v>
      </c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  <c r="AM65" s="51"/>
      <c r="AN65" s="51"/>
      <c r="AO65" s="51"/>
      <c r="AP65" s="51"/>
      <c r="AQ65" s="51"/>
    </row>
    <row r="66" spans="1:43" s="38" customFormat="1" x14ac:dyDescent="0.3">
      <c r="B66" s="103" t="s">
        <v>143</v>
      </c>
      <c r="C66" s="69">
        <v>0</v>
      </c>
      <c r="D66" s="69">
        <v>0</v>
      </c>
      <c r="E66" s="69">
        <v>0</v>
      </c>
      <c r="F66" s="69">
        <v>0</v>
      </c>
      <c r="G66" s="69">
        <v>0</v>
      </c>
      <c r="H66" s="19">
        <v>0</v>
      </c>
      <c r="I66" s="114">
        <v>0</v>
      </c>
      <c r="J66" s="114">
        <v>0</v>
      </c>
      <c r="K66" s="114">
        <v>0</v>
      </c>
      <c r="L66" s="114">
        <v>0</v>
      </c>
      <c r="M66" s="114">
        <v>0</v>
      </c>
      <c r="N66" s="114">
        <v>0</v>
      </c>
      <c r="P66" s="105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  <c r="AM66" s="51"/>
      <c r="AN66" s="51"/>
      <c r="AO66" s="51"/>
      <c r="AP66" s="51"/>
      <c r="AQ66" s="51"/>
    </row>
    <row r="67" spans="1:43" s="38" customFormat="1" x14ac:dyDescent="0.3">
      <c r="A67" s="44" t="s">
        <v>142</v>
      </c>
      <c r="B67" s="103" t="s">
        <v>145</v>
      </c>
      <c r="C67" s="69">
        <v>0</v>
      </c>
      <c r="D67" s="69">
        <v>0</v>
      </c>
      <c r="E67" s="69">
        <v>0</v>
      </c>
      <c r="F67" s="69">
        <v>0</v>
      </c>
      <c r="G67" s="69">
        <v>0</v>
      </c>
      <c r="H67" s="19">
        <v>0</v>
      </c>
      <c r="I67" s="114">
        <v>0</v>
      </c>
      <c r="J67" s="114">
        <v>0</v>
      </c>
      <c r="K67" s="114">
        <v>0</v>
      </c>
      <c r="L67" s="114">
        <v>0</v>
      </c>
      <c r="M67" s="114">
        <v>0</v>
      </c>
      <c r="N67" s="114">
        <v>0</v>
      </c>
      <c r="P67" s="105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  <c r="AM67" s="51"/>
      <c r="AN67" s="51"/>
      <c r="AO67" s="51"/>
      <c r="AP67" s="51"/>
      <c r="AQ67" s="51"/>
    </row>
    <row r="68" spans="1:43" s="38" customFormat="1" x14ac:dyDescent="0.3">
      <c r="A68" s="44" t="s">
        <v>144</v>
      </c>
      <c r="B68" s="103" t="s">
        <v>147</v>
      </c>
      <c r="C68" s="69">
        <v>0</v>
      </c>
      <c r="D68" s="69">
        <v>0</v>
      </c>
      <c r="E68" s="69">
        <v>0</v>
      </c>
      <c r="F68" s="69">
        <v>0</v>
      </c>
      <c r="G68" s="69">
        <v>0</v>
      </c>
      <c r="H68" s="19">
        <v>0</v>
      </c>
      <c r="I68" s="114">
        <v>0</v>
      </c>
      <c r="J68" s="114">
        <v>0</v>
      </c>
      <c r="K68" s="114">
        <v>0</v>
      </c>
      <c r="L68" s="114">
        <v>0</v>
      </c>
      <c r="M68" s="114">
        <v>0</v>
      </c>
      <c r="N68" s="114">
        <v>0</v>
      </c>
      <c r="P68" s="105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  <c r="AM68" s="51"/>
      <c r="AN68" s="51"/>
      <c r="AO68" s="51"/>
      <c r="AP68" s="51"/>
      <c r="AQ68" s="51"/>
    </row>
    <row r="69" spans="1:43" s="38" customFormat="1" x14ac:dyDescent="0.3">
      <c r="A69" s="44" t="s">
        <v>146</v>
      </c>
      <c r="B69" s="103" t="s">
        <v>149</v>
      </c>
      <c r="C69" s="69">
        <v>0</v>
      </c>
      <c r="D69" s="69">
        <v>0</v>
      </c>
      <c r="E69" s="69">
        <v>0</v>
      </c>
      <c r="F69" s="69">
        <v>0</v>
      </c>
      <c r="G69" s="69">
        <v>0</v>
      </c>
      <c r="H69" s="19">
        <v>0</v>
      </c>
      <c r="I69" s="114">
        <v>0</v>
      </c>
      <c r="J69" s="114">
        <v>0</v>
      </c>
      <c r="K69" s="114">
        <v>0</v>
      </c>
      <c r="L69" s="114">
        <v>0</v>
      </c>
      <c r="M69" s="114">
        <v>0</v>
      </c>
      <c r="N69" s="114">
        <v>0</v>
      </c>
      <c r="P69" s="105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51"/>
      <c r="AP69" s="51"/>
      <c r="AQ69" s="51"/>
    </row>
    <row r="70" spans="1:43" s="38" customFormat="1" x14ac:dyDescent="0.3">
      <c r="A70" s="44" t="s">
        <v>148</v>
      </c>
      <c r="B70" s="103" t="s">
        <v>151</v>
      </c>
      <c r="C70" s="69">
        <v>0</v>
      </c>
      <c r="D70" s="69">
        <v>0</v>
      </c>
      <c r="E70" s="69">
        <v>0</v>
      </c>
      <c r="F70" s="69">
        <v>0</v>
      </c>
      <c r="G70" s="69">
        <v>0</v>
      </c>
      <c r="H70" s="19">
        <v>0</v>
      </c>
      <c r="I70" s="114">
        <v>0</v>
      </c>
      <c r="J70" s="114">
        <v>0</v>
      </c>
      <c r="K70" s="114">
        <v>0</v>
      </c>
      <c r="L70" s="114">
        <v>0</v>
      </c>
      <c r="M70" s="114">
        <v>0</v>
      </c>
      <c r="N70" s="114">
        <v>0</v>
      </c>
      <c r="P70" s="105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  <c r="AM70" s="51"/>
      <c r="AN70" s="51"/>
      <c r="AO70" s="51"/>
      <c r="AP70" s="51"/>
      <c r="AQ70" s="51"/>
    </row>
    <row r="71" spans="1:43" s="38" customFormat="1" x14ac:dyDescent="0.3">
      <c r="A71" s="44" t="s">
        <v>150</v>
      </c>
      <c r="B71" s="103" t="s">
        <v>153</v>
      </c>
      <c r="C71" s="69">
        <v>0</v>
      </c>
      <c r="D71" s="69">
        <v>0</v>
      </c>
      <c r="E71" s="69">
        <v>0</v>
      </c>
      <c r="F71" s="69">
        <v>0</v>
      </c>
      <c r="G71" s="69">
        <v>0</v>
      </c>
      <c r="H71" s="19">
        <v>0</v>
      </c>
      <c r="I71" s="114">
        <v>0</v>
      </c>
      <c r="J71" s="114">
        <v>0</v>
      </c>
      <c r="K71" s="114">
        <v>0</v>
      </c>
      <c r="L71" s="114">
        <v>0</v>
      </c>
      <c r="M71" s="114">
        <v>0</v>
      </c>
      <c r="N71" s="114">
        <v>0</v>
      </c>
      <c r="P71" s="105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  <c r="AM71" s="51"/>
      <c r="AN71" s="51"/>
      <c r="AO71" s="51"/>
      <c r="AP71" s="51"/>
      <c r="AQ71" s="51"/>
    </row>
    <row r="72" spans="1:43" s="38" customFormat="1" x14ac:dyDescent="0.3">
      <c r="A72" s="44" t="s">
        <v>152</v>
      </c>
      <c r="B72" s="103" t="s">
        <v>155</v>
      </c>
      <c r="C72" s="69">
        <v>0</v>
      </c>
      <c r="D72" s="69">
        <v>0</v>
      </c>
      <c r="E72" s="69">
        <v>0</v>
      </c>
      <c r="F72" s="69">
        <v>0</v>
      </c>
      <c r="G72" s="69">
        <v>0</v>
      </c>
      <c r="H72" s="52">
        <v>0</v>
      </c>
      <c r="I72" s="114">
        <v>0</v>
      </c>
      <c r="J72" s="114">
        <v>0</v>
      </c>
      <c r="K72" s="114">
        <v>0</v>
      </c>
      <c r="L72" s="114">
        <v>0</v>
      </c>
      <c r="M72" s="114">
        <v>0</v>
      </c>
      <c r="N72" s="114">
        <v>0</v>
      </c>
      <c r="P72" s="105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51"/>
      <c r="AP72" s="51"/>
      <c r="AQ72" s="51"/>
    </row>
    <row r="73" spans="1:43" s="38" customFormat="1" x14ac:dyDescent="0.3">
      <c r="A73" s="44" t="s">
        <v>154</v>
      </c>
      <c r="B73" s="103" t="s">
        <v>348</v>
      </c>
      <c r="C73" s="69">
        <v>0</v>
      </c>
      <c r="D73" s="69">
        <v>0</v>
      </c>
      <c r="E73" s="69">
        <v>0</v>
      </c>
      <c r="F73" s="69">
        <v>0</v>
      </c>
      <c r="G73" s="69">
        <v>0</v>
      </c>
      <c r="H73" s="52">
        <v>1</v>
      </c>
      <c r="I73" s="114">
        <v>0</v>
      </c>
      <c r="J73" s="114">
        <v>0</v>
      </c>
      <c r="K73" s="114">
        <v>0</v>
      </c>
      <c r="L73" s="114">
        <v>0</v>
      </c>
      <c r="M73" s="114">
        <v>0</v>
      </c>
      <c r="N73" s="114">
        <v>0</v>
      </c>
      <c r="P73" s="105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  <c r="AM73" s="51"/>
      <c r="AN73" s="51"/>
      <c r="AO73" s="51"/>
      <c r="AP73" s="51"/>
      <c r="AQ73" s="51"/>
    </row>
    <row r="74" spans="1:43" s="38" customFormat="1" x14ac:dyDescent="0.3">
      <c r="A74" s="44"/>
      <c r="B74" s="103" t="s">
        <v>157</v>
      </c>
      <c r="C74" s="69">
        <v>0</v>
      </c>
      <c r="D74" s="69">
        <v>0</v>
      </c>
      <c r="E74" s="69">
        <v>0</v>
      </c>
      <c r="F74" s="69">
        <v>0</v>
      </c>
      <c r="G74" s="69">
        <v>1</v>
      </c>
      <c r="H74" s="52">
        <v>1</v>
      </c>
      <c r="I74" s="114">
        <v>0</v>
      </c>
      <c r="J74" s="114">
        <v>0</v>
      </c>
      <c r="K74" s="114">
        <v>0</v>
      </c>
      <c r="L74" s="114">
        <v>1</v>
      </c>
      <c r="M74" s="114">
        <v>0</v>
      </c>
      <c r="N74" s="114">
        <v>0</v>
      </c>
      <c r="P74" s="105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  <c r="AM74" s="51"/>
      <c r="AN74" s="51"/>
      <c r="AO74" s="51"/>
      <c r="AP74" s="51"/>
      <c r="AQ74" s="51"/>
    </row>
    <row r="75" spans="1:43" x14ac:dyDescent="0.3">
      <c r="A75" s="44" t="s">
        <v>156</v>
      </c>
      <c r="B75" s="38"/>
      <c r="C75" s="38">
        <v>0</v>
      </c>
      <c r="D75" s="38">
        <v>0</v>
      </c>
      <c r="E75" s="38">
        <v>0</v>
      </c>
      <c r="F75" s="38">
        <v>0</v>
      </c>
      <c r="G75" s="38">
        <v>0</v>
      </c>
      <c r="H75" s="38">
        <v>0</v>
      </c>
      <c r="I75" s="114">
        <v>0</v>
      </c>
      <c r="J75" s="114">
        <v>0</v>
      </c>
      <c r="K75" s="114">
        <v>0</v>
      </c>
      <c r="L75" s="114">
        <v>0</v>
      </c>
      <c r="M75" s="114">
        <v>0</v>
      </c>
      <c r="N75" s="114">
        <v>0</v>
      </c>
      <c r="O75" s="38"/>
      <c r="P75" s="38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51"/>
      <c r="AP75" s="51"/>
      <c r="AQ75" s="51"/>
    </row>
    <row r="76" spans="1:43" x14ac:dyDescent="0.3">
      <c r="A76" s="44" t="s">
        <v>430</v>
      </c>
      <c r="B76" s="44" t="s">
        <v>348</v>
      </c>
      <c r="C76" s="114">
        <v>0</v>
      </c>
      <c r="D76" s="114">
        <v>0</v>
      </c>
      <c r="E76" s="114">
        <v>0</v>
      </c>
      <c r="F76" s="114">
        <v>0</v>
      </c>
      <c r="G76" s="114">
        <v>0</v>
      </c>
      <c r="H76" s="114">
        <v>0</v>
      </c>
      <c r="I76" s="114">
        <v>0</v>
      </c>
      <c r="J76" s="114">
        <v>0</v>
      </c>
      <c r="K76" s="114">
        <v>0</v>
      </c>
      <c r="L76" s="114">
        <v>1</v>
      </c>
      <c r="M76" s="114">
        <v>0</v>
      </c>
      <c r="N76" s="114">
        <v>0</v>
      </c>
      <c r="O76" s="38"/>
      <c r="P76" s="38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</row>
    <row r="77" spans="1:43" x14ac:dyDescent="0.3">
      <c r="A77" s="38"/>
      <c r="B77" s="44" t="s">
        <v>431</v>
      </c>
      <c r="C77" s="114">
        <v>0</v>
      </c>
      <c r="D77" s="114">
        <v>0</v>
      </c>
      <c r="E77" s="114">
        <v>0</v>
      </c>
      <c r="F77" s="114">
        <v>0</v>
      </c>
      <c r="G77" s="114">
        <v>0</v>
      </c>
      <c r="H77" s="114">
        <v>0</v>
      </c>
      <c r="I77" s="114">
        <v>0</v>
      </c>
      <c r="J77" s="114">
        <v>0</v>
      </c>
      <c r="K77" s="114">
        <v>0</v>
      </c>
      <c r="L77" s="114">
        <v>1</v>
      </c>
      <c r="M77" s="114">
        <v>0</v>
      </c>
      <c r="N77" s="114">
        <v>0</v>
      </c>
      <c r="O77" s="38"/>
      <c r="P77" s="38"/>
    </row>
    <row r="78" spans="1:43" x14ac:dyDescent="0.3">
      <c r="A78" s="38"/>
      <c r="B78" s="44" t="s">
        <v>432</v>
      </c>
      <c r="C78" s="114">
        <v>0</v>
      </c>
      <c r="D78" s="114">
        <v>0</v>
      </c>
      <c r="E78" s="114">
        <v>0</v>
      </c>
      <c r="F78" s="114">
        <v>0</v>
      </c>
      <c r="G78" s="114">
        <v>0</v>
      </c>
      <c r="H78" s="114">
        <v>0</v>
      </c>
      <c r="I78" s="114">
        <v>0</v>
      </c>
      <c r="J78" s="114">
        <v>0</v>
      </c>
      <c r="K78" s="114">
        <v>0</v>
      </c>
      <c r="L78" s="114">
        <v>1</v>
      </c>
      <c r="M78" s="114">
        <v>0</v>
      </c>
      <c r="N78" s="114">
        <v>0</v>
      </c>
      <c r="O78" s="38"/>
      <c r="P78" s="38"/>
    </row>
    <row r="79" spans="1:43" x14ac:dyDescent="0.3">
      <c r="A79" s="38"/>
      <c r="B79" s="44" t="s">
        <v>433</v>
      </c>
      <c r="C79" s="114">
        <v>0</v>
      </c>
      <c r="D79" s="114">
        <v>0</v>
      </c>
      <c r="E79" s="114">
        <v>0</v>
      </c>
      <c r="F79" s="114">
        <v>0</v>
      </c>
      <c r="G79" s="114">
        <v>1</v>
      </c>
      <c r="H79" s="114">
        <v>0</v>
      </c>
      <c r="I79" s="114">
        <v>0</v>
      </c>
      <c r="J79" s="114">
        <v>0</v>
      </c>
      <c r="K79" s="114">
        <v>0</v>
      </c>
      <c r="L79" s="114">
        <v>0</v>
      </c>
      <c r="M79" s="114">
        <v>0</v>
      </c>
      <c r="N79" s="114">
        <v>0</v>
      </c>
      <c r="O79" s="38"/>
      <c r="P79" s="38"/>
    </row>
  </sheetData>
  <pageMargins left="0.7" right="0.7" top="0.75" bottom="0.75" header="0.3" footer="0.3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zoomScaleSheetLayoutView="100" workbookViewId="0">
      <selection activeCell="T44" sqref="T44"/>
    </sheetView>
  </sheetViews>
  <sheetFormatPr defaultColWidth="8.77734375" defaultRowHeight="14.4" x14ac:dyDescent="0.3"/>
  <cols>
    <col min="1" max="1" width="23.5546875" customWidth="1"/>
  </cols>
  <sheetData>
    <row r="1" spans="1:14" s="84" customFormat="1" ht="15" thickBot="1" x14ac:dyDescent="0.35">
      <c r="A1" s="78"/>
      <c r="B1" s="79"/>
      <c r="C1" s="80" t="s">
        <v>37</v>
      </c>
      <c r="D1" s="80" t="s">
        <v>38</v>
      </c>
      <c r="E1" s="81" t="s">
        <v>39</v>
      </c>
      <c r="F1" s="82" t="s">
        <v>40</v>
      </c>
      <c r="G1" s="81" t="s">
        <v>36</v>
      </c>
      <c r="H1" s="81" t="s">
        <v>41</v>
      </c>
      <c r="I1" s="83" t="s">
        <v>42</v>
      </c>
      <c r="J1" s="83" t="s">
        <v>43</v>
      </c>
      <c r="K1" s="83" t="s">
        <v>44</v>
      </c>
      <c r="L1" s="83" t="s">
        <v>45</v>
      </c>
      <c r="M1" s="81" t="s">
        <v>46</v>
      </c>
      <c r="N1" s="83" t="s">
        <v>47</v>
      </c>
    </row>
    <row r="2" spans="1:14" ht="15" thickBot="1" x14ac:dyDescent="0.35">
      <c r="A2" s="29" t="s">
        <v>0</v>
      </c>
      <c r="B2" s="31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0"/>
      <c r="N2" s="2"/>
    </row>
    <row r="3" spans="1:14" x14ac:dyDescent="0.3">
      <c r="A3" s="44" t="s">
        <v>158</v>
      </c>
      <c r="B3" s="44" t="s">
        <v>11</v>
      </c>
      <c r="C3" s="23"/>
      <c r="D3" s="8"/>
      <c r="E3" s="8"/>
      <c r="F3" s="8"/>
      <c r="G3" s="8"/>
      <c r="H3" s="7"/>
      <c r="I3" s="8"/>
      <c r="J3" s="8"/>
      <c r="K3" s="8"/>
      <c r="L3" s="8"/>
      <c r="M3" s="23"/>
      <c r="N3" s="8"/>
    </row>
    <row r="4" spans="1:14" x14ac:dyDescent="0.3">
      <c r="A4" s="44" t="s">
        <v>159</v>
      </c>
      <c r="B4" s="44" t="s">
        <v>12</v>
      </c>
      <c r="C4" s="19"/>
      <c r="D4" s="3"/>
      <c r="E4" s="3"/>
      <c r="F4" s="3"/>
      <c r="G4" s="3"/>
      <c r="H4" s="9"/>
      <c r="I4" s="3"/>
      <c r="J4" s="3"/>
      <c r="K4" s="3"/>
      <c r="L4" s="3"/>
      <c r="M4" s="19"/>
      <c r="N4" s="3"/>
    </row>
    <row r="5" spans="1:14" x14ac:dyDescent="0.3">
      <c r="A5" s="44" t="s">
        <v>160</v>
      </c>
      <c r="B5" s="44" t="s">
        <v>13</v>
      </c>
      <c r="C5" s="19"/>
      <c r="D5" s="3"/>
      <c r="E5" s="3"/>
      <c r="F5" s="3"/>
      <c r="G5" s="3"/>
      <c r="H5" s="9"/>
      <c r="I5" s="3"/>
      <c r="J5" s="3"/>
      <c r="K5" s="3"/>
      <c r="L5" s="3"/>
      <c r="M5" s="19"/>
      <c r="N5" s="3"/>
    </row>
    <row r="6" spans="1:14" x14ac:dyDescent="0.3">
      <c r="A6" s="44" t="s">
        <v>161</v>
      </c>
      <c r="B6" s="44" t="s">
        <v>14</v>
      </c>
      <c r="C6" s="19"/>
      <c r="D6" s="3"/>
      <c r="E6" s="3"/>
      <c r="F6" s="3"/>
      <c r="G6" s="3"/>
      <c r="H6" s="9"/>
      <c r="I6" s="3"/>
      <c r="J6" s="3"/>
      <c r="K6" s="3"/>
      <c r="L6" s="3"/>
      <c r="M6" s="19"/>
      <c r="N6" s="3"/>
    </row>
    <row r="7" spans="1:14" x14ac:dyDescent="0.3">
      <c r="A7" s="44" t="s">
        <v>162</v>
      </c>
      <c r="B7" s="44" t="s">
        <v>2</v>
      </c>
      <c r="C7" s="47"/>
      <c r="D7" s="46"/>
      <c r="E7" s="46"/>
      <c r="F7" s="46"/>
      <c r="G7" s="46"/>
      <c r="H7" s="45"/>
      <c r="I7" s="46"/>
      <c r="J7" s="46"/>
      <c r="K7" s="46"/>
      <c r="L7" s="46"/>
      <c r="M7" s="47"/>
      <c r="N7" s="46"/>
    </row>
    <row r="8" spans="1:14" x14ac:dyDescent="0.3">
      <c r="A8" s="44" t="s">
        <v>163</v>
      </c>
      <c r="B8" s="44" t="s">
        <v>3</v>
      </c>
      <c r="C8" s="22"/>
      <c r="D8" s="15"/>
      <c r="E8" s="15"/>
      <c r="F8" s="15"/>
      <c r="G8" s="15"/>
      <c r="H8" s="14"/>
      <c r="I8" s="15"/>
      <c r="J8" s="15"/>
      <c r="K8" s="15"/>
      <c r="L8" s="15"/>
      <c r="M8" s="22"/>
      <c r="N8" s="15"/>
    </row>
    <row r="9" spans="1:14" x14ac:dyDescent="0.3">
      <c r="A9" s="44" t="s">
        <v>164</v>
      </c>
      <c r="B9" s="44" t="s">
        <v>4</v>
      </c>
      <c r="C9" s="19"/>
      <c r="D9" s="3"/>
      <c r="E9" s="3"/>
      <c r="F9" s="3"/>
      <c r="G9" s="3"/>
      <c r="H9" s="9"/>
      <c r="I9" s="3"/>
      <c r="J9" s="3"/>
      <c r="K9" s="3"/>
      <c r="L9" s="3"/>
      <c r="M9" s="19"/>
      <c r="N9" s="3"/>
    </row>
    <row r="10" spans="1:14" x14ac:dyDescent="0.3">
      <c r="A10" s="44" t="s">
        <v>165</v>
      </c>
      <c r="B10" s="44" t="s">
        <v>5</v>
      </c>
      <c r="C10" s="19"/>
      <c r="D10" s="3"/>
      <c r="E10" s="3"/>
      <c r="F10" s="3"/>
      <c r="G10" s="3"/>
      <c r="H10" s="9"/>
      <c r="I10" s="3"/>
      <c r="J10" s="3"/>
      <c r="K10" s="3"/>
      <c r="L10" s="3"/>
      <c r="M10" s="19"/>
      <c r="N10" s="3"/>
    </row>
    <row r="11" spans="1:14" x14ac:dyDescent="0.3">
      <c r="A11" s="44" t="s">
        <v>166</v>
      </c>
      <c r="B11" s="44" t="s">
        <v>6</v>
      </c>
      <c r="C11" s="19"/>
      <c r="D11" s="3"/>
      <c r="E11" s="3"/>
      <c r="F11" s="3"/>
      <c r="G11" s="3"/>
      <c r="H11" s="9"/>
      <c r="I11" s="3"/>
      <c r="J11" s="3"/>
      <c r="K11" s="3"/>
      <c r="L11" s="3"/>
      <c r="M11" s="19"/>
      <c r="N11" s="3"/>
    </row>
    <row r="12" spans="1:14" x14ac:dyDescent="0.3">
      <c r="A12" s="44" t="s">
        <v>167</v>
      </c>
      <c r="B12" s="44" t="s">
        <v>168</v>
      </c>
      <c r="C12" s="19"/>
      <c r="D12" s="3"/>
      <c r="E12" s="3"/>
      <c r="F12" s="3"/>
      <c r="G12" s="3"/>
      <c r="H12" s="9"/>
      <c r="I12" s="3"/>
      <c r="J12" s="3"/>
      <c r="K12" s="3"/>
      <c r="L12" s="3"/>
      <c r="M12" s="19"/>
      <c r="N12" s="3"/>
    </row>
    <row r="13" spans="1:14" x14ac:dyDescent="0.3">
      <c r="A13" s="44" t="s">
        <v>169</v>
      </c>
      <c r="B13" s="44" t="s">
        <v>170</v>
      </c>
      <c r="C13" s="19"/>
      <c r="D13" s="3"/>
      <c r="E13" s="3"/>
      <c r="F13" s="3"/>
      <c r="G13" s="3"/>
      <c r="H13" s="9"/>
      <c r="I13" s="3"/>
      <c r="J13" s="3"/>
      <c r="K13" s="3"/>
      <c r="L13" s="3"/>
      <c r="M13" s="19"/>
      <c r="N13" s="3"/>
    </row>
    <row r="14" spans="1:14" x14ac:dyDescent="0.3">
      <c r="A14" s="44" t="s">
        <v>171</v>
      </c>
      <c r="B14" s="44" t="s">
        <v>8</v>
      </c>
      <c r="C14" s="19"/>
      <c r="D14" s="3"/>
      <c r="E14" s="3"/>
      <c r="F14" s="3"/>
      <c r="G14" s="3"/>
      <c r="H14" s="9"/>
      <c r="I14" s="3"/>
      <c r="J14" s="3"/>
      <c r="K14" s="3"/>
      <c r="L14" s="3"/>
      <c r="M14" s="19"/>
      <c r="N14" s="3"/>
    </row>
    <row r="15" spans="1:14" x14ac:dyDescent="0.3">
      <c r="A15" s="44" t="s">
        <v>172</v>
      </c>
      <c r="B15" s="44" t="s">
        <v>9</v>
      </c>
      <c r="C15" s="19"/>
      <c r="D15" s="3"/>
      <c r="E15" s="3"/>
      <c r="F15" s="3"/>
      <c r="G15" s="3"/>
      <c r="H15" s="9"/>
      <c r="I15" s="3"/>
      <c r="J15" s="3"/>
      <c r="K15" s="3"/>
      <c r="L15" s="3"/>
      <c r="M15" s="19"/>
      <c r="N15" s="3"/>
    </row>
    <row r="16" spans="1:14" x14ac:dyDescent="0.3">
      <c r="A16" s="44" t="s">
        <v>173</v>
      </c>
      <c r="B16" s="44" t="s">
        <v>10</v>
      </c>
      <c r="C16" s="19"/>
      <c r="D16" s="3"/>
      <c r="E16" s="3"/>
      <c r="F16" s="3"/>
      <c r="G16" s="3"/>
      <c r="H16" s="9"/>
      <c r="I16" s="3"/>
      <c r="J16" s="3"/>
      <c r="K16" s="3"/>
      <c r="L16" s="3"/>
      <c r="M16" s="19"/>
      <c r="N16" s="3"/>
    </row>
    <row r="17" spans="1:14" x14ac:dyDescent="0.3">
      <c r="A17" s="44" t="s">
        <v>174</v>
      </c>
      <c r="B17" s="44" t="s">
        <v>175</v>
      </c>
      <c r="C17" s="19"/>
      <c r="D17" s="3"/>
      <c r="E17" s="3"/>
      <c r="F17" s="3"/>
      <c r="G17" s="3"/>
      <c r="H17" s="9"/>
      <c r="I17" s="3"/>
      <c r="J17" s="3"/>
      <c r="K17" s="3"/>
      <c r="L17" s="3"/>
      <c r="M17" s="19"/>
      <c r="N17" s="3"/>
    </row>
    <row r="18" spans="1:14" x14ac:dyDescent="0.3">
      <c r="A18" s="44" t="s">
        <v>176</v>
      </c>
      <c r="B18" s="44" t="s">
        <v>7</v>
      </c>
      <c r="C18" s="19"/>
      <c r="D18" s="3"/>
      <c r="E18" s="3"/>
      <c r="F18" s="3"/>
      <c r="G18" s="3"/>
      <c r="H18" s="9"/>
      <c r="I18" s="3"/>
      <c r="J18" s="3"/>
      <c r="K18" s="3"/>
      <c r="L18" s="3"/>
      <c r="M18" s="19"/>
      <c r="N18" s="3"/>
    </row>
    <row r="19" spans="1:14" ht="15" thickBot="1" x14ac:dyDescent="0.35">
      <c r="A19" s="44"/>
      <c r="B19" s="44"/>
      <c r="C19" s="11"/>
      <c r="D19" s="12"/>
      <c r="E19" s="12"/>
      <c r="F19" s="12"/>
      <c r="G19" s="12"/>
      <c r="H19" s="11"/>
      <c r="I19" s="12"/>
      <c r="J19" s="12"/>
      <c r="K19" s="12"/>
      <c r="L19" s="12"/>
      <c r="M19" s="20"/>
      <c r="N19" s="12"/>
    </row>
    <row r="20" spans="1:14" x14ac:dyDescent="0.3">
      <c r="A20" s="48"/>
      <c r="B20" s="48"/>
    </row>
    <row r="21" spans="1:14" x14ac:dyDescent="0.3">
      <c r="A21" s="48"/>
      <c r="B21" s="48"/>
    </row>
    <row r="22" spans="1:14" x14ac:dyDescent="0.3">
      <c r="A22" s="53"/>
      <c r="B22" s="54"/>
      <c r="C22" s="37" t="s">
        <v>37</v>
      </c>
      <c r="D22" s="37" t="s">
        <v>38</v>
      </c>
      <c r="E22" s="37" t="s">
        <v>39</v>
      </c>
      <c r="F22" s="37" t="s">
        <v>346</v>
      </c>
      <c r="G22" s="37" t="s">
        <v>36</v>
      </c>
      <c r="H22" s="37" t="s">
        <v>41</v>
      </c>
      <c r="I22" s="37" t="s">
        <v>42</v>
      </c>
      <c r="J22" s="37" t="s">
        <v>43</v>
      </c>
      <c r="K22" s="37" t="s">
        <v>44</v>
      </c>
      <c r="L22" s="37" t="s">
        <v>45</v>
      </c>
      <c r="M22" s="37" t="s">
        <v>46</v>
      </c>
      <c r="N22" s="37" t="s">
        <v>47</v>
      </c>
    </row>
    <row r="23" spans="1:14" x14ac:dyDescent="0.3">
      <c r="A23" s="57" t="s">
        <v>0</v>
      </c>
      <c r="B23" s="54" t="s">
        <v>1</v>
      </c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</row>
    <row r="24" spans="1:14" x14ac:dyDescent="0.3">
      <c r="A24" s="44" t="s">
        <v>345</v>
      </c>
      <c r="B24" s="44" t="s">
        <v>35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3">
      <c r="A25" s="44" t="s">
        <v>177</v>
      </c>
      <c r="B25" s="44" t="s">
        <v>178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3">
      <c r="A26" s="44" t="s">
        <v>179</v>
      </c>
      <c r="B26" s="44" t="s">
        <v>180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3">
      <c r="A27" s="44" t="s">
        <v>181</v>
      </c>
      <c r="B27" s="44" t="s">
        <v>29</v>
      </c>
      <c r="C27" s="3"/>
      <c r="D27" s="3"/>
      <c r="E27" s="3"/>
      <c r="F27" s="3"/>
      <c r="G27" s="3"/>
      <c r="H27" s="3"/>
      <c r="I27" s="3"/>
      <c r="J27" s="3">
        <v>1</v>
      </c>
      <c r="K27" s="3"/>
      <c r="L27" s="3"/>
      <c r="M27" s="3"/>
      <c r="N27" s="3"/>
    </row>
    <row r="28" spans="1:14" x14ac:dyDescent="0.3">
      <c r="A28" s="44" t="s">
        <v>182</v>
      </c>
      <c r="B28" s="44" t="s">
        <v>30</v>
      </c>
      <c r="C28" s="3"/>
      <c r="D28" s="3"/>
      <c r="E28" s="3"/>
      <c r="F28" s="3"/>
      <c r="G28" s="3"/>
      <c r="H28" s="3"/>
      <c r="I28" s="3"/>
      <c r="J28" s="3">
        <v>1</v>
      </c>
      <c r="K28" s="3"/>
      <c r="L28" s="3"/>
      <c r="M28" s="3"/>
      <c r="N28" s="3"/>
    </row>
    <row r="29" spans="1:14" x14ac:dyDescent="0.3">
      <c r="A29" s="44" t="s">
        <v>183</v>
      </c>
      <c r="B29" s="44" t="s">
        <v>31</v>
      </c>
      <c r="C29" s="37"/>
      <c r="D29" s="37"/>
      <c r="E29" s="37"/>
      <c r="F29" s="37"/>
      <c r="G29" s="37"/>
      <c r="H29" s="37"/>
      <c r="I29" s="37"/>
      <c r="J29" s="86">
        <v>1</v>
      </c>
      <c r="K29" s="37"/>
      <c r="L29" s="37"/>
      <c r="M29" s="37"/>
      <c r="N29" s="37"/>
    </row>
    <row r="30" spans="1:14" x14ac:dyDescent="0.3">
      <c r="A30" s="44" t="s">
        <v>184</v>
      </c>
      <c r="B30" s="44" t="s">
        <v>32</v>
      </c>
      <c r="C30" s="37"/>
      <c r="D30" s="37"/>
      <c r="E30" s="37"/>
      <c r="F30" s="37"/>
      <c r="G30" s="37"/>
      <c r="H30" s="37"/>
      <c r="I30" s="37"/>
      <c r="J30" s="86">
        <v>1</v>
      </c>
      <c r="K30" s="37"/>
      <c r="L30" s="37"/>
      <c r="M30" s="37"/>
      <c r="N30" s="37"/>
    </row>
    <row r="31" spans="1:14" x14ac:dyDescent="0.3">
      <c r="A31" s="44" t="s">
        <v>185</v>
      </c>
      <c r="B31" s="44" t="s">
        <v>33</v>
      </c>
      <c r="C31" s="3"/>
      <c r="D31" s="3"/>
      <c r="E31" s="3"/>
      <c r="F31" s="3"/>
      <c r="G31" s="3"/>
      <c r="H31" s="3"/>
      <c r="I31" s="3"/>
      <c r="J31" s="3">
        <v>0</v>
      </c>
      <c r="K31" s="3"/>
      <c r="L31" s="3"/>
      <c r="M31" s="3"/>
      <c r="N31" s="3"/>
    </row>
    <row r="32" spans="1:14" x14ac:dyDescent="0.3">
      <c r="A32" s="44" t="s">
        <v>186</v>
      </c>
      <c r="B32" s="44" t="s">
        <v>34</v>
      </c>
      <c r="C32" s="3"/>
      <c r="D32" s="3"/>
      <c r="E32" s="3"/>
      <c r="F32" s="3"/>
      <c r="G32" s="3"/>
      <c r="H32" s="3"/>
      <c r="I32" s="3"/>
      <c r="J32" s="3">
        <v>1</v>
      </c>
      <c r="K32" s="3"/>
      <c r="L32" s="3"/>
      <c r="M32" s="3"/>
      <c r="N32" s="3"/>
    </row>
    <row r="33" spans="1:14" x14ac:dyDescent="0.3">
      <c r="A33" s="44"/>
      <c r="B33" s="44" t="s">
        <v>385</v>
      </c>
      <c r="C33" s="3"/>
      <c r="D33" s="3"/>
      <c r="E33" s="3"/>
      <c r="F33" s="3"/>
      <c r="G33" s="3"/>
      <c r="H33" s="3"/>
      <c r="I33" s="3"/>
      <c r="J33" s="3">
        <v>1</v>
      </c>
      <c r="K33" s="3"/>
      <c r="L33" s="3"/>
      <c r="M33" s="3"/>
      <c r="N33" s="3"/>
    </row>
    <row r="34" spans="1:14" x14ac:dyDescent="0.3">
      <c r="A34" s="44"/>
      <c r="B34" s="44" t="s">
        <v>386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/>
      <c r="M34" s="3"/>
      <c r="N34" s="3"/>
    </row>
    <row r="35" spans="1:14" x14ac:dyDescent="0.3">
      <c r="A35" s="44"/>
      <c r="B35" s="44" t="s">
        <v>387</v>
      </c>
      <c r="C35" s="3"/>
      <c r="D35" s="3"/>
      <c r="E35" s="3"/>
      <c r="F35" s="3"/>
      <c r="G35" s="3"/>
      <c r="H35" s="3"/>
      <c r="I35" s="3"/>
      <c r="J35" s="3">
        <v>1</v>
      </c>
      <c r="K35" s="3"/>
      <c r="L35" s="3"/>
      <c r="M35" s="3"/>
      <c r="N35" s="3"/>
    </row>
    <row r="36" spans="1:14" x14ac:dyDescent="0.3">
      <c r="A36" s="44"/>
      <c r="B36" s="44" t="s">
        <v>388</v>
      </c>
      <c r="C36" s="3"/>
      <c r="D36" s="3"/>
      <c r="E36" s="3"/>
      <c r="F36" s="3"/>
      <c r="G36" s="3"/>
      <c r="H36" s="3"/>
      <c r="I36" s="3"/>
      <c r="J36" s="3">
        <v>1</v>
      </c>
      <c r="K36" s="3"/>
      <c r="L36" s="3"/>
      <c r="M36" s="3"/>
      <c r="N36" s="3"/>
    </row>
    <row r="37" spans="1:14" x14ac:dyDescent="0.3">
      <c r="A37" s="44"/>
      <c r="B37" s="44" t="s">
        <v>389</v>
      </c>
      <c r="C37" s="3"/>
      <c r="D37" s="3"/>
      <c r="E37" s="3"/>
      <c r="F37" s="3"/>
      <c r="G37" s="3"/>
      <c r="H37" s="3"/>
      <c r="I37" s="3"/>
      <c r="J37" s="3">
        <v>1</v>
      </c>
      <c r="K37" s="3"/>
      <c r="L37" s="3"/>
      <c r="M37" s="3"/>
      <c r="N37" s="3"/>
    </row>
    <row r="38" spans="1:14" x14ac:dyDescent="0.3">
      <c r="A38" s="44"/>
      <c r="B38" s="44" t="s">
        <v>390</v>
      </c>
      <c r="C38" s="3"/>
      <c r="D38" s="3"/>
      <c r="E38" s="3"/>
      <c r="F38" s="3"/>
      <c r="G38" s="3"/>
      <c r="H38" s="3"/>
      <c r="I38" s="3"/>
      <c r="J38" s="3">
        <v>1</v>
      </c>
      <c r="K38" s="3"/>
      <c r="L38" s="3"/>
      <c r="M38" s="3"/>
      <c r="N38" s="3"/>
    </row>
    <row r="39" spans="1:14" x14ac:dyDescent="0.3">
      <c r="A39" s="44"/>
      <c r="B39" s="44" t="s">
        <v>391</v>
      </c>
      <c r="C39" s="3"/>
      <c r="D39" s="3"/>
      <c r="E39" s="3"/>
      <c r="F39" s="3"/>
      <c r="G39" s="3"/>
      <c r="H39" s="3"/>
      <c r="I39" s="3"/>
      <c r="J39" s="3">
        <v>1</v>
      </c>
      <c r="K39" s="3"/>
      <c r="L39" s="3"/>
      <c r="M39" s="3"/>
      <c r="N39" s="3"/>
    </row>
    <row r="40" spans="1:14" x14ac:dyDescent="0.3">
      <c r="A40" s="44"/>
      <c r="B40" s="44" t="s">
        <v>392</v>
      </c>
      <c r="C40" s="3"/>
      <c r="D40" s="3"/>
      <c r="E40" s="3"/>
      <c r="F40" s="3"/>
      <c r="G40" s="3"/>
      <c r="H40" s="3"/>
      <c r="I40" s="3"/>
      <c r="J40" s="3">
        <v>1</v>
      </c>
      <c r="K40" s="3"/>
      <c r="L40" s="3"/>
      <c r="M40" s="3"/>
      <c r="N40" s="3"/>
    </row>
    <row r="41" spans="1:14" x14ac:dyDescent="0.3">
      <c r="A41" s="44"/>
      <c r="B41" s="44" t="s">
        <v>393</v>
      </c>
      <c r="C41" s="3"/>
      <c r="D41" s="3"/>
      <c r="E41" s="3"/>
      <c r="F41" s="3"/>
      <c r="G41" s="3"/>
      <c r="H41" s="3"/>
      <c r="I41" s="3"/>
      <c r="J41" s="3">
        <v>1</v>
      </c>
      <c r="K41" s="3"/>
      <c r="L41" s="3"/>
      <c r="M41" s="3"/>
      <c r="N41" s="3"/>
    </row>
    <row r="42" spans="1:14" x14ac:dyDescent="0.3">
      <c r="A42" s="44"/>
      <c r="B42" s="44" t="s">
        <v>394</v>
      </c>
      <c r="C42" s="3"/>
      <c r="D42" s="3"/>
      <c r="E42" s="3"/>
      <c r="F42" s="3"/>
      <c r="G42" s="3"/>
      <c r="H42" s="3"/>
      <c r="I42" s="3"/>
      <c r="J42" s="3">
        <v>1</v>
      </c>
      <c r="K42" s="3"/>
      <c r="L42" s="3"/>
      <c r="M42" s="3"/>
      <c r="N42" s="3"/>
    </row>
    <row r="43" spans="1:14" x14ac:dyDescent="0.3">
      <c r="A43" s="44"/>
      <c r="B43" s="44" t="s">
        <v>395</v>
      </c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</row>
    <row r="44" spans="1:14" x14ac:dyDescent="0.3">
      <c r="A44" s="44"/>
      <c r="B44" s="44" t="s">
        <v>396</v>
      </c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</row>
  </sheetData>
  <pageMargins left="0.7" right="0.7" top="0.75" bottom="0.75" header="0.3" footer="0.3"/>
  <pageSetup paperSize="9" scale="5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view="pageBreakPreview" topLeftCell="A22" zoomScale="110" zoomScaleSheetLayoutView="110" workbookViewId="0">
      <selection activeCell="C32" sqref="C32"/>
    </sheetView>
  </sheetViews>
  <sheetFormatPr defaultColWidth="8.77734375" defaultRowHeight="14.4" x14ac:dyDescent="0.3"/>
  <cols>
    <col min="1" max="1" width="23.5546875" customWidth="1"/>
    <col min="3" max="3" width="7.5546875" customWidth="1"/>
  </cols>
  <sheetData>
    <row r="1" spans="1:14" ht="15" thickBot="1" x14ac:dyDescent="0.35">
      <c r="A1" s="24"/>
      <c r="B1" s="25"/>
      <c r="C1" s="65" t="s">
        <v>37</v>
      </c>
      <c r="D1" s="65" t="s">
        <v>38</v>
      </c>
      <c r="E1" s="65" t="s">
        <v>39</v>
      </c>
      <c r="F1" s="65" t="s">
        <v>40</v>
      </c>
      <c r="G1" s="65" t="s">
        <v>36</v>
      </c>
      <c r="H1" s="65" t="s">
        <v>41</v>
      </c>
      <c r="I1" s="67" t="s">
        <v>42</v>
      </c>
      <c r="J1" s="67" t="s">
        <v>43</v>
      </c>
      <c r="K1" s="67" t="s">
        <v>44</v>
      </c>
      <c r="L1" s="67" t="s">
        <v>45</v>
      </c>
      <c r="M1" s="65" t="s">
        <v>46</v>
      </c>
      <c r="N1" s="67" t="s">
        <v>47</v>
      </c>
    </row>
    <row r="2" spans="1:14" ht="15" thickBot="1" x14ac:dyDescent="0.35">
      <c r="A2" s="29" t="s">
        <v>0</v>
      </c>
      <c r="B2" s="31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0"/>
      <c r="N2" s="2"/>
    </row>
    <row r="3" spans="1:14" x14ac:dyDescent="0.3">
      <c r="A3" s="44" t="s">
        <v>187</v>
      </c>
      <c r="B3" s="44" t="s">
        <v>188</v>
      </c>
      <c r="C3" s="23"/>
      <c r="D3" s="8"/>
      <c r="E3" s="8"/>
      <c r="F3" s="8"/>
      <c r="G3" s="8"/>
      <c r="H3" s="7"/>
      <c r="I3" s="8"/>
      <c r="J3" s="8"/>
      <c r="K3" s="8"/>
      <c r="L3" s="8"/>
      <c r="M3" s="23"/>
      <c r="N3" s="8"/>
    </row>
    <row r="4" spans="1:14" x14ac:dyDescent="0.3">
      <c r="A4" s="44" t="s">
        <v>189</v>
      </c>
      <c r="B4" s="44" t="s">
        <v>190</v>
      </c>
      <c r="C4" s="19"/>
      <c r="D4" s="3"/>
      <c r="E4" s="3"/>
      <c r="F4" s="3"/>
      <c r="G4" s="3">
        <v>1</v>
      </c>
      <c r="H4" s="9">
        <v>1</v>
      </c>
      <c r="I4" s="3">
        <v>1</v>
      </c>
      <c r="J4" s="3">
        <v>1</v>
      </c>
      <c r="K4" s="3"/>
      <c r="L4" s="3">
        <v>1</v>
      </c>
      <c r="M4" s="19"/>
      <c r="N4" s="3"/>
    </row>
    <row r="5" spans="1:14" x14ac:dyDescent="0.3">
      <c r="A5" s="44" t="s">
        <v>191</v>
      </c>
      <c r="B5" s="44" t="s">
        <v>192</v>
      </c>
      <c r="C5" s="19"/>
      <c r="D5" s="3"/>
      <c r="E5" s="3"/>
      <c r="F5" s="3">
        <v>1</v>
      </c>
      <c r="G5" s="3">
        <v>1</v>
      </c>
      <c r="H5" s="9">
        <v>1</v>
      </c>
      <c r="I5" s="3">
        <v>1</v>
      </c>
      <c r="J5" s="3">
        <v>1</v>
      </c>
      <c r="K5" s="3">
        <v>1</v>
      </c>
      <c r="L5" s="3">
        <v>1</v>
      </c>
      <c r="M5" s="19"/>
      <c r="N5" s="3"/>
    </row>
    <row r="6" spans="1:14" x14ac:dyDescent="0.3">
      <c r="A6" s="44" t="s">
        <v>193</v>
      </c>
      <c r="B6" s="44" t="s">
        <v>194</v>
      </c>
      <c r="C6" s="19"/>
      <c r="D6" s="3"/>
      <c r="E6" s="3"/>
      <c r="F6" s="3"/>
      <c r="G6" s="3"/>
      <c r="H6" s="9"/>
      <c r="I6" s="3"/>
      <c r="J6" s="3"/>
      <c r="K6" s="3"/>
      <c r="L6" s="3"/>
      <c r="M6" s="19"/>
      <c r="N6" s="3"/>
    </row>
    <row r="7" spans="1:14" x14ac:dyDescent="0.3">
      <c r="A7" s="44" t="s">
        <v>195</v>
      </c>
      <c r="B7" s="44" t="s">
        <v>196</v>
      </c>
      <c r="C7" s="47"/>
      <c r="D7" s="46"/>
      <c r="E7" s="46"/>
      <c r="F7" s="46"/>
      <c r="G7" s="46"/>
      <c r="H7" s="45"/>
      <c r="I7" s="46"/>
      <c r="J7" s="46"/>
      <c r="K7" s="46"/>
      <c r="L7" s="46"/>
      <c r="M7" s="47"/>
      <c r="N7" s="46"/>
    </row>
    <row r="8" spans="1:14" x14ac:dyDescent="0.3">
      <c r="A8" s="44" t="s">
        <v>197</v>
      </c>
      <c r="B8" s="44" t="s">
        <v>198</v>
      </c>
      <c r="C8" s="22"/>
      <c r="D8" s="15"/>
      <c r="E8" s="15"/>
      <c r="F8" s="15"/>
      <c r="G8" s="15">
        <v>0</v>
      </c>
      <c r="H8" s="14">
        <v>1</v>
      </c>
      <c r="I8" s="15">
        <v>1</v>
      </c>
      <c r="J8" s="15">
        <v>1</v>
      </c>
      <c r="K8" s="15">
        <v>1</v>
      </c>
      <c r="L8" s="15"/>
      <c r="M8" s="22"/>
      <c r="N8" s="15"/>
    </row>
    <row r="9" spans="1:14" x14ac:dyDescent="0.3">
      <c r="A9" s="44" t="s">
        <v>199</v>
      </c>
      <c r="B9" s="44" t="s">
        <v>200</v>
      </c>
      <c r="C9" s="19"/>
      <c r="D9" s="3"/>
      <c r="E9" s="3"/>
      <c r="F9" s="3"/>
      <c r="G9" s="3"/>
      <c r="H9" s="9"/>
      <c r="I9" s="3"/>
      <c r="J9" s="3"/>
      <c r="K9" s="3"/>
      <c r="L9" s="3"/>
      <c r="M9" s="19"/>
      <c r="N9" s="3"/>
    </row>
    <row r="10" spans="1:14" x14ac:dyDescent="0.3">
      <c r="A10" s="44" t="s">
        <v>201</v>
      </c>
      <c r="B10" s="44" t="s">
        <v>202</v>
      </c>
      <c r="C10" s="19"/>
      <c r="D10" s="3"/>
      <c r="E10" s="3"/>
      <c r="F10" s="3"/>
      <c r="G10" s="3">
        <v>1</v>
      </c>
      <c r="H10" s="9">
        <v>1</v>
      </c>
      <c r="I10" s="3">
        <v>1</v>
      </c>
      <c r="J10" s="3">
        <v>1</v>
      </c>
      <c r="K10" s="3">
        <v>1</v>
      </c>
      <c r="L10" s="3">
        <v>1</v>
      </c>
      <c r="M10" s="19">
        <v>1</v>
      </c>
      <c r="N10" s="3"/>
    </row>
    <row r="11" spans="1:14" x14ac:dyDescent="0.3">
      <c r="A11" s="44" t="s">
        <v>203</v>
      </c>
      <c r="B11" s="44" t="s">
        <v>204</v>
      </c>
      <c r="C11" s="19"/>
      <c r="D11" s="3"/>
      <c r="E11" s="3"/>
      <c r="F11" s="3"/>
      <c r="G11" s="3"/>
      <c r="H11" s="9"/>
      <c r="I11" s="3"/>
      <c r="J11" s="3"/>
      <c r="K11" s="3"/>
      <c r="L11" s="3"/>
      <c r="M11" s="19"/>
      <c r="N11" s="3"/>
    </row>
    <row r="12" spans="1:14" x14ac:dyDescent="0.3">
      <c r="A12" s="44" t="s">
        <v>205</v>
      </c>
      <c r="B12" s="44" t="s">
        <v>206</v>
      </c>
      <c r="C12" s="19"/>
      <c r="D12" s="3"/>
      <c r="E12" s="3"/>
      <c r="F12" s="3"/>
      <c r="G12" s="3"/>
      <c r="H12" s="9"/>
      <c r="I12" s="3"/>
      <c r="J12" s="3"/>
      <c r="K12" s="3"/>
      <c r="L12" s="3"/>
      <c r="M12" s="19"/>
      <c r="N12" s="3"/>
    </row>
    <row r="13" spans="1:14" x14ac:dyDescent="0.3">
      <c r="A13" s="50" t="s">
        <v>207</v>
      </c>
      <c r="B13" s="44" t="s">
        <v>208</v>
      </c>
      <c r="C13" s="27"/>
      <c r="D13" s="26"/>
      <c r="E13" s="26"/>
      <c r="F13" s="26"/>
      <c r="G13" s="26"/>
      <c r="H13" s="13"/>
      <c r="I13" s="26"/>
      <c r="J13" s="26"/>
      <c r="K13" s="26"/>
      <c r="L13" s="26"/>
      <c r="M13" s="27"/>
      <c r="N13" s="26"/>
    </row>
    <row r="14" spans="1:14" x14ac:dyDescent="0.3">
      <c r="A14" s="50" t="s">
        <v>209</v>
      </c>
      <c r="B14" s="44" t="s">
        <v>210</v>
      </c>
      <c r="C14" s="27"/>
      <c r="D14" s="26"/>
      <c r="E14" s="26"/>
      <c r="F14" s="26"/>
      <c r="G14" s="26"/>
      <c r="H14" s="13"/>
      <c r="I14" s="26"/>
      <c r="J14" s="26"/>
      <c r="K14" s="26"/>
      <c r="L14" s="26"/>
      <c r="M14" s="27"/>
      <c r="N14" s="26"/>
    </row>
    <row r="15" spans="1:14" x14ac:dyDescent="0.3">
      <c r="A15" s="50"/>
      <c r="B15" s="50" t="s">
        <v>377</v>
      </c>
      <c r="C15" s="27"/>
      <c r="D15" s="26"/>
      <c r="E15" s="26"/>
      <c r="F15" s="26"/>
      <c r="G15" s="26">
        <v>1</v>
      </c>
      <c r="H15" s="13">
        <v>1</v>
      </c>
      <c r="I15" s="26">
        <v>1</v>
      </c>
      <c r="J15" s="26">
        <v>0</v>
      </c>
      <c r="K15" s="26"/>
      <c r="L15" s="26"/>
      <c r="M15" s="27"/>
      <c r="N15" s="26"/>
    </row>
    <row r="16" spans="1:14" s="38" customFormat="1" x14ac:dyDescent="0.3">
      <c r="A16" s="44"/>
      <c r="B16" s="4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s="51" customFormat="1" x14ac:dyDescent="0.3">
      <c r="A17" s="43"/>
      <c r="B17" s="43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spans="1:14" s="51" customFormat="1" x14ac:dyDescent="0.3">
      <c r="A18" s="43"/>
      <c r="B18" s="43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1:14" s="38" customFormat="1" x14ac:dyDescent="0.3">
      <c r="A19" s="53"/>
      <c r="B19" s="54"/>
      <c r="C19" s="68" t="s">
        <v>37</v>
      </c>
      <c r="D19" s="68" t="s">
        <v>38</v>
      </c>
      <c r="E19" s="68" t="s">
        <v>39</v>
      </c>
      <c r="F19" s="68" t="s">
        <v>40</v>
      </c>
      <c r="G19" s="68" t="s">
        <v>36</v>
      </c>
      <c r="H19" s="68" t="s">
        <v>41</v>
      </c>
      <c r="I19" s="68" t="s">
        <v>42</v>
      </c>
      <c r="J19" s="68" t="s">
        <v>43</v>
      </c>
      <c r="K19" s="68" t="s">
        <v>44</v>
      </c>
      <c r="L19" s="68" t="s">
        <v>45</v>
      </c>
      <c r="M19" s="68" t="s">
        <v>46</v>
      </c>
      <c r="N19" s="68" t="s">
        <v>47</v>
      </c>
    </row>
    <row r="20" spans="1:14" x14ac:dyDescent="0.3">
      <c r="A20" s="55" t="s">
        <v>0</v>
      </c>
      <c r="B20" s="56" t="s">
        <v>1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1:14" x14ac:dyDescent="0.3">
      <c r="A21" s="44" t="s">
        <v>211</v>
      </c>
      <c r="B21" s="44" t="s">
        <v>212</v>
      </c>
      <c r="C21" s="5"/>
      <c r="D21" s="6"/>
      <c r="E21" s="6"/>
      <c r="F21" s="6"/>
      <c r="G21" s="6">
        <v>1</v>
      </c>
      <c r="H21" s="5">
        <v>1</v>
      </c>
      <c r="I21" s="6">
        <v>1</v>
      </c>
      <c r="J21" s="6">
        <v>1</v>
      </c>
      <c r="K21" s="6"/>
      <c r="L21" s="6"/>
      <c r="M21" s="18"/>
      <c r="N21" s="6"/>
    </row>
    <row r="22" spans="1:14" x14ac:dyDescent="0.3">
      <c r="A22" s="44" t="s">
        <v>213</v>
      </c>
      <c r="B22" s="44" t="s">
        <v>214</v>
      </c>
      <c r="C22" s="9"/>
      <c r="D22" s="3"/>
      <c r="E22" s="3"/>
      <c r="F22" s="3"/>
      <c r="G22" s="3">
        <v>1</v>
      </c>
      <c r="H22" s="9">
        <v>1</v>
      </c>
      <c r="I22" s="3">
        <v>1</v>
      </c>
      <c r="J22" s="3">
        <v>1</v>
      </c>
      <c r="K22" s="3"/>
      <c r="L22" s="3">
        <v>1</v>
      </c>
      <c r="M22" s="19"/>
      <c r="N22" s="3"/>
    </row>
    <row r="23" spans="1:14" x14ac:dyDescent="0.3">
      <c r="A23" s="44" t="s">
        <v>215</v>
      </c>
      <c r="B23" s="44" t="s">
        <v>216</v>
      </c>
      <c r="C23" s="13"/>
      <c r="D23" s="26"/>
      <c r="E23" s="26"/>
      <c r="F23" s="26"/>
      <c r="G23" s="26"/>
      <c r="H23" s="13"/>
      <c r="I23" s="26">
        <v>0</v>
      </c>
      <c r="J23" s="26"/>
      <c r="K23" s="26"/>
      <c r="M23" s="27"/>
      <c r="N23" s="26"/>
    </row>
    <row r="24" spans="1:14" x14ac:dyDescent="0.3">
      <c r="A24" s="44" t="s">
        <v>217</v>
      </c>
      <c r="B24" s="44" t="s">
        <v>218</v>
      </c>
      <c r="C24" s="26"/>
      <c r="D24" s="26"/>
      <c r="E24" s="26"/>
      <c r="F24" s="26"/>
      <c r="G24" s="26">
        <v>1</v>
      </c>
      <c r="H24" s="26">
        <v>1</v>
      </c>
      <c r="I24" s="26">
        <v>1</v>
      </c>
      <c r="J24" s="26">
        <v>1</v>
      </c>
      <c r="K24" s="26"/>
      <c r="L24" s="26">
        <v>1</v>
      </c>
      <c r="M24" s="26">
        <v>1</v>
      </c>
      <c r="N24" s="26">
        <v>1</v>
      </c>
    </row>
    <row r="25" spans="1:14" s="38" customFormat="1" x14ac:dyDescent="0.3">
      <c r="A25" s="44" t="s">
        <v>219</v>
      </c>
      <c r="B25" s="44" t="s">
        <v>220</v>
      </c>
      <c r="C25" s="3"/>
      <c r="D25" s="3"/>
      <c r="E25" s="3"/>
      <c r="F25" s="3"/>
      <c r="G25" s="3"/>
      <c r="H25" s="3"/>
      <c r="I25" s="3">
        <v>1</v>
      </c>
      <c r="J25" s="3">
        <v>1</v>
      </c>
      <c r="K25" s="3"/>
      <c r="L25" s="3">
        <v>1</v>
      </c>
      <c r="M25" s="3">
        <v>1</v>
      </c>
      <c r="N25" s="3">
        <v>1</v>
      </c>
    </row>
    <row r="26" spans="1:14" x14ac:dyDescent="0.3">
      <c r="A26" s="44" t="s">
        <v>221</v>
      </c>
      <c r="B26" s="44" t="s">
        <v>222</v>
      </c>
      <c r="C26" s="49"/>
      <c r="D26" s="49"/>
      <c r="E26" s="49"/>
      <c r="F26" s="49"/>
      <c r="G26" s="49"/>
      <c r="H26" s="49">
        <v>1</v>
      </c>
      <c r="I26" s="49"/>
      <c r="J26" s="49"/>
      <c r="K26" s="49"/>
      <c r="L26" s="49"/>
      <c r="M26" s="49"/>
      <c r="N26" s="49"/>
    </row>
    <row r="27" spans="1:14" x14ac:dyDescent="0.3">
      <c r="A27" s="44" t="s">
        <v>223</v>
      </c>
      <c r="B27" s="44" t="s">
        <v>224</v>
      </c>
      <c r="C27" s="40"/>
      <c r="D27" s="41"/>
      <c r="E27" s="41"/>
      <c r="F27" s="41"/>
      <c r="G27" s="41"/>
      <c r="H27" s="40"/>
      <c r="I27" s="41"/>
      <c r="J27" s="41"/>
      <c r="K27" s="41"/>
      <c r="L27" s="41"/>
      <c r="M27" s="42"/>
      <c r="N27" s="41"/>
    </row>
    <row r="28" spans="1:14" x14ac:dyDescent="0.3">
      <c r="A28" s="44" t="s">
        <v>225</v>
      </c>
      <c r="B28" s="44" t="s">
        <v>226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3">
      <c r="A29" s="44" t="s">
        <v>227</v>
      </c>
      <c r="B29" s="44" t="s">
        <v>228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3">
      <c r="A30" s="44" t="s">
        <v>229</v>
      </c>
      <c r="B30" s="44" t="s">
        <v>230</v>
      </c>
      <c r="C30" s="3"/>
      <c r="D30" s="3"/>
      <c r="E30" s="3"/>
      <c r="F30" s="3"/>
      <c r="G30" s="3"/>
      <c r="H30" s="3"/>
      <c r="I30" s="3">
        <v>1</v>
      </c>
      <c r="J30" s="3">
        <v>1</v>
      </c>
      <c r="K30" s="3"/>
      <c r="L30" s="3">
        <v>1</v>
      </c>
      <c r="M30" s="3"/>
      <c r="N30" s="3">
        <v>1</v>
      </c>
    </row>
    <row r="31" spans="1:14" x14ac:dyDescent="0.3">
      <c r="A31" s="44" t="s">
        <v>231</v>
      </c>
      <c r="B31" s="44" t="s">
        <v>232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3">
      <c r="A32" s="44" t="s">
        <v>233</v>
      </c>
      <c r="B32" s="44" t="s">
        <v>234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3">
      <c r="A33" s="44"/>
      <c r="B33" s="44" t="s">
        <v>363</v>
      </c>
      <c r="C33" s="3"/>
      <c r="D33" s="3"/>
      <c r="E33" s="3"/>
      <c r="F33" s="3"/>
      <c r="G33" s="3"/>
      <c r="H33" s="3"/>
      <c r="I33" s="3">
        <v>1</v>
      </c>
      <c r="J33" s="3">
        <v>1</v>
      </c>
      <c r="K33" s="3"/>
      <c r="L33" s="3">
        <v>1</v>
      </c>
      <c r="M33" s="3"/>
      <c r="N33" s="3">
        <v>1</v>
      </c>
    </row>
    <row r="34" spans="1:14" x14ac:dyDescent="0.3">
      <c r="A34" s="44"/>
      <c r="B34" s="44" t="s">
        <v>364</v>
      </c>
      <c r="C34" s="3"/>
      <c r="D34" s="3"/>
      <c r="E34" s="3"/>
      <c r="F34" s="3"/>
      <c r="G34" s="3"/>
      <c r="H34" s="3"/>
      <c r="I34" s="3"/>
      <c r="J34" s="3">
        <v>1</v>
      </c>
      <c r="K34" s="3"/>
      <c r="L34" s="3">
        <v>1</v>
      </c>
      <c r="M34" s="3"/>
      <c r="N34" s="3"/>
    </row>
    <row r="35" spans="1:14" x14ac:dyDescent="0.3">
      <c r="A35" s="44"/>
      <c r="B35" s="44" t="s">
        <v>365</v>
      </c>
      <c r="C35" s="3"/>
      <c r="D35" s="3"/>
      <c r="E35" s="3"/>
      <c r="F35" s="3"/>
      <c r="G35" s="3">
        <v>1</v>
      </c>
      <c r="H35" s="3"/>
      <c r="I35" s="3">
        <v>1</v>
      </c>
      <c r="J35" s="3">
        <v>1</v>
      </c>
      <c r="K35" s="3"/>
      <c r="L35" s="3">
        <v>1</v>
      </c>
      <c r="M35" s="3">
        <v>1</v>
      </c>
      <c r="N35" s="3">
        <v>1</v>
      </c>
    </row>
    <row r="36" spans="1:14" x14ac:dyDescent="0.3">
      <c r="A36" s="44"/>
      <c r="B36" s="44" t="s">
        <v>366</v>
      </c>
      <c r="C36" s="3"/>
      <c r="D36" s="3"/>
      <c r="E36" s="3"/>
      <c r="F36" s="3"/>
      <c r="G36" s="3">
        <v>1</v>
      </c>
      <c r="H36" s="3"/>
      <c r="I36" s="3"/>
      <c r="J36" s="3">
        <v>1</v>
      </c>
      <c r="K36" s="3"/>
      <c r="L36" s="3">
        <v>1</v>
      </c>
      <c r="M36" s="3">
        <v>1</v>
      </c>
      <c r="N36" s="3">
        <v>1</v>
      </c>
    </row>
    <row r="37" spans="1:14" x14ac:dyDescent="0.3">
      <c r="A37" s="44"/>
      <c r="B37" s="44" t="s">
        <v>367</v>
      </c>
      <c r="C37" s="3"/>
      <c r="D37" s="3"/>
      <c r="E37" s="3"/>
      <c r="F37" s="3"/>
      <c r="G37" s="3">
        <v>1</v>
      </c>
      <c r="H37" s="3"/>
      <c r="I37" s="3">
        <v>1</v>
      </c>
      <c r="J37" s="3">
        <v>1</v>
      </c>
      <c r="K37" s="3"/>
      <c r="L37" s="3">
        <v>1</v>
      </c>
      <c r="M37" s="3">
        <v>1</v>
      </c>
      <c r="N37" s="3">
        <v>1</v>
      </c>
    </row>
    <row r="38" spans="1:14" x14ac:dyDescent="0.3">
      <c r="A38" s="44"/>
      <c r="B38" s="44" t="s">
        <v>368</v>
      </c>
      <c r="C38" s="3"/>
      <c r="D38" s="3"/>
      <c r="E38" s="3"/>
      <c r="F38" s="3"/>
      <c r="G38" s="3">
        <v>1</v>
      </c>
      <c r="H38" s="3">
        <v>1</v>
      </c>
      <c r="I38" s="3">
        <v>1</v>
      </c>
      <c r="J38" s="3">
        <v>1</v>
      </c>
      <c r="K38" s="3"/>
      <c r="L38" s="3">
        <v>1</v>
      </c>
      <c r="M38" s="3">
        <v>1</v>
      </c>
      <c r="N38" s="3">
        <v>1</v>
      </c>
    </row>
    <row r="39" spans="1:14" x14ac:dyDescent="0.3">
      <c r="A39" s="44"/>
      <c r="B39" s="44" t="s">
        <v>369</v>
      </c>
      <c r="C39" s="3"/>
      <c r="D39" s="3"/>
      <c r="E39" s="3"/>
      <c r="F39" s="3"/>
      <c r="G39" s="3"/>
      <c r="H39" s="3"/>
      <c r="I39" s="3">
        <v>1</v>
      </c>
      <c r="J39" s="3">
        <v>1</v>
      </c>
      <c r="K39" s="3"/>
      <c r="L39" s="3">
        <v>1</v>
      </c>
      <c r="M39" s="3">
        <v>1</v>
      </c>
      <c r="N39" s="3">
        <v>1</v>
      </c>
    </row>
    <row r="40" spans="1:14" x14ac:dyDescent="0.3">
      <c r="A40" s="44"/>
      <c r="B40" s="44" t="s">
        <v>370</v>
      </c>
      <c r="C40" s="3"/>
      <c r="D40" s="3"/>
      <c r="E40" s="3"/>
      <c r="F40" s="3"/>
      <c r="G40" s="3"/>
      <c r="H40" s="3">
        <v>1</v>
      </c>
      <c r="I40" s="3">
        <v>1</v>
      </c>
      <c r="J40" s="3">
        <v>1</v>
      </c>
      <c r="K40" s="3"/>
      <c r="L40" s="3">
        <v>1</v>
      </c>
      <c r="M40" s="3">
        <v>1</v>
      </c>
      <c r="N40" s="3">
        <v>1</v>
      </c>
    </row>
    <row r="41" spans="1:14" x14ac:dyDescent="0.3">
      <c r="A41" s="44"/>
      <c r="B41" s="44" t="s">
        <v>371</v>
      </c>
      <c r="C41" s="3"/>
      <c r="D41" s="3"/>
      <c r="E41" s="3"/>
      <c r="F41" s="3"/>
      <c r="G41" s="3">
        <v>1</v>
      </c>
      <c r="H41" s="3">
        <v>1</v>
      </c>
      <c r="I41" s="3">
        <v>1</v>
      </c>
      <c r="J41" s="3">
        <v>1</v>
      </c>
      <c r="K41" s="3"/>
      <c r="L41" s="3">
        <v>1</v>
      </c>
      <c r="M41" s="3">
        <v>1</v>
      </c>
      <c r="N41" s="3"/>
    </row>
    <row r="42" spans="1:14" x14ac:dyDescent="0.3">
      <c r="A42" s="44"/>
      <c r="B42" s="44" t="s">
        <v>372</v>
      </c>
      <c r="C42" s="3"/>
      <c r="D42" s="3"/>
      <c r="E42" s="3"/>
      <c r="F42" s="3"/>
      <c r="G42" s="3">
        <v>1</v>
      </c>
      <c r="H42" s="3">
        <v>1</v>
      </c>
      <c r="I42" s="3">
        <v>1</v>
      </c>
      <c r="J42" s="3">
        <v>1</v>
      </c>
      <c r="K42" s="3"/>
      <c r="L42" s="3">
        <v>1</v>
      </c>
      <c r="M42" s="3">
        <v>1</v>
      </c>
      <c r="N42" s="3"/>
    </row>
    <row r="43" spans="1:14" x14ac:dyDescent="0.3">
      <c r="A43" s="44"/>
      <c r="B43" s="44" t="s">
        <v>373</v>
      </c>
      <c r="C43" s="38"/>
      <c r="D43" s="38"/>
      <c r="E43" s="38"/>
      <c r="F43" s="38"/>
      <c r="G43" s="38">
        <v>1</v>
      </c>
      <c r="H43" s="38">
        <v>1</v>
      </c>
      <c r="I43" s="38">
        <v>1</v>
      </c>
      <c r="J43" s="38">
        <v>1</v>
      </c>
      <c r="K43" s="38"/>
      <c r="L43" s="38">
        <v>1</v>
      </c>
      <c r="M43" s="38">
        <v>1</v>
      </c>
      <c r="N43" s="38"/>
    </row>
    <row r="44" spans="1:14" x14ac:dyDescent="0.3">
      <c r="A44" s="44"/>
      <c r="B44" s="44" t="s">
        <v>374</v>
      </c>
      <c r="C44" s="38"/>
      <c r="D44" s="38"/>
      <c r="E44" s="38"/>
      <c r="F44" s="38"/>
      <c r="G44" s="38">
        <v>1</v>
      </c>
      <c r="H44" s="38"/>
      <c r="I44" s="38">
        <v>1</v>
      </c>
      <c r="J44" s="38">
        <v>1</v>
      </c>
      <c r="K44" s="38"/>
      <c r="L44" s="38">
        <v>1</v>
      </c>
      <c r="M44" s="38">
        <v>1</v>
      </c>
      <c r="N44" s="38">
        <v>1</v>
      </c>
    </row>
    <row r="45" spans="1:14" x14ac:dyDescent="0.3">
      <c r="A45" s="44"/>
      <c r="B45" s="44" t="s">
        <v>364</v>
      </c>
      <c r="C45" s="38"/>
      <c r="D45" s="38"/>
      <c r="E45" s="38"/>
      <c r="F45" s="38"/>
      <c r="G45" s="38"/>
      <c r="H45" s="38">
        <v>1</v>
      </c>
      <c r="I45" s="38">
        <v>1</v>
      </c>
      <c r="J45" s="38"/>
      <c r="K45" s="38"/>
      <c r="L45" s="38">
        <v>1</v>
      </c>
      <c r="M45" s="38"/>
      <c r="N45" s="38"/>
    </row>
    <row r="46" spans="1:14" x14ac:dyDescent="0.3">
      <c r="A46" s="44"/>
      <c r="B46" s="44" t="s">
        <v>375</v>
      </c>
      <c r="C46" s="38"/>
      <c r="D46" s="38"/>
      <c r="E46" s="38"/>
      <c r="F46" s="38"/>
      <c r="G46" s="38"/>
      <c r="H46" s="38"/>
      <c r="I46" s="38">
        <v>1</v>
      </c>
      <c r="J46" s="38">
        <v>1</v>
      </c>
      <c r="K46" s="38"/>
      <c r="L46" s="38">
        <v>1</v>
      </c>
      <c r="M46" s="38"/>
      <c r="N46" s="38"/>
    </row>
    <row r="47" spans="1:14" x14ac:dyDescent="0.3">
      <c r="A47" s="44"/>
      <c r="B47" s="44" t="s">
        <v>376</v>
      </c>
      <c r="C47" s="38"/>
      <c r="D47" s="38"/>
      <c r="E47" s="38"/>
      <c r="F47" s="38"/>
      <c r="G47" s="38"/>
      <c r="H47" s="38"/>
      <c r="I47" s="38">
        <v>1</v>
      </c>
      <c r="J47" s="38">
        <v>0</v>
      </c>
      <c r="K47" s="38"/>
      <c r="L47" s="38"/>
      <c r="M47" s="38"/>
      <c r="N47" s="38"/>
    </row>
  </sheetData>
  <pageMargins left="0.7" right="0.7" top="0.75" bottom="0.75" header="0.3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view="pageBreakPreview" topLeftCell="A13" workbookViewId="0">
      <selection activeCell="A29" sqref="A29:N50"/>
    </sheetView>
  </sheetViews>
  <sheetFormatPr defaultColWidth="8.77734375" defaultRowHeight="14.4" x14ac:dyDescent="0.3"/>
  <cols>
    <col min="1" max="1" width="30.44140625" customWidth="1"/>
  </cols>
  <sheetData>
    <row r="1" spans="1:14" ht="15" thickBot="1" x14ac:dyDescent="0.35">
      <c r="A1" s="24"/>
      <c r="B1" s="25"/>
      <c r="C1" s="65" t="s">
        <v>37</v>
      </c>
      <c r="D1" s="65" t="s">
        <v>38</v>
      </c>
      <c r="E1" s="65" t="s">
        <v>39</v>
      </c>
      <c r="F1" s="65" t="s">
        <v>40</v>
      </c>
      <c r="G1" s="65" t="s">
        <v>36</v>
      </c>
      <c r="H1" s="65" t="s">
        <v>41</v>
      </c>
      <c r="I1" s="67" t="s">
        <v>42</v>
      </c>
      <c r="J1" s="67" t="s">
        <v>43</v>
      </c>
      <c r="K1" s="67" t="s">
        <v>44</v>
      </c>
      <c r="L1" s="67" t="s">
        <v>45</v>
      </c>
      <c r="M1" s="65" t="s">
        <v>46</v>
      </c>
      <c r="N1" s="67" t="s">
        <v>47</v>
      </c>
    </row>
    <row r="2" spans="1:14" ht="15" thickBot="1" x14ac:dyDescent="0.35">
      <c r="A2" s="29" t="s">
        <v>0</v>
      </c>
      <c r="B2" s="31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0"/>
      <c r="N2" s="2"/>
    </row>
    <row r="3" spans="1:14" x14ac:dyDescent="0.3">
      <c r="A3" s="44" t="s">
        <v>235</v>
      </c>
      <c r="B3" s="44" t="s">
        <v>236</v>
      </c>
      <c r="C3" s="23"/>
      <c r="D3" s="8"/>
      <c r="E3" s="8"/>
      <c r="F3" s="8"/>
      <c r="G3" s="8"/>
      <c r="H3" s="7"/>
      <c r="I3" s="8"/>
      <c r="J3" s="8"/>
      <c r="K3" s="8"/>
      <c r="L3" s="8"/>
      <c r="M3" s="23"/>
      <c r="N3" s="8"/>
    </row>
    <row r="4" spans="1:14" x14ac:dyDescent="0.3">
      <c r="A4" s="44" t="s">
        <v>237</v>
      </c>
      <c r="B4" s="44" t="s">
        <v>238</v>
      </c>
      <c r="C4" s="19"/>
      <c r="D4" s="3"/>
      <c r="E4" s="3"/>
      <c r="F4" s="3"/>
      <c r="G4" s="3"/>
      <c r="H4" s="9"/>
      <c r="I4" s="3"/>
      <c r="J4" s="3"/>
      <c r="K4" s="3"/>
      <c r="L4" s="3"/>
      <c r="M4" s="19"/>
      <c r="N4" s="3"/>
    </row>
    <row r="5" spans="1:14" x14ac:dyDescent="0.3">
      <c r="A5" s="44" t="s">
        <v>239</v>
      </c>
      <c r="B5" s="44" t="s">
        <v>240</v>
      </c>
      <c r="C5" s="19"/>
      <c r="D5" s="3"/>
      <c r="E5" s="3"/>
      <c r="F5" s="3"/>
      <c r="G5" s="3"/>
      <c r="H5" s="9"/>
      <c r="I5" s="3"/>
      <c r="J5" s="3"/>
      <c r="K5" s="3"/>
      <c r="L5" s="3"/>
      <c r="M5" s="19"/>
      <c r="N5" s="3"/>
    </row>
    <row r="6" spans="1:14" x14ac:dyDescent="0.3">
      <c r="A6" s="44" t="s">
        <v>241</v>
      </c>
      <c r="B6" s="44" t="s">
        <v>242</v>
      </c>
      <c r="C6" s="19"/>
      <c r="D6" s="3"/>
      <c r="E6" s="3"/>
      <c r="F6" s="3"/>
      <c r="G6" s="3"/>
      <c r="H6" s="9"/>
      <c r="I6" s="3"/>
      <c r="J6" s="3"/>
      <c r="K6" s="3"/>
      <c r="L6" s="3"/>
      <c r="M6" s="19"/>
      <c r="N6" s="3"/>
    </row>
    <row r="7" spans="1:14" x14ac:dyDescent="0.3">
      <c r="A7" s="44" t="s">
        <v>243</v>
      </c>
      <c r="B7" s="44" t="s">
        <v>244</v>
      </c>
      <c r="C7" s="47"/>
      <c r="D7" s="46"/>
      <c r="E7" s="46"/>
      <c r="F7" s="46"/>
      <c r="G7" s="46"/>
      <c r="H7" s="45"/>
      <c r="I7" s="46"/>
      <c r="J7" s="46"/>
      <c r="K7" s="46"/>
      <c r="L7" s="46"/>
      <c r="M7" s="47"/>
      <c r="N7" s="46"/>
    </row>
    <row r="8" spans="1:14" x14ac:dyDescent="0.3">
      <c r="A8" s="44" t="s">
        <v>245</v>
      </c>
      <c r="B8" s="44" t="s">
        <v>246</v>
      </c>
      <c r="C8" s="22"/>
      <c r="D8" s="15"/>
      <c r="E8" s="15"/>
      <c r="F8" s="15"/>
      <c r="G8" s="15"/>
      <c r="H8" s="14"/>
      <c r="I8" s="15"/>
      <c r="J8" s="15"/>
      <c r="K8" s="15"/>
      <c r="L8" s="15"/>
      <c r="M8" s="22"/>
      <c r="N8" s="15"/>
    </row>
    <row r="9" spans="1:14" x14ac:dyDescent="0.3">
      <c r="A9" s="44" t="s">
        <v>247</v>
      </c>
      <c r="B9" s="44" t="s">
        <v>248</v>
      </c>
      <c r="C9" s="19"/>
      <c r="D9" s="3"/>
      <c r="E9" s="3"/>
      <c r="F9" s="3"/>
      <c r="G9" s="3"/>
      <c r="H9" s="9"/>
      <c r="I9" s="3"/>
      <c r="J9" s="3"/>
      <c r="K9" s="3"/>
      <c r="L9" s="3"/>
      <c r="M9" s="19"/>
      <c r="N9" s="3"/>
    </row>
    <row r="10" spans="1:14" x14ac:dyDescent="0.3">
      <c r="A10" s="44" t="s">
        <v>249</v>
      </c>
      <c r="B10" s="44" t="s">
        <v>250</v>
      </c>
      <c r="C10" s="19"/>
      <c r="D10" s="3"/>
      <c r="E10" s="3"/>
      <c r="F10" s="3"/>
      <c r="G10" s="3"/>
      <c r="H10" s="9"/>
      <c r="I10" s="3"/>
      <c r="J10" s="3"/>
      <c r="K10" s="3"/>
      <c r="L10" s="3"/>
      <c r="M10" s="19"/>
      <c r="N10" s="3"/>
    </row>
    <row r="11" spans="1:14" x14ac:dyDescent="0.3">
      <c r="A11" s="44" t="s">
        <v>251</v>
      </c>
      <c r="B11" s="44" t="s">
        <v>252</v>
      </c>
      <c r="C11" s="19"/>
      <c r="D11" s="3"/>
      <c r="E11" s="3"/>
      <c r="F11" s="3"/>
      <c r="G11" s="3"/>
      <c r="H11" s="9"/>
      <c r="I11" s="3"/>
      <c r="J11" s="3"/>
      <c r="K11" s="3"/>
      <c r="L11" s="3"/>
      <c r="M11" s="19"/>
      <c r="N11" s="3"/>
    </row>
    <row r="12" spans="1:14" x14ac:dyDescent="0.3">
      <c r="A12" s="44" t="s">
        <v>253</v>
      </c>
      <c r="B12" s="44" t="s">
        <v>254</v>
      </c>
      <c r="C12" s="19"/>
      <c r="D12" s="3"/>
      <c r="E12" s="3"/>
      <c r="F12" s="3"/>
      <c r="G12" s="3"/>
      <c r="H12" s="9"/>
      <c r="I12" s="3"/>
      <c r="J12" s="3"/>
      <c r="K12" s="3"/>
      <c r="L12" s="3"/>
      <c r="M12" s="19"/>
      <c r="N12" s="3"/>
    </row>
    <row r="13" spans="1:14" x14ac:dyDescent="0.3">
      <c r="A13" s="44" t="s">
        <v>255</v>
      </c>
      <c r="B13" s="44" t="s">
        <v>256</v>
      </c>
      <c r="C13" s="27"/>
      <c r="D13" s="26"/>
      <c r="E13" s="26"/>
      <c r="F13" s="26"/>
      <c r="G13" s="26"/>
      <c r="H13" s="13"/>
      <c r="I13" s="26"/>
      <c r="J13" s="26"/>
      <c r="K13" s="26"/>
      <c r="L13" s="26"/>
      <c r="M13" s="27"/>
      <c r="N13" s="26"/>
    </row>
    <row r="14" spans="1:14" s="38" customFormat="1" x14ac:dyDescent="0.3">
      <c r="A14" s="44" t="s">
        <v>257</v>
      </c>
      <c r="B14" s="44" t="s">
        <v>258</v>
      </c>
      <c r="C14" s="19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 s="38" customFormat="1" x14ac:dyDescent="0.3">
      <c r="A15" s="44"/>
      <c r="B15" s="44" t="s">
        <v>443</v>
      </c>
      <c r="C15" s="19"/>
      <c r="D15" s="3"/>
      <c r="E15" s="3"/>
      <c r="F15" s="3"/>
      <c r="G15" s="3"/>
      <c r="H15" s="3"/>
      <c r="I15" s="3"/>
      <c r="J15" s="3"/>
      <c r="K15" s="3">
        <v>1</v>
      </c>
      <c r="L15" s="3">
        <v>1</v>
      </c>
      <c r="M15" s="3">
        <v>1</v>
      </c>
      <c r="N15" s="3"/>
    </row>
    <row r="16" spans="1:14" s="38" customFormat="1" x14ac:dyDescent="0.3">
      <c r="A16" s="44"/>
      <c r="B16" s="44" t="s">
        <v>435</v>
      </c>
      <c r="C16" s="3"/>
      <c r="D16" s="3"/>
      <c r="E16" s="3"/>
      <c r="F16" s="3"/>
      <c r="G16" s="3"/>
      <c r="H16" s="3"/>
      <c r="I16" s="3"/>
      <c r="J16" s="3"/>
      <c r="K16" s="3"/>
      <c r="L16" s="3">
        <v>1</v>
      </c>
      <c r="M16" s="3">
        <v>1</v>
      </c>
      <c r="N16" s="3"/>
    </row>
    <row r="17" spans="1:14" s="38" customFormat="1" x14ac:dyDescent="0.3">
      <c r="A17" s="44"/>
      <c r="B17" s="44" t="s">
        <v>436</v>
      </c>
      <c r="C17" s="3"/>
      <c r="D17" s="3"/>
      <c r="E17" s="3"/>
      <c r="F17" s="3"/>
      <c r="G17" s="3"/>
      <c r="H17" s="3"/>
      <c r="I17" s="3"/>
      <c r="J17" s="3"/>
      <c r="K17" s="3">
        <v>1</v>
      </c>
      <c r="L17" s="3">
        <v>1</v>
      </c>
      <c r="M17" s="3">
        <v>1</v>
      </c>
      <c r="N17" s="3"/>
    </row>
    <row r="18" spans="1:14" s="38" customFormat="1" x14ac:dyDescent="0.3">
      <c r="A18" s="44"/>
      <c r="B18" s="44" t="s">
        <v>434</v>
      </c>
      <c r="C18" s="3"/>
      <c r="D18" s="3"/>
      <c r="E18" s="3"/>
      <c r="F18" s="3"/>
      <c r="G18" s="3"/>
      <c r="H18" s="3"/>
      <c r="I18" s="3"/>
      <c r="J18" s="3"/>
      <c r="K18" s="3">
        <v>1</v>
      </c>
      <c r="L18" s="3">
        <v>1</v>
      </c>
      <c r="M18" s="3">
        <v>1</v>
      </c>
      <c r="N18" s="3"/>
    </row>
    <row r="19" spans="1:14" s="38" customFormat="1" x14ac:dyDescent="0.3">
      <c r="A19" s="44"/>
      <c r="B19" s="44" t="s">
        <v>437</v>
      </c>
      <c r="C19" s="3"/>
      <c r="D19" s="3"/>
      <c r="E19" s="3"/>
      <c r="F19" s="3"/>
      <c r="G19" s="3"/>
      <c r="H19" s="3"/>
      <c r="I19" s="3"/>
      <c r="J19" s="3"/>
      <c r="K19" s="3">
        <v>1</v>
      </c>
      <c r="L19" s="3">
        <v>1</v>
      </c>
      <c r="M19" s="3">
        <v>1</v>
      </c>
      <c r="N19" s="3"/>
    </row>
    <row r="20" spans="1:14" s="38" customFormat="1" x14ac:dyDescent="0.3">
      <c r="A20" s="44"/>
      <c r="B20" s="44" t="s">
        <v>438</v>
      </c>
      <c r="C20" s="3"/>
      <c r="D20" s="3"/>
      <c r="E20" s="3"/>
      <c r="F20" s="3"/>
      <c r="G20" s="3"/>
      <c r="H20" s="3">
        <v>1</v>
      </c>
      <c r="I20" s="3"/>
      <c r="J20" s="3"/>
      <c r="K20" s="3"/>
      <c r="L20" s="3"/>
      <c r="M20" s="3"/>
      <c r="N20" s="3"/>
    </row>
    <row r="21" spans="1:14" s="38" customFormat="1" x14ac:dyDescent="0.3">
      <c r="A21" s="44"/>
      <c r="B21" s="44" t="s">
        <v>439</v>
      </c>
      <c r="C21" s="3"/>
      <c r="D21" s="3"/>
      <c r="E21" s="3"/>
      <c r="F21" s="3"/>
      <c r="G21" s="3"/>
      <c r="H21" s="3">
        <v>1</v>
      </c>
      <c r="I21" s="3"/>
      <c r="J21" s="3"/>
      <c r="K21" s="3"/>
      <c r="L21" s="3"/>
      <c r="M21" s="3"/>
      <c r="N21" s="3"/>
    </row>
    <row r="22" spans="1:14" s="38" customFormat="1" x14ac:dyDescent="0.3">
      <c r="A22" s="44"/>
      <c r="B22" s="44" t="s">
        <v>440</v>
      </c>
      <c r="C22" s="3"/>
      <c r="D22" s="3"/>
      <c r="E22" s="3"/>
      <c r="F22" s="3"/>
      <c r="G22" s="3"/>
      <c r="H22" s="3"/>
      <c r="I22" s="3"/>
      <c r="J22" s="3"/>
      <c r="K22" s="3">
        <v>1</v>
      </c>
      <c r="L22" s="3">
        <v>1</v>
      </c>
      <c r="M22" s="3">
        <v>1</v>
      </c>
      <c r="N22" s="3"/>
    </row>
    <row r="23" spans="1:14" s="38" customFormat="1" x14ac:dyDescent="0.3">
      <c r="A23" s="44"/>
      <c r="B23" s="44" t="s">
        <v>441</v>
      </c>
      <c r="C23" s="3"/>
      <c r="D23" s="3"/>
      <c r="E23" s="3"/>
      <c r="F23" s="3"/>
      <c r="G23" s="3"/>
      <c r="H23" s="3"/>
      <c r="I23" s="3"/>
      <c r="J23" s="3"/>
      <c r="K23" s="3">
        <v>1</v>
      </c>
      <c r="L23" s="3">
        <v>1</v>
      </c>
      <c r="M23" s="3">
        <v>1</v>
      </c>
      <c r="N23" s="3"/>
    </row>
    <row r="24" spans="1:14" s="38" customFormat="1" x14ac:dyDescent="0.3">
      <c r="A24" s="44"/>
      <c r="B24" s="44" t="s">
        <v>442</v>
      </c>
      <c r="C24" s="3"/>
      <c r="D24" s="3"/>
      <c r="E24" s="3"/>
      <c r="F24" s="3"/>
      <c r="G24" s="3"/>
      <c r="H24" s="3">
        <v>1</v>
      </c>
      <c r="I24" s="3"/>
      <c r="J24" s="3"/>
      <c r="K24" s="3"/>
      <c r="L24" s="3"/>
      <c r="M24" s="3"/>
      <c r="N24" s="3"/>
    </row>
    <row r="25" spans="1:14" x14ac:dyDescent="0.3">
      <c r="A25" s="48"/>
      <c r="B25" s="48"/>
    </row>
    <row r="26" spans="1:14" x14ac:dyDescent="0.3">
      <c r="A26" s="48"/>
      <c r="B26" s="48"/>
    </row>
    <row r="27" spans="1:14" s="38" customFormat="1" x14ac:dyDescent="0.3">
      <c r="A27" s="53"/>
      <c r="B27" s="54"/>
      <c r="C27" s="37" t="s">
        <v>37</v>
      </c>
      <c r="D27" s="37" t="s">
        <v>38</v>
      </c>
      <c r="E27" s="37" t="s">
        <v>39</v>
      </c>
      <c r="F27" s="37" t="s">
        <v>40</v>
      </c>
      <c r="G27" s="37" t="s">
        <v>36</v>
      </c>
      <c r="H27" s="37" t="s">
        <v>41</v>
      </c>
      <c r="I27" s="37" t="s">
        <v>42</v>
      </c>
      <c r="J27" s="37" t="s">
        <v>43</v>
      </c>
      <c r="K27" s="37" t="s">
        <v>44</v>
      </c>
      <c r="L27" s="37" t="s">
        <v>45</v>
      </c>
      <c r="M27" s="37" t="s">
        <v>46</v>
      </c>
      <c r="N27" s="37" t="s">
        <v>47</v>
      </c>
    </row>
    <row r="28" spans="1:14" x14ac:dyDescent="0.3">
      <c r="A28" s="55" t="s">
        <v>0</v>
      </c>
      <c r="B28" s="56" t="s">
        <v>1</v>
      </c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1:14" x14ac:dyDescent="0.3">
      <c r="A29" s="44" t="s">
        <v>259</v>
      </c>
      <c r="B29" s="44" t="s">
        <v>260</v>
      </c>
      <c r="C29" s="5"/>
      <c r="D29" s="6"/>
      <c r="E29" s="6"/>
      <c r="F29" s="6"/>
      <c r="G29" s="6"/>
      <c r="H29" s="5"/>
      <c r="I29" s="6"/>
      <c r="J29" s="6"/>
      <c r="K29" s="6">
        <v>1</v>
      </c>
      <c r="L29" s="6">
        <v>1</v>
      </c>
      <c r="M29" s="18"/>
      <c r="N29" s="6"/>
    </row>
    <row r="30" spans="1:14" x14ac:dyDescent="0.3">
      <c r="A30" s="44" t="s">
        <v>261</v>
      </c>
      <c r="B30" s="44" t="s">
        <v>262</v>
      </c>
      <c r="C30" s="9"/>
      <c r="D30" s="3"/>
      <c r="E30" s="3"/>
      <c r="F30" s="3"/>
      <c r="G30" s="3"/>
      <c r="H30" s="9"/>
      <c r="I30" s="3"/>
      <c r="J30" s="3"/>
      <c r="K30" s="3"/>
      <c r="L30" s="3"/>
      <c r="M30" s="19"/>
      <c r="N30" s="3"/>
    </row>
    <row r="31" spans="1:14" x14ac:dyDescent="0.3">
      <c r="A31" s="44" t="s">
        <v>263</v>
      </c>
      <c r="B31" s="44" t="s">
        <v>264</v>
      </c>
      <c r="C31" s="13"/>
      <c r="D31" s="26"/>
      <c r="E31" s="26"/>
      <c r="F31" s="26"/>
      <c r="G31" s="26"/>
      <c r="H31" s="13"/>
      <c r="I31" s="26"/>
      <c r="J31" s="26"/>
      <c r="K31" s="26"/>
      <c r="L31" s="26">
        <v>1</v>
      </c>
      <c r="M31" s="27"/>
      <c r="N31" s="26"/>
    </row>
    <row r="32" spans="1:14" x14ac:dyDescent="0.3">
      <c r="A32" s="44" t="s">
        <v>265</v>
      </c>
      <c r="B32" s="44" t="s">
        <v>266</v>
      </c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  <row r="33" spans="1:14" s="38" customFormat="1" x14ac:dyDescent="0.3">
      <c r="A33" s="44" t="s">
        <v>267</v>
      </c>
      <c r="B33" s="44" t="s">
        <v>268</v>
      </c>
      <c r="C33" s="3"/>
      <c r="D33" s="3"/>
      <c r="E33" s="3"/>
      <c r="F33" s="3"/>
      <c r="G33" s="3"/>
      <c r="H33" s="3"/>
      <c r="I33" s="3"/>
      <c r="J33" s="3"/>
      <c r="K33" s="3">
        <v>1</v>
      </c>
      <c r="L33" s="3">
        <v>1</v>
      </c>
      <c r="M33" s="3"/>
      <c r="N33" s="3"/>
    </row>
    <row r="34" spans="1:14" x14ac:dyDescent="0.3">
      <c r="A34" s="44" t="s">
        <v>269</v>
      </c>
      <c r="B34" s="44" t="s">
        <v>270</v>
      </c>
      <c r="C34" s="49"/>
      <c r="D34" s="49"/>
      <c r="E34" s="49"/>
      <c r="F34" s="49"/>
      <c r="G34" s="49"/>
      <c r="H34" s="49"/>
      <c r="I34" s="49"/>
      <c r="J34" s="49"/>
      <c r="K34" s="49">
        <v>1</v>
      </c>
      <c r="L34" s="49">
        <v>1</v>
      </c>
      <c r="M34" s="49"/>
      <c r="N34" s="49"/>
    </row>
    <row r="35" spans="1:14" x14ac:dyDescent="0.3">
      <c r="A35" s="44" t="s">
        <v>271</v>
      </c>
      <c r="B35" s="44" t="s">
        <v>272</v>
      </c>
      <c r="C35" s="40"/>
      <c r="D35" s="41"/>
      <c r="E35" s="41"/>
      <c r="F35" s="41"/>
      <c r="G35" s="41"/>
      <c r="H35" s="40"/>
      <c r="I35" s="41"/>
      <c r="J35" s="41"/>
      <c r="K35" s="41">
        <v>1</v>
      </c>
      <c r="L35" s="41"/>
      <c r="M35" s="42"/>
      <c r="N35" s="41"/>
    </row>
    <row r="36" spans="1:14" x14ac:dyDescent="0.3">
      <c r="A36" s="44" t="s">
        <v>273</v>
      </c>
      <c r="B36" s="44" t="s">
        <v>274</v>
      </c>
      <c r="C36" s="3"/>
      <c r="D36" s="3"/>
      <c r="E36" s="3"/>
      <c r="F36" s="3"/>
      <c r="G36" s="3"/>
      <c r="H36" s="3"/>
      <c r="I36" s="3"/>
      <c r="J36" s="3"/>
      <c r="K36" s="3"/>
      <c r="L36" s="3">
        <v>1</v>
      </c>
      <c r="M36" s="3"/>
      <c r="N36" s="3"/>
    </row>
    <row r="37" spans="1:14" x14ac:dyDescent="0.3">
      <c r="A37" s="44" t="s">
        <v>275</v>
      </c>
      <c r="B37" s="44" t="s">
        <v>276</v>
      </c>
      <c r="C37" s="3"/>
      <c r="D37" s="3"/>
      <c r="E37" s="3"/>
      <c r="F37" s="3"/>
      <c r="G37" s="3"/>
      <c r="H37" s="3"/>
      <c r="I37" s="3"/>
      <c r="J37" s="3"/>
      <c r="K37" s="3">
        <v>1</v>
      </c>
      <c r="L37" s="3">
        <v>1</v>
      </c>
      <c r="M37" s="3"/>
      <c r="N37" s="3"/>
    </row>
    <row r="38" spans="1:14" x14ac:dyDescent="0.3">
      <c r="A38" s="44" t="s">
        <v>277</v>
      </c>
      <c r="B38" s="44" t="s">
        <v>278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3">
      <c r="A39" s="44" t="s">
        <v>279</v>
      </c>
      <c r="B39" s="44" t="s">
        <v>280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3">
      <c r="A40" s="44"/>
      <c r="B40" s="44" t="s">
        <v>445</v>
      </c>
      <c r="C40" s="38"/>
      <c r="D40" s="38"/>
      <c r="E40" s="38"/>
      <c r="F40" s="38"/>
      <c r="G40" s="38"/>
      <c r="H40" s="38"/>
      <c r="I40" s="38"/>
      <c r="J40" s="38"/>
      <c r="K40" s="38"/>
      <c r="L40" s="38">
        <v>1</v>
      </c>
      <c r="M40" s="38"/>
      <c r="N40" s="38"/>
    </row>
    <row r="41" spans="1:14" x14ac:dyDescent="0.3">
      <c r="A41" s="44"/>
      <c r="B41" s="44" t="s">
        <v>446</v>
      </c>
      <c r="C41" s="38"/>
      <c r="D41" s="38"/>
      <c r="E41" s="38"/>
      <c r="F41" s="38"/>
      <c r="G41" s="38"/>
      <c r="H41" s="38"/>
      <c r="I41" s="38"/>
      <c r="J41" s="38"/>
      <c r="K41" s="38"/>
      <c r="L41" s="38">
        <v>1</v>
      </c>
      <c r="M41" s="38"/>
      <c r="N41" s="38"/>
    </row>
    <row r="42" spans="1:14" x14ac:dyDescent="0.3">
      <c r="A42" s="44"/>
      <c r="B42" s="44" t="s">
        <v>447</v>
      </c>
      <c r="C42" s="38"/>
      <c r="D42" s="38"/>
      <c r="E42" s="38"/>
      <c r="F42" s="38"/>
      <c r="G42" s="38"/>
      <c r="H42" s="38"/>
      <c r="I42" s="38"/>
      <c r="J42" s="38"/>
      <c r="K42" s="38"/>
      <c r="L42" s="38">
        <v>1</v>
      </c>
      <c r="M42" s="38"/>
      <c r="N42" s="38"/>
    </row>
    <row r="43" spans="1:14" x14ac:dyDescent="0.3">
      <c r="A43" s="44"/>
      <c r="B43" s="44" t="s">
        <v>448</v>
      </c>
      <c r="C43" s="38"/>
      <c r="D43" s="38"/>
      <c r="E43" s="38"/>
      <c r="F43" s="38"/>
      <c r="G43" s="38"/>
      <c r="H43" s="38"/>
      <c r="I43" s="38"/>
      <c r="J43" s="38"/>
      <c r="K43" s="38"/>
      <c r="L43" s="38">
        <v>1</v>
      </c>
      <c r="M43" s="38"/>
      <c r="N43" s="38"/>
    </row>
    <row r="44" spans="1:14" x14ac:dyDescent="0.3">
      <c r="A44" s="44"/>
      <c r="B44" s="44" t="s">
        <v>449</v>
      </c>
      <c r="C44" s="38"/>
      <c r="D44" s="38"/>
      <c r="E44" s="38"/>
      <c r="F44" s="38"/>
      <c r="G44" s="38"/>
      <c r="H44" s="38"/>
      <c r="I44" s="38"/>
      <c r="J44" s="38"/>
      <c r="K44" s="38"/>
      <c r="L44" s="38">
        <v>1</v>
      </c>
      <c r="M44" s="38"/>
      <c r="N44" s="38"/>
    </row>
    <row r="45" spans="1:14" x14ac:dyDescent="0.3">
      <c r="A45" s="115" t="s">
        <v>455</v>
      </c>
      <c r="B45" s="44" t="s">
        <v>451</v>
      </c>
      <c r="C45" s="38"/>
      <c r="D45" s="38"/>
      <c r="E45" s="38"/>
      <c r="F45" s="38"/>
      <c r="G45" s="38"/>
      <c r="H45" s="38"/>
      <c r="I45" s="38"/>
      <c r="J45" s="38"/>
      <c r="K45" s="38">
        <v>1</v>
      </c>
      <c r="L45" s="38"/>
      <c r="M45" s="38"/>
      <c r="N45" s="38"/>
    </row>
    <row r="46" spans="1:14" x14ac:dyDescent="0.3">
      <c r="A46" s="116" t="s">
        <v>456</v>
      </c>
      <c r="B46" s="44" t="s">
        <v>450</v>
      </c>
      <c r="C46" s="38"/>
      <c r="D46" s="38"/>
      <c r="E46" s="38"/>
      <c r="F46" s="38"/>
      <c r="G46" s="38"/>
      <c r="H46" s="38"/>
      <c r="I46" s="38"/>
      <c r="J46" s="38"/>
      <c r="K46" s="38">
        <v>1</v>
      </c>
      <c r="L46" s="38"/>
      <c r="M46" s="38"/>
      <c r="N46" s="38"/>
    </row>
    <row r="47" spans="1:14" x14ac:dyDescent="0.3">
      <c r="A47" s="116" t="s">
        <v>456</v>
      </c>
      <c r="B47" s="44" t="s">
        <v>452</v>
      </c>
      <c r="C47" s="38"/>
      <c r="D47" s="38"/>
      <c r="E47" s="38"/>
      <c r="F47" s="38"/>
      <c r="G47" s="38"/>
      <c r="H47" s="38"/>
      <c r="I47" s="38"/>
      <c r="J47" s="38"/>
      <c r="K47" s="38">
        <v>1</v>
      </c>
      <c r="L47" s="38"/>
      <c r="M47" s="38"/>
      <c r="N47" s="38"/>
    </row>
    <row r="48" spans="1:14" x14ac:dyDescent="0.3">
      <c r="A48" s="116" t="s">
        <v>456</v>
      </c>
      <c r="B48" s="44" t="s">
        <v>453</v>
      </c>
      <c r="C48" s="38"/>
      <c r="D48" s="38"/>
      <c r="E48" s="38"/>
      <c r="F48" s="38"/>
      <c r="G48" s="38"/>
      <c r="H48" s="38"/>
      <c r="I48" s="38"/>
      <c r="J48" s="38"/>
      <c r="K48" s="38">
        <v>1</v>
      </c>
      <c r="L48" s="38"/>
      <c r="M48" s="38"/>
      <c r="N48" s="38"/>
    </row>
    <row r="49" spans="1:14" x14ac:dyDescent="0.3">
      <c r="A49" s="115" t="s">
        <v>456</v>
      </c>
      <c r="B49" s="44" t="s">
        <v>454</v>
      </c>
      <c r="C49" s="38"/>
      <c r="D49" s="38"/>
      <c r="E49" s="38"/>
      <c r="F49" s="38"/>
      <c r="G49" s="38"/>
      <c r="H49" s="38"/>
      <c r="I49" s="38"/>
      <c r="J49" s="38"/>
      <c r="K49" s="38">
        <v>1</v>
      </c>
      <c r="L49" s="38"/>
      <c r="M49" s="38"/>
      <c r="N49" s="38"/>
    </row>
    <row r="50" spans="1:14" x14ac:dyDescent="0.3">
      <c r="A50" s="44"/>
      <c r="B50" s="44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</row>
  </sheetData>
  <pageMargins left="0.7" right="0.7" top="0.75" bottom="0.75" header="0.3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view="pageBreakPreview" zoomScale="110" zoomScaleSheetLayoutView="110" workbookViewId="0">
      <selection activeCell="A36" sqref="A36:C36"/>
    </sheetView>
  </sheetViews>
  <sheetFormatPr defaultColWidth="8.77734375" defaultRowHeight="14.4" x14ac:dyDescent="0.3"/>
  <cols>
    <col min="1" max="1" width="23.5546875" customWidth="1"/>
  </cols>
  <sheetData>
    <row r="1" spans="1:15" ht="15" thickBot="1" x14ac:dyDescent="0.35">
      <c r="A1" s="24"/>
      <c r="B1" s="25"/>
      <c r="C1" s="63" t="s">
        <v>37</v>
      </c>
      <c r="D1" s="63" t="s">
        <v>38</v>
      </c>
      <c r="E1" s="63" t="s">
        <v>39</v>
      </c>
      <c r="F1" s="63" t="s">
        <v>40</v>
      </c>
      <c r="G1" s="63" t="s">
        <v>36</v>
      </c>
      <c r="H1" s="63" t="s">
        <v>41</v>
      </c>
      <c r="I1" s="64" t="s">
        <v>42</v>
      </c>
      <c r="J1" s="64" t="s">
        <v>43</v>
      </c>
      <c r="K1" s="64" t="s">
        <v>44</v>
      </c>
      <c r="L1" s="64" t="s">
        <v>45</v>
      </c>
      <c r="M1" s="63" t="s">
        <v>46</v>
      </c>
      <c r="N1" s="64" t="s">
        <v>47</v>
      </c>
    </row>
    <row r="2" spans="1:15" ht="15" thickBot="1" x14ac:dyDescent="0.35">
      <c r="A2" s="29" t="s">
        <v>0</v>
      </c>
      <c r="B2" s="31" t="s">
        <v>1</v>
      </c>
      <c r="C2" s="1"/>
      <c r="D2" s="2"/>
      <c r="E2" s="2"/>
      <c r="F2" s="2"/>
      <c r="G2" s="2"/>
      <c r="H2" s="1"/>
      <c r="I2" s="2"/>
      <c r="J2" s="2"/>
      <c r="K2" s="2"/>
      <c r="L2" s="2"/>
      <c r="M2" s="30"/>
      <c r="N2" s="2"/>
    </row>
    <row r="3" spans="1:15" x14ac:dyDescent="0.3">
      <c r="A3" s="44" t="s">
        <v>281</v>
      </c>
      <c r="B3" s="44" t="s">
        <v>282</v>
      </c>
      <c r="C3" s="23"/>
      <c r="D3" s="8"/>
      <c r="E3" s="8"/>
      <c r="F3" s="8"/>
      <c r="G3" s="8"/>
      <c r="H3" s="7"/>
      <c r="I3" s="8"/>
      <c r="J3" s="8"/>
      <c r="K3" s="8"/>
      <c r="L3" s="8"/>
      <c r="M3" s="23"/>
      <c r="N3" s="8"/>
    </row>
    <row r="4" spans="1:15" x14ac:dyDescent="0.3">
      <c r="A4" s="44" t="s">
        <v>283</v>
      </c>
      <c r="B4" s="44" t="s">
        <v>284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5" x14ac:dyDescent="0.3">
      <c r="A5" s="44" t="s">
        <v>285</v>
      </c>
      <c r="B5" s="44" t="s">
        <v>286</v>
      </c>
      <c r="C5" s="3"/>
      <c r="D5" s="3"/>
      <c r="E5" s="3"/>
      <c r="F5" s="3"/>
      <c r="G5" s="3"/>
      <c r="H5" s="3"/>
      <c r="I5" s="3"/>
      <c r="J5" s="3"/>
      <c r="K5" s="3"/>
      <c r="L5" s="3">
        <v>1</v>
      </c>
      <c r="M5" s="3"/>
      <c r="N5" s="3"/>
    </row>
    <row r="6" spans="1:15" x14ac:dyDescent="0.3">
      <c r="A6" s="44" t="s">
        <v>287</v>
      </c>
      <c r="B6" s="44" t="s">
        <v>288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5" x14ac:dyDescent="0.3">
      <c r="A7" s="44" t="s">
        <v>289</v>
      </c>
      <c r="B7" s="44" t="s">
        <v>290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5" x14ac:dyDescent="0.3">
      <c r="A8" s="44" t="s">
        <v>291</v>
      </c>
      <c r="B8" s="44" t="s">
        <v>292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5" x14ac:dyDescent="0.3">
      <c r="A9" s="44" t="s">
        <v>293</v>
      </c>
      <c r="B9" s="44" t="s">
        <v>294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5" x14ac:dyDescent="0.3">
      <c r="A10" s="44" t="s">
        <v>295</v>
      </c>
      <c r="B10" s="44" t="s">
        <v>296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5" x14ac:dyDescent="0.3">
      <c r="A11" s="44" t="s">
        <v>297</v>
      </c>
      <c r="B11" s="44" t="s">
        <v>298</v>
      </c>
      <c r="C11" s="3"/>
      <c r="D11" s="3"/>
      <c r="E11" s="3"/>
      <c r="F11" s="3"/>
      <c r="G11" s="3"/>
      <c r="H11" s="3">
        <v>1</v>
      </c>
      <c r="I11" s="3"/>
      <c r="J11" s="3"/>
      <c r="K11" s="3"/>
      <c r="L11" s="3"/>
      <c r="M11" s="3">
        <v>1</v>
      </c>
      <c r="N11" s="3"/>
    </row>
    <row r="12" spans="1:15" x14ac:dyDescent="0.3">
      <c r="A12" s="44" t="s">
        <v>299</v>
      </c>
      <c r="B12" s="44" t="s">
        <v>300</v>
      </c>
      <c r="C12" s="3"/>
      <c r="D12" s="3"/>
      <c r="E12" s="3"/>
      <c r="F12" s="3"/>
      <c r="G12" s="3"/>
      <c r="H12" s="3">
        <v>1</v>
      </c>
      <c r="I12" s="3"/>
      <c r="J12" s="3"/>
      <c r="K12" s="3">
        <v>1</v>
      </c>
      <c r="L12" s="3">
        <v>1</v>
      </c>
      <c r="M12" s="3">
        <v>1</v>
      </c>
      <c r="N12" s="3"/>
    </row>
    <row r="13" spans="1:15" x14ac:dyDescent="0.3">
      <c r="A13" s="44" t="s">
        <v>301</v>
      </c>
      <c r="B13" s="44" t="s">
        <v>302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5" s="38" customFormat="1" x14ac:dyDescent="0.3">
      <c r="A14" s="44" t="s">
        <v>303</v>
      </c>
      <c r="B14" s="44" t="s">
        <v>304</v>
      </c>
      <c r="C14" s="3"/>
      <c r="D14" s="3"/>
      <c r="E14" s="3">
        <v>1</v>
      </c>
      <c r="F14" s="3">
        <v>1</v>
      </c>
      <c r="G14" s="3">
        <v>1</v>
      </c>
      <c r="H14" s="3">
        <v>1</v>
      </c>
      <c r="I14" s="3"/>
      <c r="J14" s="3">
        <v>1</v>
      </c>
      <c r="K14" s="3"/>
      <c r="L14" s="3">
        <v>1</v>
      </c>
      <c r="M14" s="3"/>
      <c r="N14" s="3"/>
      <c r="O14" s="52"/>
    </row>
    <row r="15" spans="1:15" s="51" customFormat="1" x14ac:dyDescent="0.3">
      <c r="A15" s="44" t="s">
        <v>305</v>
      </c>
      <c r="B15" s="44" t="s">
        <v>306</v>
      </c>
      <c r="C15" s="3"/>
      <c r="D15" s="3"/>
      <c r="E15" s="3">
        <v>1</v>
      </c>
      <c r="F15" s="3">
        <v>0</v>
      </c>
      <c r="G15" s="3">
        <v>1</v>
      </c>
      <c r="H15" s="3">
        <v>1</v>
      </c>
      <c r="I15" s="3"/>
      <c r="J15" s="3">
        <v>1</v>
      </c>
      <c r="K15" s="3"/>
      <c r="L15" s="3">
        <v>1</v>
      </c>
      <c r="M15" s="3">
        <v>1</v>
      </c>
      <c r="N15" s="3"/>
    </row>
    <row r="16" spans="1:15" s="51" customFormat="1" x14ac:dyDescent="0.3">
      <c r="A16" s="44" t="s">
        <v>307</v>
      </c>
      <c r="B16" s="44" t="s">
        <v>308</v>
      </c>
      <c r="C16" s="3"/>
      <c r="D16" s="3"/>
      <c r="E16" s="3">
        <v>1</v>
      </c>
      <c r="F16" s="3">
        <v>1</v>
      </c>
      <c r="G16" s="3">
        <v>1</v>
      </c>
      <c r="H16" s="3">
        <v>1</v>
      </c>
      <c r="I16" s="3"/>
      <c r="J16" s="3">
        <v>1</v>
      </c>
      <c r="K16" s="3">
        <v>1</v>
      </c>
      <c r="L16" s="3">
        <v>1</v>
      </c>
      <c r="M16" s="3"/>
      <c r="N16" s="3"/>
    </row>
    <row r="17" spans="1:15" s="38" customFormat="1" x14ac:dyDescent="0.3">
      <c r="A17" s="44" t="s">
        <v>309</v>
      </c>
      <c r="B17" s="44" t="s">
        <v>310</v>
      </c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52"/>
    </row>
    <row r="18" spans="1:15" x14ac:dyDescent="0.3">
      <c r="A18" s="44" t="s">
        <v>311</v>
      </c>
      <c r="B18" s="44" t="s">
        <v>312</v>
      </c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</row>
    <row r="19" spans="1:15" x14ac:dyDescent="0.3">
      <c r="A19" s="44" t="s">
        <v>313</v>
      </c>
      <c r="B19" s="44" t="s">
        <v>314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5" x14ac:dyDescent="0.3">
      <c r="A20" s="44" t="s">
        <v>315</v>
      </c>
      <c r="B20" s="44" t="s">
        <v>316</v>
      </c>
      <c r="C20" s="3"/>
      <c r="D20" s="3"/>
      <c r="E20" s="3"/>
      <c r="F20" s="3"/>
      <c r="G20" s="3"/>
      <c r="H20" s="3">
        <v>1</v>
      </c>
      <c r="I20" s="3"/>
      <c r="J20" s="3">
        <v>1</v>
      </c>
      <c r="K20" s="3"/>
      <c r="L20" s="3"/>
      <c r="M20" s="3"/>
      <c r="N20" s="3"/>
    </row>
    <row r="21" spans="1:15" x14ac:dyDescent="0.3">
      <c r="A21" s="44" t="s">
        <v>381</v>
      </c>
      <c r="B21" s="44" t="s">
        <v>383</v>
      </c>
      <c r="C21" s="3"/>
      <c r="D21" s="3"/>
      <c r="E21" s="3"/>
      <c r="F21" s="3"/>
      <c r="G21" s="3"/>
      <c r="H21" s="3">
        <v>1</v>
      </c>
      <c r="I21" s="3"/>
      <c r="J21" s="3"/>
      <c r="K21" s="3"/>
      <c r="L21" s="3">
        <v>1</v>
      </c>
      <c r="M21" s="3"/>
      <c r="N21" s="3"/>
    </row>
    <row r="22" spans="1:15" x14ac:dyDescent="0.3">
      <c r="A22" s="44" t="s">
        <v>382</v>
      </c>
      <c r="B22" s="44" t="s">
        <v>384</v>
      </c>
      <c r="C22" s="3"/>
      <c r="D22" s="3"/>
      <c r="E22" s="3"/>
      <c r="F22" s="3"/>
      <c r="G22" s="3"/>
      <c r="H22" s="3">
        <v>1</v>
      </c>
      <c r="I22" s="3"/>
      <c r="J22" s="3">
        <v>1</v>
      </c>
      <c r="K22" s="3">
        <v>1</v>
      </c>
      <c r="L22" s="3"/>
      <c r="M22" s="3"/>
      <c r="N22" s="3"/>
    </row>
    <row r="23" spans="1:15" x14ac:dyDescent="0.3">
      <c r="A23" s="44" t="s">
        <v>317</v>
      </c>
      <c r="B23" s="44" t="s">
        <v>318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5" x14ac:dyDescent="0.3">
      <c r="A24" s="44" t="s">
        <v>319</v>
      </c>
      <c r="B24" s="44" t="s">
        <v>320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5" s="38" customFormat="1" x14ac:dyDescent="0.3">
      <c r="A25" s="44" t="s">
        <v>321</v>
      </c>
      <c r="B25" s="44" t="s">
        <v>322</v>
      </c>
      <c r="C25" s="3"/>
      <c r="D25" s="3"/>
      <c r="E25" s="3"/>
      <c r="F25" s="3"/>
      <c r="G25" s="3"/>
      <c r="H25" s="3"/>
      <c r="I25" s="3">
        <v>1</v>
      </c>
      <c r="J25" s="3"/>
      <c r="K25" s="3"/>
      <c r="L25" s="3"/>
      <c r="M25" s="3"/>
      <c r="N25" s="3"/>
      <c r="O25" s="52"/>
    </row>
    <row r="26" spans="1:15" x14ac:dyDescent="0.3">
      <c r="A26" s="44" t="s">
        <v>323</v>
      </c>
      <c r="B26" s="44" t="s">
        <v>324</v>
      </c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</row>
    <row r="27" spans="1:15" x14ac:dyDescent="0.3">
      <c r="A27" s="44" t="s">
        <v>325</v>
      </c>
      <c r="B27" s="44" t="s">
        <v>326</v>
      </c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</row>
    <row r="28" spans="1:15" x14ac:dyDescent="0.3">
      <c r="A28" s="44" t="s">
        <v>327</v>
      </c>
      <c r="B28" s="44" t="s">
        <v>328</v>
      </c>
      <c r="C28" s="3"/>
      <c r="D28" s="3"/>
      <c r="E28" s="3">
        <v>1</v>
      </c>
      <c r="F28" s="3"/>
      <c r="G28" s="3"/>
      <c r="H28" s="3"/>
      <c r="I28" s="3"/>
      <c r="J28" s="3"/>
      <c r="K28" s="3"/>
      <c r="L28" s="3"/>
      <c r="M28" s="3"/>
      <c r="N28" s="3"/>
    </row>
    <row r="29" spans="1:15" x14ac:dyDescent="0.3">
      <c r="A29" s="44" t="s">
        <v>329</v>
      </c>
      <c r="B29" s="44" t="s">
        <v>330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5" x14ac:dyDescent="0.3">
      <c r="A30" s="44" t="s">
        <v>229</v>
      </c>
      <c r="B30" s="44" t="s">
        <v>230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5" x14ac:dyDescent="0.3">
      <c r="A31" s="44" t="s">
        <v>231</v>
      </c>
      <c r="B31" s="44" t="s">
        <v>232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5" x14ac:dyDescent="0.3">
      <c r="A32" s="44" t="s">
        <v>349</v>
      </c>
      <c r="B32" s="44" t="s">
        <v>222</v>
      </c>
      <c r="C32" s="3"/>
      <c r="D32" s="3"/>
      <c r="E32" s="3"/>
      <c r="F32" s="3"/>
      <c r="G32" s="3"/>
      <c r="H32" s="3">
        <v>1</v>
      </c>
      <c r="I32" s="3"/>
      <c r="J32" s="3"/>
      <c r="K32" s="3"/>
      <c r="L32" s="3"/>
      <c r="M32" s="3"/>
      <c r="N32" s="3"/>
    </row>
    <row r="33" spans="1:14" x14ac:dyDescent="0.3">
      <c r="A33" s="44" t="s">
        <v>350</v>
      </c>
      <c r="B33" s="44" t="s">
        <v>351</v>
      </c>
      <c r="C33" s="3"/>
      <c r="D33" s="3"/>
      <c r="E33" s="3"/>
      <c r="F33" s="3"/>
      <c r="G33" s="3"/>
      <c r="H33" s="3">
        <v>1</v>
      </c>
      <c r="I33" s="3"/>
      <c r="J33" s="3"/>
      <c r="K33" s="3"/>
      <c r="L33" s="3"/>
      <c r="M33" s="3"/>
      <c r="N33" s="3"/>
    </row>
    <row r="34" spans="1:14" x14ac:dyDescent="0.3">
      <c r="A34" s="44" t="s">
        <v>359</v>
      </c>
      <c r="B34" s="44" t="s">
        <v>361</v>
      </c>
      <c r="C34" s="38"/>
      <c r="D34" s="38"/>
      <c r="E34" s="38"/>
      <c r="F34" s="38"/>
      <c r="G34" s="38"/>
      <c r="H34" s="38"/>
      <c r="I34" s="38">
        <v>1</v>
      </c>
      <c r="J34" s="38">
        <v>1</v>
      </c>
      <c r="K34" s="38">
        <v>1</v>
      </c>
      <c r="L34" s="38">
        <v>1</v>
      </c>
      <c r="M34" s="38">
        <v>1</v>
      </c>
      <c r="N34" s="38"/>
    </row>
    <row r="35" spans="1:14" x14ac:dyDescent="0.3">
      <c r="A35" s="44" t="s">
        <v>360</v>
      </c>
      <c r="B35" s="44" t="s">
        <v>362</v>
      </c>
      <c r="C35" s="38"/>
      <c r="D35" s="38"/>
      <c r="E35" s="38"/>
      <c r="F35" s="38"/>
      <c r="G35" s="38"/>
      <c r="H35" s="38"/>
      <c r="I35" s="38">
        <v>1</v>
      </c>
      <c r="J35" s="38">
        <v>1</v>
      </c>
      <c r="K35" s="38">
        <v>1</v>
      </c>
      <c r="L35" s="38">
        <v>1</v>
      </c>
      <c r="M35" s="38">
        <v>1</v>
      </c>
      <c r="N35" s="38"/>
    </row>
    <row r="36" spans="1:14" x14ac:dyDescent="0.3">
      <c r="A36" s="117" t="s">
        <v>528</v>
      </c>
      <c r="B36" s="117" t="s">
        <v>529</v>
      </c>
      <c r="C36" s="117" t="s">
        <v>442</v>
      </c>
    </row>
  </sheetData>
  <pageMargins left="0.7" right="0.7" top="0.75" bottom="0.75" header="0.3" footer="0.3"/>
  <pageSetup paperSize="9" scale="4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2"/>
  <sheetViews>
    <sheetView tabSelected="1" zoomScale="70" zoomScaleNormal="70" workbookViewId="0">
      <pane ySplit="1" topLeftCell="A8" activePane="bottomLeft" state="frozen"/>
      <selection pane="bottomLeft" activeCell="K60" sqref="K60"/>
    </sheetView>
  </sheetViews>
  <sheetFormatPr defaultColWidth="8.77734375" defaultRowHeight="14.4" x14ac:dyDescent="0.3"/>
  <cols>
    <col min="1" max="1" width="8.77734375" style="137"/>
    <col min="2" max="2" width="12.5546875" style="137" customWidth="1"/>
    <col min="3" max="3" width="24.21875" style="137" customWidth="1"/>
    <col min="4" max="7" width="8.77734375" style="144"/>
    <col min="8" max="9" width="8.77734375" style="147"/>
    <col min="10" max="15" width="8.77734375" style="144"/>
    <col min="16" max="20" width="8.77734375" style="137"/>
    <col min="21" max="21" width="11.5546875" style="137" customWidth="1"/>
    <col min="22" max="22" width="8.77734375" style="137"/>
    <col min="23" max="23" width="13.77734375" style="137" customWidth="1"/>
    <col min="24" max="24" width="11.44140625" style="137" customWidth="1"/>
    <col min="25" max="25" width="8.77734375" style="137"/>
    <col min="26" max="26" width="32" style="137" bestFit="1" customWidth="1"/>
    <col min="27" max="27" width="13.44140625" style="137" customWidth="1"/>
    <col min="28" max="16384" width="8.77734375" style="137"/>
  </cols>
  <sheetData>
    <row r="1" spans="1:28" s="134" customFormat="1" x14ac:dyDescent="0.3">
      <c r="A1" s="134" t="s">
        <v>461</v>
      </c>
      <c r="B1" s="134" t="s">
        <v>459</v>
      </c>
      <c r="C1" s="134" t="s">
        <v>460</v>
      </c>
      <c r="D1" s="135" t="s">
        <v>462</v>
      </c>
      <c r="E1" s="135" t="s">
        <v>463</v>
      </c>
      <c r="F1" s="135" t="s">
        <v>464</v>
      </c>
      <c r="G1" s="135" t="s">
        <v>465</v>
      </c>
      <c r="H1" s="149" t="s">
        <v>466</v>
      </c>
      <c r="I1" s="149" t="s">
        <v>467</v>
      </c>
      <c r="J1" s="135" t="s">
        <v>468</v>
      </c>
      <c r="K1" s="135" t="s">
        <v>469</v>
      </c>
      <c r="L1" s="135" t="s">
        <v>470</v>
      </c>
      <c r="M1" s="135" t="s">
        <v>471</v>
      </c>
      <c r="N1" s="135" t="s">
        <v>472</v>
      </c>
      <c r="O1" s="135" t="s">
        <v>473</v>
      </c>
      <c r="P1" s="134" t="s">
        <v>474</v>
      </c>
      <c r="Q1" s="134" t="s">
        <v>475</v>
      </c>
      <c r="R1" s="134" t="s">
        <v>476</v>
      </c>
      <c r="S1" s="134" t="s">
        <v>477</v>
      </c>
      <c r="T1" s="134" t="s">
        <v>478</v>
      </c>
      <c r="U1" s="134" t="s">
        <v>479</v>
      </c>
      <c r="V1" s="136" t="s">
        <v>480</v>
      </c>
      <c r="W1" s="134" t="s">
        <v>582</v>
      </c>
      <c r="X1" s="134" t="s">
        <v>585</v>
      </c>
      <c r="Y1" s="148" t="s">
        <v>584</v>
      </c>
    </row>
    <row r="2" spans="1:28" x14ac:dyDescent="0.3">
      <c r="A2" s="137" t="s">
        <v>67</v>
      </c>
      <c r="B2" s="137" t="s">
        <v>481</v>
      </c>
      <c r="C2" s="137" t="s">
        <v>49</v>
      </c>
      <c r="D2" s="138">
        <v>0</v>
      </c>
      <c r="E2" s="138">
        <v>0</v>
      </c>
      <c r="F2" s="138">
        <v>0</v>
      </c>
      <c r="G2" s="138">
        <v>1</v>
      </c>
      <c r="H2" s="140">
        <v>1</v>
      </c>
      <c r="I2" s="140">
        <v>1</v>
      </c>
      <c r="J2" s="138">
        <v>0</v>
      </c>
      <c r="K2" s="138">
        <v>0</v>
      </c>
      <c r="L2" s="138">
        <v>0</v>
      </c>
      <c r="M2" s="138">
        <v>0</v>
      </c>
      <c r="N2" s="138">
        <v>0</v>
      </c>
      <c r="O2" s="138">
        <v>0</v>
      </c>
      <c r="P2" s="137">
        <f>VLOOKUP(A2,[1]allpride!$C$2:$V$215,14,FALSE)</f>
        <v>1</v>
      </c>
      <c r="Q2" s="137">
        <f>VLOOKUP(A2,[1]allpride!$C$2:$V$215,15,FALSE)</f>
        <v>1</v>
      </c>
      <c r="R2" s="137">
        <v>1</v>
      </c>
      <c r="S2" s="137">
        <f>VLOOKUP(A2,[1]allpride!$C$2:$V$215,17,FALSE)</f>
        <v>1</v>
      </c>
      <c r="T2" s="137">
        <f>VLOOKUP(A2,[1]allpride!$C$2:$V$215,18,FALSE)</f>
        <v>2013</v>
      </c>
      <c r="U2" s="137">
        <f>VLOOKUP(A2,[1]allpride!$C$2:$V$215,19,FALSE)</f>
        <v>7</v>
      </c>
      <c r="V2" s="137">
        <f>VLOOKUP(A2,[1]allpride!$C$2:$V$215,20,FALSE)</f>
        <v>0</v>
      </c>
      <c r="W2" s="137">
        <f>VLOOKUP(B2,'[2]pride covariates'!$A$2:$B$33,2,FALSE)</f>
        <v>1</v>
      </c>
      <c r="X2" s="137">
        <v>1</v>
      </c>
      <c r="Y2" s="137">
        <v>1</v>
      </c>
      <c r="Z2" s="117" t="str">
        <f t="shared" ref="Z2:Z33" si="0">CONCATENATE("/* ",A2," */ ",G2,H2,I2,J2,K2,L2,M2,N2," 1"," ",P2," ",S2," ",R2," ",Y2," ",V2," ",X2,";")</f>
        <v>/* ELI-583 */ 11100000 1 1 1 1 1 0 1;</v>
      </c>
      <c r="AA2" s="137" t="str">
        <f>CONCATENATE(G2,H2,I2,J2,K2,L2,M2,N2)</f>
        <v>11100000</v>
      </c>
      <c r="AB2" s="137" t="str">
        <f>CONCATENATE("/*",A2,"*/ ",G2,H2,I2,J2,K2,L2,M2,N2," 1;")</f>
        <v>/*ELI-583*/ 11100000 1;</v>
      </c>
    </row>
    <row r="3" spans="1:28" x14ac:dyDescent="0.3">
      <c r="A3" s="137" t="s">
        <v>68</v>
      </c>
      <c r="B3" s="137" t="s">
        <v>481</v>
      </c>
      <c r="C3" s="137" t="s">
        <v>50</v>
      </c>
      <c r="D3" s="138">
        <v>0</v>
      </c>
      <c r="E3" s="138">
        <v>0</v>
      </c>
      <c r="F3" s="138">
        <v>0</v>
      </c>
      <c r="G3" s="138">
        <v>1</v>
      </c>
      <c r="H3" s="140">
        <v>1</v>
      </c>
      <c r="I3" s="140">
        <v>1</v>
      </c>
      <c r="J3" s="138">
        <v>1</v>
      </c>
      <c r="K3" s="138">
        <v>1</v>
      </c>
      <c r="L3" s="138">
        <v>1</v>
      </c>
      <c r="M3" s="138">
        <v>1</v>
      </c>
      <c r="N3" s="138">
        <v>1</v>
      </c>
      <c r="O3" s="138">
        <v>0</v>
      </c>
      <c r="P3" s="137">
        <f>VLOOKUP(A3,[1]allpride!$C$2:$V$215,14,FALSE)</f>
        <v>1</v>
      </c>
      <c r="Q3" s="137">
        <f>VLOOKUP(A3,[1]allpride!$C$2:$V$215,15,FALSE)</f>
        <v>0</v>
      </c>
      <c r="R3" s="137">
        <f>VLOOKUP(A3,[1]allpride!$C$2:$V$215,16,FALSE)</f>
        <v>0</v>
      </c>
      <c r="S3" s="137">
        <f>VLOOKUP(A3,[1]allpride!$C$2:$V$215,17,FALSE)</f>
        <v>1</v>
      </c>
      <c r="T3" s="137">
        <f>VLOOKUP(A3,[1]allpride!$C$2:$V$215,18,FALSE)</f>
        <v>2013</v>
      </c>
      <c r="U3" s="137">
        <f>VLOOKUP(A3,[1]allpride!$C$2:$V$215,19,FALSE)</f>
        <v>7</v>
      </c>
      <c r="V3" s="137">
        <f>VLOOKUP(A3,[1]allpride!$C$2:$V$215,20,FALSE)</f>
        <v>0</v>
      </c>
      <c r="W3" s="137">
        <f>VLOOKUP(B3,'[2]pride covariates'!$A$2:$B$33,2,FALSE)</f>
        <v>1</v>
      </c>
      <c r="X3" s="137">
        <v>1</v>
      </c>
      <c r="Y3" s="137">
        <v>0</v>
      </c>
      <c r="Z3" s="117" t="str">
        <f t="shared" si="0"/>
        <v>/* ELI-584 */ 11111111 1 1 1 0 0 0 1;</v>
      </c>
      <c r="AA3" s="137" t="str">
        <f t="shared" ref="AA3:AA67" si="1">CONCATENATE(G3,H3,I3,J3,K3,L3,M3,N3)</f>
        <v>11111111</v>
      </c>
      <c r="AB3" s="137" t="str">
        <f t="shared" ref="AB3:AB67" si="2">CONCATENATE("/*",A3,"*/ ",G3,H3,I3,J3,K3,L3,M3,N3," 1;")</f>
        <v>/*ELI-584*/ 11111111 1;</v>
      </c>
    </row>
    <row r="4" spans="1:28" x14ac:dyDescent="0.3">
      <c r="A4" s="137" t="s">
        <v>69</v>
      </c>
      <c r="B4" s="137" t="s">
        <v>481</v>
      </c>
      <c r="C4" s="137" t="s">
        <v>51</v>
      </c>
      <c r="D4" s="138">
        <v>0</v>
      </c>
      <c r="E4" s="138">
        <v>0</v>
      </c>
      <c r="F4" s="138">
        <v>0</v>
      </c>
      <c r="G4" s="138">
        <v>1</v>
      </c>
      <c r="H4" s="140">
        <v>1</v>
      </c>
      <c r="I4" s="140">
        <v>1</v>
      </c>
      <c r="J4" s="138">
        <v>1</v>
      </c>
      <c r="K4" s="138">
        <v>1</v>
      </c>
      <c r="L4" s="138">
        <v>1</v>
      </c>
      <c r="M4" s="138">
        <v>1</v>
      </c>
      <c r="N4" s="138">
        <v>1</v>
      </c>
      <c r="O4" s="138">
        <v>0</v>
      </c>
      <c r="P4" s="137">
        <f>VLOOKUP(A4,[1]allpride!$C$2:$V$215,14,FALSE)</f>
        <v>1</v>
      </c>
      <c r="Q4" s="137">
        <f>VLOOKUP(A4,[1]allpride!$C$2:$V$215,15,FALSE)</f>
        <v>0</v>
      </c>
      <c r="R4" s="137">
        <f>VLOOKUP(A4,[1]allpride!$C$2:$V$215,16,FALSE)</f>
        <v>0</v>
      </c>
      <c r="S4" s="137">
        <f>VLOOKUP(A4,[1]allpride!$C$2:$V$215,17,FALSE)</f>
        <v>1</v>
      </c>
      <c r="T4" s="137">
        <f>VLOOKUP(A4,[1]allpride!$C$2:$V$215,18,FALSE)</f>
        <v>2013</v>
      </c>
      <c r="U4" s="137">
        <f>VLOOKUP(A4,[1]allpride!$C$2:$V$215,19,FALSE)</f>
        <v>7</v>
      </c>
      <c r="V4" s="137">
        <f>VLOOKUP(A4,[1]allpride!$C$2:$V$215,20,FALSE)</f>
        <v>0</v>
      </c>
      <c r="W4" s="137">
        <f>VLOOKUP(B4,'[2]pride covariates'!$A$2:$B$33,2,FALSE)</f>
        <v>1</v>
      </c>
      <c r="X4" s="137">
        <v>1</v>
      </c>
      <c r="Y4" s="137">
        <v>0</v>
      </c>
      <c r="Z4" s="117" t="str">
        <f t="shared" si="0"/>
        <v>/* ELI-585 */ 11111111 1 1 1 0 0 0 1;</v>
      </c>
      <c r="AA4" s="137" t="str">
        <f t="shared" si="1"/>
        <v>11111111</v>
      </c>
      <c r="AB4" s="137" t="str">
        <f t="shared" si="2"/>
        <v>/*ELI-585*/ 11111111 1;</v>
      </c>
    </row>
    <row r="5" spans="1:28" x14ac:dyDescent="0.3">
      <c r="A5" s="137" t="s">
        <v>70</v>
      </c>
      <c r="B5" s="137" t="s">
        <v>481</v>
      </c>
      <c r="C5" s="137" t="s">
        <v>52</v>
      </c>
      <c r="D5" s="138">
        <v>0</v>
      </c>
      <c r="E5" s="138">
        <v>0</v>
      </c>
      <c r="F5" s="138">
        <v>0</v>
      </c>
      <c r="G5" s="138">
        <v>1</v>
      </c>
      <c r="H5" s="140">
        <v>1</v>
      </c>
      <c r="I5" s="140">
        <v>1</v>
      </c>
      <c r="J5" s="138">
        <v>1</v>
      </c>
      <c r="K5" s="138">
        <v>1</v>
      </c>
      <c r="L5" s="138">
        <v>1</v>
      </c>
      <c r="M5" s="138">
        <v>1</v>
      </c>
      <c r="N5" s="138">
        <v>1</v>
      </c>
      <c r="O5" s="138">
        <v>0</v>
      </c>
      <c r="P5" s="137">
        <f>VLOOKUP(A5,[1]allpride!$C$2:$V$215,14,FALSE)</f>
        <v>1</v>
      </c>
      <c r="Q5" s="137">
        <f>VLOOKUP(A5,[1]allpride!$C$2:$V$215,15,FALSE)</f>
        <v>1</v>
      </c>
      <c r="R5" s="137">
        <f>VLOOKUP(A5,[1]allpride!$C$2:$V$215,16,FALSE)</f>
        <v>0</v>
      </c>
      <c r="S5" s="137">
        <f>VLOOKUP(A5,[1]allpride!$C$2:$V$215,17,FALSE)</f>
        <v>1</v>
      </c>
      <c r="T5" s="137">
        <f>VLOOKUP(A5,[1]allpride!$C$2:$V$215,18,FALSE)</f>
        <v>2013</v>
      </c>
      <c r="U5" s="137">
        <f>VLOOKUP(A5,[1]allpride!$C$2:$V$215,19,FALSE)</f>
        <v>7</v>
      </c>
      <c r="V5" s="137">
        <f>VLOOKUP(A5,[1]allpride!$C$2:$V$215,20,FALSE)</f>
        <v>0</v>
      </c>
      <c r="W5" s="137">
        <f>VLOOKUP(B5,'[2]pride covariates'!$A$2:$B$33,2,FALSE)</f>
        <v>1</v>
      </c>
      <c r="X5" s="137">
        <v>1</v>
      </c>
      <c r="Y5" s="137">
        <v>1</v>
      </c>
      <c r="Z5" s="117" t="str">
        <f t="shared" si="0"/>
        <v>/* ELI-586 */ 11111111 1 1 1 0 1 0 1;</v>
      </c>
      <c r="AA5" s="137" t="str">
        <f t="shared" si="1"/>
        <v>11111111</v>
      </c>
      <c r="AB5" s="137" t="str">
        <f t="shared" si="2"/>
        <v>/*ELI-586*/ 11111111 1;</v>
      </c>
    </row>
    <row r="6" spans="1:28" x14ac:dyDescent="0.3">
      <c r="A6" s="137" t="s">
        <v>71</v>
      </c>
      <c r="B6" s="137" t="s">
        <v>481</v>
      </c>
      <c r="C6" s="137" t="s">
        <v>53</v>
      </c>
      <c r="D6" s="138">
        <v>0</v>
      </c>
      <c r="E6" s="138">
        <v>0</v>
      </c>
      <c r="F6" s="138">
        <v>0</v>
      </c>
      <c r="G6" s="138">
        <v>1</v>
      </c>
      <c r="H6" s="140">
        <v>1</v>
      </c>
      <c r="I6" s="140">
        <v>1</v>
      </c>
      <c r="J6" s="138">
        <v>1</v>
      </c>
      <c r="K6" s="138">
        <v>1</v>
      </c>
      <c r="L6" s="138">
        <v>1</v>
      </c>
      <c r="M6" s="138">
        <v>1</v>
      </c>
      <c r="N6" s="138">
        <v>1</v>
      </c>
      <c r="O6" s="138">
        <v>0</v>
      </c>
      <c r="P6" s="137">
        <f>VLOOKUP(A6,[1]allpride!$C$2:$V$215,14,FALSE)</f>
        <v>1</v>
      </c>
      <c r="Q6" s="137">
        <f>VLOOKUP(A6,[1]allpride!$C$2:$V$215,15,FALSE)</f>
        <v>0</v>
      </c>
      <c r="R6" s="137">
        <f>VLOOKUP(A6,[1]allpride!$C$2:$V$215,16,FALSE)</f>
        <v>0</v>
      </c>
      <c r="S6" s="137">
        <f>VLOOKUP(A6,[1]allpride!$C$2:$V$215,17,FALSE)</f>
        <v>1</v>
      </c>
      <c r="T6" s="137">
        <f>VLOOKUP(A6,[1]allpride!$C$2:$V$215,18,FALSE)</f>
        <v>2013</v>
      </c>
      <c r="U6" s="137">
        <f>VLOOKUP(A6,[1]allpride!$C$2:$V$215,19,FALSE)</f>
        <v>7</v>
      </c>
      <c r="V6" s="137">
        <f>VLOOKUP(A6,[1]allpride!$C$2:$V$215,20,FALSE)</f>
        <v>0</v>
      </c>
      <c r="W6" s="137">
        <f>VLOOKUP(B6,'[2]pride covariates'!$A$2:$B$33,2,FALSE)</f>
        <v>1</v>
      </c>
      <c r="X6" s="137">
        <v>1</v>
      </c>
      <c r="Y6" s="137">
        <v>0</v>
      </c>
      <c r="Z6" s="117" t="str">
        <f t="shared" si="0"/>
        <v>/* ELI-587 */ 11111111 1 1 1 0 0 0 1;</v>
      </c>
      <c r="AA6" s="137" t="str">
        <f t="shared" si="1"/>
        <v>11111111</v>
      </c>
      <c r="AB6" s="137" t="str">
        <f t="shared" si="2"/>
        <v>/*ELI-587*/ 11111111 1;</v>
      </c>
    </row>
    <row r="7" spans="1:28" x14ac:dyDescent="0.3">
      <c r="A7" s="137" t="s">
        <v>333</v>
      </c>
      <c r="B7" s="137" t="s">
        <v>481</v>
      </c>
      <c r="C7" s="137" t="s">
        <v>339</v>
      </c>
      <c r="D7" s="138">
        <v>0</v>
      </c>
      <c r="E7" s="138">
        <v>0</v>
      </c>
      <c r="F7" s="138">
        <v>0</v>
      </c>
      <c r="G7" s="138">
        <v>1</v>
      </c>
      <c r="H7" s="140">
        <v>1</v>
      </c>
      <c r="I7" s="140">
        <v>1</v>
      </c>
      <c r="J7" s="138">
        <v>1</v>
      </c>
      <c r="K7" s="138">
        <v>1</v>
      </c>
      <c r="L7" s="138">
        <v>1</v>
      </c>
      <c r="M7" s="138">
        <v>1</v>
      </c>
      <c r="N7" s="138">
        <v>1</v>
      </c>
      <c r="O7" s="138">
        <v>0</v>
      </c>
      <c r="P7" s="137">
        <f>VLOOKUP(A7,[1]allpride!$C$2:$V$215,14,FALSE)</f>
        <v>1</v>
      </c>
      <c r="Q7" s="137">
        <f>VLOOKUP(A7,[1]allpride!$C$2:$V$215,15,FALSE)</f>
        <v>0</v>
      </c>
      <c r="R7" s="137">
        <f>VLOOKUP(A7,[1]allpride!$C$2:$V$215,16,FALSE)</f>
        <v>0</v>
      </c>
      <c r="S7" s="137">
        <f>VLOOKUP(A7,[1]allpride!$C$2:$V$215,17,FALSE)</f>
        <v>1</v>
      </c>
      <c r="T7" s="137">
        <f>VLOOKUP(A7,[1]allpride!$C$2:$V$215,18,FALSE)</f>
        <v>2013</v>
      </c>
      <c r="U7" s="137">
        <f>VLOOKUP(A7,[1]allpride!$C$2:$V$215,19,FALSE)</f>
        <v>4</v>
      </c>
      <c r="V7" s="137">
        <f>VLOOKUP(A7,[1]allpride!$C$2:$V$215,20,FALSE)</f>
        <v>0</v>
      </c>
      <c r="W7" s="137">
        <f>VLOOKUP(B7,'[2]pride covariates'!$A$2:$B$33,2,FALSE)</f>
        <v>1</v>
      </c>
      <c r="X7" s="137">
        <v>1</v>
      </c>
      <c r="Y7" s="137">
        <v>0</v>
      </c>
      <c r="Z7" s="117" t="str">
        <f t="shared" si="0"/>
        <v>/* ELI-590 */ 11111111 1 1 1 0 0 0 1;</v>
      </c>
      <c r="AA7" s="137" t="str">
        <f t="shared" si="1"/>
        <v>11111111</v>
      </c>
      <c r="AB7" s="137" t="str">
        <f t="shared" si="2"/>
        <v>/*ELI-590*/ 11111111 1;</v>
      </c>
    </row>
    <row r="8" spans="1:28" x14ac:dyDescent="0.3">
      <c r="A8" s="137" t="s">
        <v>335</v>
      </c>
      <c r="B8" s="137" t="s">
        <v>481</v>
      </c>
      <c r="C8" s="137" t="s">
        <v>341</v>
      </c>
      <c r="D8" s="138">
        <v>0</v>
      </c>
      <c r="E8" s="138">
        <v>0</v>
      </c>
      <c r="F8" s="138">
        <v>0</v>
      </c>
      <c r="G8" s="138">
        <v>1</v>
      </c>
      <c r="H8" s="140">
        <v>1</v>
      </c>
      <c r="I8" s="140">
        <v>1</v>
      </c>
      <c r="J8" s="138">
        <v>1</v>
      </c>
      <c r="K8" s="138">
        <v>1</v>
      </c>
      <c r="L8" s="138">
        <v>1</v>
      </c>
      <c r="M8" s="138">
        <v>1</v>
      </c>
      <c r="N8" s="138">
        <v>1</v>
      </c>
      <c r="O8" s="138">
        <v>0</v>
      </c>
      <c r="P8" s="137">
        <f>VLOOKUP(A8,[1]allpride!$C$2:$V$215,14,FALSE)</f>
        <v>1</v>
      </c>
      <c r="Q8" s="137">
        <f>VLOOKUP(A8,[1]allpride!$C$2:$V$215,15,FALSE)</f>
        <v>0</v>
      </c>
      <c r="R8" s="137">
        <f>VLOOKUP(A8,[1]allpride!$C$2:$V$215,16,FALSE)</f>
        <v>0</v>
      </c>
      <c r="S8" s="137">
        <f>VLOOKUP(A8,[1]allpride!$C$2:$V$215,17,FALSE)</f>
        <v>1</v>
      </c>
      <c r="T8" s="137">
        <f>VLOOKUP(A8,[1]allpride!$C$2:$V$215,18,FALSE)</f>
        <v>2013</v>
      </c>
      <c r="U8" s="137">
        <f>VLOOKUP(A8,[1]allpride!$C$2:$V$215,19,FALSE)</f>
        <v>4</v>
      </c>
      <c r="V8" s="137">
        <f>VLOOKUP(A8,[1]allpride!$C$2:$V$215,20,FALSE)</f>
        <v>0</v>
      </c>
      <c r="W8" s="137">
        <f>VLOOKUP(B8,'[2]pride covariates'!$A$2:$B$33,2,FALSE)</f>
        <v>1</v>
      </c>
      <c r="X8" s="137">
        <v>1</v>
      </c>
      <c r="Y8" s="137">
        <v>0</v>
      </c>
      <c r="Z8" s="117" t="str">
        <f t="shared" si="0"/>
        <v>/* ELI-592 */ 11111111 1 1 1 0 0 0 1;</v>
      </c>
      <c r="AA8" s="137" t="str">
        <f t="shared" si="1"/>
        <v>11111111</v>
      </c>
      <c r="AB8" s="137" t="str">
        <f t="shared" si="2"/>
        <v>/*ELI-592*/ 11111111 1;</v>
      </c>
    </row>
    <row r="9" spans="1:28" x14ac:dyDescent="0.3">
      <c r="A9" s="137" t="s">
        <v>336</v>
      </c>
      <c r="B9" s="137" t="s">
        <v>481</v>
      </c>
      <c r="C9" s="137" t="s">
        <v>342</v>
      </c>
      <c r="D9" s="138">
        <v>0</v>
      </c>
      <c r="E9" s="138">
        <v>0</v>
      </c>
      <c r="F9" s="138">
        <v>0</v>
      </c>
      <c r="G9" s="138">
        <v>1</v>
      </c>
      <c r="H9" s="140">
        <v>1</v>
      </c>
      <c r="I9" s="140">
        <v>1</v>
      </c>
      <c r="J9" s="138">
        <v>1</v>
      </c>
      <c r="K9" s="138">
        <v>1</v>
      </c>
      <c r="L9" s="138">
        <v>1</v>
      </c>
      <c r="M9" s="138">
        <v>1</v>
      </c>
      <c r="N9" s="138">
        <v>1</v>
      </c>
      <c r="O9" s="138">
        <v>0</v>
      </c>
      <c r="P9" s="137">
        <f>VLOOKUP(A9,[1]allpride!$C$2:$V$215,14,FALSE)</f>
        <v>1</v>
      </c>
      <c r="Q9" s="137">
        <f>VLOOKUP(A9,[1]allpride!$C$2:$V$215,15,FALSE)</f>
        <v>1</v>
      </c>
      <c r="R9" s="137">
        <f>VLOOKUP(A9,[1]allpride!$C$2:$V$215,16,FALSE)</f>
        <v>0</v>
      </c>
      <c r="S9" s="137">
        <f>VLOOKUP(A9,[1]allpride!$C$2:$V$215,17,FALSE)</f>
        <v>1</v>
      </c>
      <c r="T9" s="137">
        <f>VLOOKUP(A9,[1]allpride!$C$2:$V$215,18,FALSE)</f>
        <v>2013</v>
      </c>
      <c r="U9" s="137">
        <f>VLOOKUP(A9,[1]allpride!$C$2:$V$215,19,FALSE)</f>
        <v>7</v>
      </c>
      <c r="V9" s="137">
        <f>VLOOKUP(A9,[1]allpride!$C$2:$V$215,20,FALSE)</f>
        <v>0</v>
      </c>
      <c r="W9" s="137">
        <f>VLOOKUP(B9,'[2]pride covariates'!$A$2:$B$33,2,FALSE)</f>
        <v>1</v>
      </c>
      <c r="X9" s="137">
        <v>1</v>
      </c>
      <c r="Y9" s="137">
        <v>1</v>
      </c>
      <c r="Z9" s="117" t="str">
        <f t="shared" si="0"/>
        <v>/* ELI-593 */ 11111111 1 1 1 0 1 0 1;</v>
      </c>
      <c r="AA9" s="137" t="str">
        <f t="shared" si="1"/>
        <v>11111111</v>
      </c>
      <c r="AB9" s="137" t="str">
        <f t="shared" si="2"/>
        <v>/*ELI-593*/ 11111111 1;</v>
      </c>
    </row>
    <row r="10" spans="1:28" x14ac:dyDescent="0.3">
      <c r="A10" s="137" t="s">
        <v>337</v>
      </c>
      <c r="B10" s="137" t="s">
        <v>481</v>
      </c>
      <c r="C10" s="137" t="s">
        <v>343</v>
      </c>
      <c r="D10" s="138">
        <v>0</v>
      </c>
      <c r="E10" s="138">
        <v>0</v>
      </c>
      <c r="F10" s="138">
        <v>0</v>
      </c>
      <c r="G10" s="138">
        <v>1</v>
      </c>
      <c r="H10" s="140">
        <v>1</v>
      </c>
      <c r="I10" s="140">
        <v>1</v>
      </c>
      <c r="J10" s="138">
        <v>1</v>
      </c>
      <c r="K10" s="138">
        <v>1</v>
      </c>
      <c r="L10" s="138">
        <v>1</v>
      </c>
      <c r="M10" s="138">
        <v>1</v>
      </c>
      <c r="N10" s="138">
        <v>1</v>
      </c>
      <c r="O10" s="138">
        <v>0</v>
      </c>
      <c r="P10" s="137">
        <f>VLOOKUP(A10,[1]allpride!$C$2:$V$215,14,FALSE)</f>
        <v>1</v>
      </c>
      <c r="Q10" s="137">
        <f>VLOOKUP(A10,[1]allpride!$C$2:$V$215,15,FALSE)</f>
        <v>0</v>
      </c>
      <c r="R10" s="137">
        <f>VLOOKUP(A10,[1]allpride!$C$2:$V$215,16,FALSE)</f>
        <v>0</v>
      </c>
      <c r="S10" s="137">
        <f>VLOOKUP(A10,[1]allpride!$C$2:$V$215,17,FALSE)</f>
        <v>1</v>
      </c>
      <c r="T10" s="137">
        <f>VLOOKUP(A10,[1]allpride!$C$2:$V$215,18,FALSE)</f>
        <v>2013</v>
      </c>
      <c r="U10" s="137">
        <f>VLOOKUP(A10,[1]allpride!$C$2:$V$215,19,FALSE)</f>
        <v>7</v>
      </c>
      <c r="V10" s="137">
        <f>VLOOKUP(A10,[1]allpride!$C$2:$V$215,20,FALSE)</f>
        <v>0</v>
      </c>
      <c r="W10" s="137">
        <f>VLOOKUP(B10,'[2]pride covariates'!$A$2:$B$33,2,FALSE)</f>
        <v>1</v>
      </c>
      <c r="X10" s="137">
        <v>1</v>
      </c>
      <c r="Y10" s="137">
        <v>0</v>
      </c>
      <c r="Z10" s="117" t="str">
        <f t="shared" si="0"/>
        <v>/* ELI-594 */ 11111111 1 1 1 0 0 0 1;</v>
      </c>
      <c r="AA10" s="137" t="str">
        <f t="shared" si="1"/>
        <v>11111111</v>
      </c>
      <c r="AB10" s="137" t="str">
        <f t="shared" si="2"/>
        <v>/*ELI-594*/ 11111111 1;</v>
      </c>
    </row>
    <row r="11" spans="1:28" s="139" customFormat="1" x14ac:dyDescent="0.3">
      <c r="A11" s="139" t="s">
        <v>338</v>
      </c>
      <c r="B11" s="139" t="s">
        <v>481</v>
      </c>
      <c r="C11" s="139" t="s">
        <v>344</v>
      </c>
      <c r="D11" s="140">
        <v>0</v>
      </c>
      <c r="E11" s="140">
        <v>0</v>
      </c>
      <c r="F11" s="140">
        <v>0</v>
      </c>
      <c r="G11" s="140">
        <v>1</v>
      </c>
      <c r="H11" s="140">
        <v>1</v>
      </c>
      <c r="I11" s="140">
        <v>1</v>
      </c>
      <c r="J11" s="140">
        <v>1</v>
      </c>
      <c r="K11" s="140">
        <v>1</v>
      </c>
      <c r="L11" s="140">
        <v>1</v>
      </c>
      <c r="M11" s="140">
        <v>1</v>
      </c>
      <c r="N11" s="140">
        <v>1</v>
      </c>
      <c r="O11" s="140">
        <v>1</v>
      </c>
      <c r="P11" s="137">
        <f>VLOOKUP(A11,[1]allpride!$C$2:$V$215,14,FALSE)</f>
        <v>1</v>
      </c>
      <c r="Q11" s="137">
        <f>VLOOKUP(A11,[1]allpride!$C$2:$V$215,15,FALSE)</f>
        <v>1</v>
      </c>
      <c r="R11" s="137">
        <v>1</v>
      </c>
      <c r="S11" s="137">
        <f>VLOOKUP(A11,[1]allpride!$C$2:$V$215,17,FALSE)</f>
        <v>1</v>
      </c>
      <c r="T11" s="137">
        <f>VLOOKUP(A11,[1]allpride!$C$2:$V$215,18,FALSE)</f>
        <v>2013</v>
      </c>
      <c r="U11" s="137">
        <f>VLOOKUP(A11,[1]allpride!$C$2:$V$215,19,FALSE)</f>
        <v>7</v>
      </c>
      <c r="V11" s="137">
        <f>VLOOKUP(A11,[1]allpride!$C$2:$V$215,20,FALSE)</f>
        <v>0</v>
      </c>
      <c r="W11" s="137">
        <f>VLOOKUP(B11,'[2]pride covariates'!$A$2:$B$33,2,FALSE)</f>
        <v>1</v>
      </c>
      <c r="X11" s="137">
        <v>1</v>
      </c>
      <c r="Y11" s="139">
        <v>1</v>
      </c>
      <c r="Z11" s="117" t="str">
        <f t="shared" si="0"/>
        <v>/* ELI-595 */ 11111111 1 1 1 1 1 0 1;</v>
      </c>
      <c r="AA11" s="137" t="str">
        <f t="shared" si="1"/>
        <v>11111111</v>
      </c>
      <c r="AB11" s="137" t="str">
        <f t="shared" si="2"/>
        <v>/*ELI-595*/ 11111111 1;</v>
      </c>
    </row>
    <row r="12" spans="1:28" x14ac:dyDescent="0.3">
      <c r="A12" s="137" t="s">
        <v>72</v>
      </c>
      <c r="B12" s="137" t="s">
        <v>481</v>
      </c>
      <c r="C12" s="137" t="s">
        <v>54</v>
      </c>
      <c r="D12" s="162">
        <v>1</v>
      </c>
      <c r="E12" s="138">
        <v>1</v>
      </c>
      <c r="F12" s="162">
        <v>1</v>
      </c>
      <c r="G12" s="138">
        <v>1</v>
      </c>
      <c r="H12" s="140">
        <v>1</v>
      </c>
      <c r="I12" s="140">
        <v>1</v>
      </c>
      <c r="J12" s="138">
        <v>1</v>
      </c>
      <c r="K12" s="138">
        <v>1</v>
      </c>
      <c r="L12" s="138">
        <v>1</v>
      </c>
      <c r="M12" s="138">
        <v>1</v>
      </c>
      <c r="N12" s="138">
        <v>1</v>
      </c>
      <c r="O12" s="138">
        <v>0</v>
      </c>
      <c r="P12" s="137">
        <f>VLOOKUP(A12,[1]allpride!$C$2:$V$215,14,FALSE)</f>
        <v>1</v>
      </c>
      <c r="Q12" s="137">
        <f>VLOOKUP(A12,[1]allpride!$C$2:$V$215,15,FALSE)</f>
        <v>0</v>
      </c>
      <c r="R12" s="137">
        <f>VLOOKUP(A12,[1]allpride!$C$2:$V$215,16,FALSE)</f>
        <v>0</v>
      </c>
      <c r="S12" s="137">
        <f>VLOOKUP(A12,[1]allpride!$C$2:$V$215,17,FALSE)</f>
        <v>1</v>
      </c>
      <c r="T12" s="137">
        <f>VLOOKUP(A12,[1]allpride!$C$2:$V$215,18,FALSE)</f>
        <v>2008</v>
      </c>
      <c r="U12" s="137">
        <f>VLOOKUP(A12,[1]allpride!$C$2:$V$215,19,FALSE)</f>
        <v>10</v>
      </c>
      <c r="V12" s="137">
        <f>VLOOKUP(A12,[1]allpride!$C$2:$V$215,20,FALSE)</f>
        <v>3</v>
      </c>
      <c r="W12" s="137">
        <f>VLOOKUP(B12,'[2]pride covariates'!$A$2:$B$33,2,FALSE)</f>
        <v>1</v>
      </c>
      <c r="X12" s="137">
        <v>1</v>
      </c>
      <c r="Y12" s="137">
        <v>0</v>
      </c>
      <c r="Z12" s="117" t="str">
        <f t="shared" si="0"/>
        <v>/* ELI-243 */ 11111111 1 1 1 0 0 3 1;</v>
      </c>
      <c r="AA12" s="137" t="str">
        <f t="shared" si="1"/>
        <v>11111111</v>
      </c>
      <c r="AB12" s="137" t="str">
        <f t="shared" si="2"/>
        <v>/*ELI-243*/ 11111111 1;</v>
      </c>
    </row>
    <row r="13" spans="1:28" x14ac:dyDescent="0.3">
      <c r="A13" s="137" t="s">
        <v>73</v>
      </c>
      <c r="B13" s="137" t="s">
        <v>481</v>
      </c>
      <c r="C13" s="137" t="s">
        <v>55</v>
      </c>
      <c r="D13" s="138">
        <v>0</v>
      </c>
      <c r="E13" s="138">
        <v>1</v>
      </c>
      <c r="F13" s="162">
        <v>1</v>
      </c>
      <c r="G13" s="138">
        <v>1</v>
      </c>
      <c r="H13" s="140">
        <v>1</v>
      </c>
      <c r="I13" s="140">
        <v>1</v>
      </c>
      <c r="J13" s="138">
        <v>1</v>
      </c>
      <c r="K13" s="138">
        <v>1</v>
      </c>
      <c r="L13" s="138">
        <v>0</v>
      </c>
      <c r="M13" s="138">
        <v>1</v>
      </c>
      <c r="N13" s="138">
        <v>1</v>
      </c>
      <c r="O13" s="138">
        <v>0</v>
      </c>
      <c r="P13" s="137">
        <f>VLOOKUP(A13,[1]allpride!$C$2:$V$215,14,FALSE)</f>
        <v>1</v>
      </c>
      <c r="Q13" s="137">
        <f>VLOOKUP(A13,[1]allpride!$C$2:$V$215,15,FALSE)</f>
        <v>0</v>
      </c>
      <c r="R13" s="137">
        <f>VLOOKUP(A13,[1]allpride!$C$2:$V$215,16,FALSE)</f>
        <v>0</v>
      </c>
      <c r="S13" s="137">
        <f>VLOOKUP(A13,[1]allpride!$C$2:$V$215,17,FALSE)</f>
        <v>1</v>
      </c>
      <c r="T13" s="137">
        <f>VLOOKUP(A13,[1]allpride!$C$2:$V$215,18,FALSE)</f>
        <v>2008</v>
      </c>
      <c r="U13" s="137">
        <f>VLOOKUP(A13,[1]allpride!$C$2:$V$215,19,FALSE)</f>
        <v>10</v>
      </c>
      <c r="V13" s="137">
        <f>VLOOKUP(A13,[1]allpride!$C$2:$V$215,20,FALSE)</f>
        <v>6</v>
      </c>
      <c r="W13" s="137">
        <f>VLOOKUP(B13,'[2]pride covariates'!$A$2:$B$33,2,FALSE)</f>
        <v>1</v>
      </c>
      <c r="X13" s="137">
        <v>1</v>
      </c>
      <c r="Y13" s="137">
        <v>0</v>
      </c>
      <c r="Z13" s="117" t="str">
        <f t="shared" si="0"/>
        <v>/* ELI-242 */ 11111011 1 1 1 0 0 6 1;</v>
      </c>
      <c r="AA13" s="137" t="str">
        <f t="shared" si="1"/>
        <v>11111011</v>
      </c>
      <c r="AB13" s="137" t="str">
        <f t="shared" si="2"/>
        <v>/*ELI-242*/ 11111011 1;</v>
      </c>
    </row>
    <row r="14" spans="1:28" x14ac:dyDescent="0.3">
      <c r="A14" s="137" t="s">
        <v>75</v>
      </c>
      <c r="B14" s="137" t="s">
        <v>481</v>
      </c>
      <c r="C14" s="137" t="s">
        <v>57</v>
      </c>
      <c r="D14" s="138">
        <v>0</v>
      </c>
      <c r="E14" s="138">
        <v>0</v>
      </c>
      <c r="F14" s="138">
        <v>0</v>
      </c>
      <c r="G14" s="138">
        <v>1</v>
      </c>
      <c r="H14" s="140">
        <v>1</v>
      </c>
      <c r="I14" s="140">
        <v>1</v>
      </c>
      <c r="J14" s="138">
        <v>1</v>
      </c>
      <c r="K14" s="138">
        <v>0</v>
      </c>
      <c r="L14" s="138">
        <v>1</v>
      </c>
      <c r="M14" s="138">
        <v>1</v>
      </c>
      <c r="N14" s="138">
        <v>1</v>
      </c>
      <c r="O14" s="138">
        <v>0</v>
      </c>
      <c r="P14" s="137">
        <f>VLOOKUP(A14,[1]allpride!$C$2:$V$215,14,FALSE)</f>
        <v>1</v>
      </c>
      <c r="Q14" s="137">
        <f>VLOOKUP(A14,[1]allpride!$C$2:$V$215,15,FALSE)</f>
        <v>0</v>
      </c>
      <c r="R14" s="137">
        <f>VLOOKUP(A14,[1]allpride!$C$2:$V$215,16,FALSE)</f>
        <v>0</v>
      </c>
      <c r="S14" s="137">
        <f>VLOOKUP(A14,[1]allpride!$C$2:$V$215,17,FALSE)</f>
        <v>1</v>
      </c>
      <c r="T14" s="137">
        <f>VLOOKUP(A14,[1]allpride!$C$2:$V$215,18,FALSE)</f>
        <v>2009</v>
      </c>
      <c r="U14" s="137">
        <f>VLOOKUP(A14,[1]allpride!$C$2:$V$215,19,FALSE)</f>
        <v>4</v>
      </c>
      <c r="V14" s="137">
        <f>VLOOKUP(A14,[1]allpride!$C$2:$V$215,20,FALSE)</f>
        <v>4</v>
      </c>
      <c r="W14" s="137">
        <f>VLOOKUP(B14,'[2]pride covariates'!$A$2:$B$33,2,FALSE)</f>
        <v>1</v>
      </c>
      <c r="X14" s="137">
        <v>1</v>
      </c>
      <c r="Y14" s="137">
        <v>0</v>
      </c>
      <c r="Z14" s="117" t="str">
        <f t="shared" si="0"/>
        <v>/* ELI-224 */ 11110111 1 1 1 0 0 4 1;</v>
      </c>
      <c r="AA14" s="137" t="str">
        <f t="shared" si="1"/>
        <v>11110111</v>
      </c>
      <c r="AB14" s="137" t="str">
        <f t="shared" si="2"/>
        <v>/*ELI-224*/ 11110111 1;</v>
      </c>
    </row>
    <row r="15" spans="1:28" x14ac:dyDescent="0.3">
      <c r="A15" s="137" t="s">
        <v>76</v>
      </c>
      <c r="B15" s="137" t="s">
        <v>481</v>
      </c>
      <c r="C15" s="137" t="s">
        <v>58</v>
      </c>
      <c r="D15" s="138">
        <v>0</v>
      </c>
      <c r="E15" s="138">
        <v>0</v>
      </c>
      <c r="F15" s="138">
        <v>0</v>
      </c>
      <c r="G15" s="138">
        <v>1</v>
      </c>
      <c r="H15" s="140">
        <v>1</v>
      </c>
      <c r="I15" s="140">
        <v>1</v>
      </c>
      <c r="J15" s="138">
        <v>1</v>
      </c>
      <c r="K15" s="138">
        <v>0</v>
      </c>
      <c r="L15" s="138">
        <v>1</v>
      </c>
      <c r="M15" s="138">
        <v>1</v>
      </c>
      <c r="N15" s="138">
        <v>1</v>
      </c>
      <c r="O15" s="138">
        <v>0</v>
      </c>
      <c r="P15" s="137">
        <f>VLOOKUP(A15,[1]allpride!$C$2:$V$215,14,FALSE)</f>
        <v>1</v>
      </c>
      <c r="Q15" s="137">
        <f>VLOOKUP(A15,[1]allpride!$C$2:$V$215,15,FALSE)</f>
        <v>0</v>
      </c>
      <c r="R15" s="137">
        <f>VLOOKUP(A15,[1]allpride!$C$2:$V$215,16,FALSE)</f>
        <v>0</v>
      </c>
      <c r="S15" s="137">
        <f>VLOOKUP(A15,[1]allpride!$C$2:$V$215,17,FALSE)</f>
        <v>1</v>
      </c>
      <c r="T15" s="137">
        <f>VLOOKUP(A15,[1]allpride!$C$2:$V$215,18,FALSE)</f>
        <v>2008</v>
      </c>
      <c r="U15" s="137">
        <f>VLOOKUP(A15,[1]allpride!$C$2:$V$215,19,FALSE)</f>
        <v>10</v>
      </c>
      <c r="V15" s="137">
        <f>VLOOKUP(A15,[1]allpride!$C$2:$V$215,20,FALSE)</f>
        <v>1</v>
      </c>
      <c r="W15" s="137">
        <f>VLOOKUP(B15,'[2]pride covariates'!$A$2:$B$33,2,FALSE)</f>
        <v>1</v>
      </c>
      <c r="X15" s="137">
        <v>1</v>
      </c>
      <c r="Y15" s="137">
        <v>0</v>
      </c>
      <c r="Z15" s="117" t="str">
        <f t="shared" si="0"/>
        <v>/* ELI-245 */ 11110111 1 1 1 0 0 1 1;</v>
      </c>
      <c r="AA15" s="137" t="str">
        <f t="shared" si="1"/>
        <v>11110111</v>
      </c>
      <c r="AB15" s="137" t="str">
        <f t="shared" si="2"/>
        <v>/*ELI-245*/ 11110111 1;</v>
      </c>
    </row>
    <row r="16" spans="1:28" x14ac:dyDescent="0.3">
      <c r="A16" s="137" t="s">
        <v>77</v>
      </c>
      <c r="B16" s="137" t="s">
        <v>481</v>
      </c>
      <c r="C16" s="137" t="s">
        <v>59</v>
      </c>
      <c r="D16" s="138">
        <v>0</v>
      </c>
      <c r="E16" s="138">
        <v>0</v>
      </c>
      <c r="F16" s="138">
        <v>0</v>
      </c>
      <c r="G16" s="138">
        <v>1</v>
      </c>
      <c r="H16" s="140">
        <v>1</v>
      </c>
      <c r="I16" s="140">
        <v>1</v>
      </c>
      <c r="J16" s="138">
        <v>1</v>
      </c>
      <c r="K16" s="138">
        <v>1</v>
      </c>
      <c r="L16" s="138">
        <v>1</v>
      </c>
      <c r="M16" s="138">
        <v>1</v>
      </c>
      <c r="N16" s="138">
        <v>1</v>
      </c>
      <c r="O16" s="138">
        <v>0</v>
      </c>
      <c r="P16" s="137">
        <f>VLOOKUP(A16,[1]allpride!$C$2:$V$215,14,FALSE)</f>
        <v>1</v>
      </c>
      <c r="Q16" s="137">
        <f>VLOOKUP(A16,[1]allpride!$C$2:$V$215,15,FALSE)</f>
        <v>0</v>
      </c>
      <c r="R16" s="137">
        <f>VLOOKUP(A16,[1]allpride!$C$2:$V$215,16,FALSE)</f>
        <v>0</v>
      </c>
      <c r="S16" s="137">
        <f>VLOOKUP(A16,[1]allpride!$C$2:$V$215,17,FALSE)</f>
        <v>1</v>
      </c>
      <c r="T16" s="137">
        <f>VLOOKUP(A16,[1]allpride!$C$2:$V$215,18,FALSE)</f>
        <v>2008</v>
      </c>
      <c r="U16" s="137">
        <f>VLOOKUP(A16,[1]allpride!$C$2:$V$215,19,FALSE)</f>
        <v>10</v>
      </c>
      <c r="V16" s="137">
        <f>VLOOKUP(A16,[1]allpride!$C$2:$V$215,20,FALSE)</f>
        <v>1</v>
      </c>
      <c r="W16" s="137">
        <f>VLOOKUP(B16,'[2]pride covariates'!$A$2:$B$33,2,FALSE)</f>
        <v>1</v>
      </c>
      <c r="X16" s="137">
        <v>1</v>
      </c>
      <c r="Y16" s="137">
        <v>0</v>
      </c>
      <c r="Z16" s="117" t="str">
        <f t="shared" si="0"/>
        <v>/* ELI-223 */ 11111111 1 1 1 0 0 1 1;</v>
      </c>
      <c r="AA16" s="137" t="str">
        <f t="shared" si="1"/>
        <v>11111111</v>
      </c>
      <c r="AB16" s="137" t="str">
        <f t="shared" si="2"/>
        <v>/*ELI-223*/ 11111111 1;</v>
      </c>
    </row>
    <row r="17" spans="1:28" x14ac:dyDescent="0.3">
      <c r="A17" s="137" t="s">
        <v>78</v>
      </c>
      <c r="B17" s="137" t="s">
        <v>481</v>
      </c>
      <c r="C17" s="137" t="s">
        <v>60</v>
      </c>
      <c r="D17" s="138">
        <v>0</v>
      </c>
      <c r="E17" s="138">
        <v>0</v>
      </c>
      <c r="F17" s="138">
        <v>0</v>
      </c>
      <c r="G17" s="138">
        <v>1</v>
      </c>
      <c r="H17" s="140">
        <v>1</v>
      </c>
      <c r="I17" s="140">
        <v>1</v>
      </c>
      <c r="J17" s="138">
        <v>1</v>
      </c>
      <c r="K17" s="138">
        <v>1</v>
      </c>
      <c r="L17" s="138">
        <v>1</v>
      </c>
      <c r="M17" s="138">
        <v>1</v>
      </c>
      <c r="N17" s="138">
        <v>1</v>
      </c>
      <c r="O17" s="138">
        <v>0</v>
      </c>
      <c r="P17" s="137">
        <f>VLOOKUP(A17,[1]allpride!$C$2:$V$215,14,FALSE)</f>
        <v>1</v>
      </c>
      <c r="Q17" s="137">
        <f>VLOOKUP(A17,[1]allpride!$C$2:$V$215,15,FALSE)</f>
        <v>0</v>
      </c>
      <c r="R17" s="137">
        <f>VLOOKUP(A17,[1]allpride!$C$2:$V$215,16,FALSE)</f>
        <v>0</v>
      </c>
      <c r="S17" s="137">
        <f>VLOOKUP(A17,[1]allpride!$C$2:$V$215,17,FALSE)</f>
        <v>1</v>
      </c>
      <c r="T17" s="137">
        <f>VLOOKUP(A17,[1]allpride!$C$2:$V$215,18,FALSE)</f>
        <v>2008</v>
      </c>
      <c r="U17" s="137">
        <f>VLOOKUP(A17,[1]allpride!$C$2:$V$215,19,FALSE)</f>
        <v>10</v>
      </c>
      <c r="V17" s="137">
        <f>VLOOKUP(A17,[1]allpride!$C$2:$V$215,20,FALSE)</f>
        <v>0</v>
      </c>
      <c r="W17" s="137">
        <f>VLOOKUP(B17,'[2]pride covariates'!$A$2:$B$33,2,FALSE)</f>
        <v>1</v>
      </c>
      <c r="X17" s="137">
        <v>1</v>
      </c>
      <c r="Y17" s="137">
        <v>0</v>
      </c>
      <c r="Z17" s="117" t="str">
        <f t="shared" si="0"/>
        <v>/* ELI-220 */ 11111111 1 1 1 0 0 0 1;</v>
      </c>
      <c r="AA17" s="137" t="str">
        <f t="shared" si="1"/>
        <v>11111111</v>
      </c>
      <c r="AB17" s="137" t="str">
        <f t="shared" si="2"/>
        <v>/*ELI-220*/ 11111111 1;</v>
      </c>
    </row>
    <row r="18" spans="1:28" x14ac:dyDescent="0.3">
      <c r="A18" s="137" t="s">
        <v>79</v>
      </c>
      <c r="B18" s="137" t="s">
        <v>481</v>
      </c>
      <c r="C18" s="137" t="s">
        <v>61</v>
      </c>
      <c r="D18" s="138">
        <v>0</v>
      </c>
      <c r="E18" s="138">
        <v>0</v>
      </c>
      <c r="F18" s="138">
        <v>0</v>
      </c>
      <c r="G18" s="138">
        <v>1</v>
      </c>
      <c r="H18" s="140">
        <v>1</v>
      </c>
      <c r="I18" s="140">
        <v>1</v>
      </c>
      <c r="J18" s="138">
        <v>1</v>
      </c>
      <c r="K18" s="138">
        <v>1</v>
      </c>
      <c r="L18" s="138">
        <v>1</v>
      </c>
      <c r="M18" s="138">
        <v>1</v>
      </c>
      <c r="N18" s="138">
        <v>1</v>
      </c>
      <c r="O18" s="138">
        <v>1</v>
      </c>
      <c r="P18" s="137">
        <f>VLOOKUP(A18,[1]allpride!$C$2:$V$215,14,FALSE)</f>
        <v>1</v>
      </c>
      <c r="Q18" s="137">
        <f>VLOOKUP(A18,[1]allpride!$C$2:$V$215,15,FALSE)</f>
        <v>0</v>
      </c>
      <c r="R18" s="137">
        <f>VLOOKUP(A18,[1]allpride!$C$2:$V$215,16,FALSE)</f>
        <v>0</v>
      </c>
      <c r="S18" s="137">
        <f>VLOOKUP(A18,[1]allpride!$C$2:$V$215,17,FALSE)</f>
        <v>1</v>
      </c>
      <c r="T18" s="137">
        <f>VLOOKUP(A18,[1]allpride!$C$2:$V$215,18,FALSE)</f>
        <v>2009</v>
      </c>
      <c r="U18" s="137">
        <f>VLOOKUP(A18,[1]allpride!$C$2:$V$215,19,FALSE)</f>
        <v>4</v>
      </c>
      <c r="V18" s="137">
        <f>VLOOKUP(A18,[1]allpride!$C$2:$V$215,20,FALSE)</f>
        <v>1</v>
      </c>
      <c r="W18" s="137">
        <f>VLOOKUP(B18,'[2]pride covariates'!$A$2:$B$33,2,FALSE)</f>
        <v>1</v>
      </c>
      <c r="X18" s="137">
        <v>1</v>
      </c>
      <c r="Y18" s="137">
        <v>0</v>
      </c>
      <c r="Z18" s="117" t="str">
        <f t="shared" si="0"/>
        <v>/* ELI-218 */ 11111111 1 1 1 0 0 1 1;</v>
      </c>
      <c r="AA18" s="137" t="str">
        <f t="shared" si="1"/>
        <v>11111111</v>
      </c>
      <c r="AB18" s="137" t="str">
        <f t="shared" si="2"/>
        <v>/*ELI-218*/ 11111111 1;</v>
      </c>
    </row>
    <row r="19" spans="1:28" x14ac:dyDescent="0.3">
      <c r="A19" s="137" t="s">
        <v>81</v>
      </c>
      <c r="B19" s="137" t="s">
        <v>481</v>
      </c>
      <c r="C19" s="137" t="s">
        <v>62</v>
      </c>
      <c r="D19" s="138">
        <v>0</v>
      </c>
      <c r="E19" s="138">
        <v>0</v>
      </c>
      <c r="F19" s="138">
        <v>0</v>
      </c>
      <c r="G19" s="138">
        <v>1</v>
      </c>
      <c r="H19" s="140">
        <v>1</v>
      </c>
      <c r="I19" s="140">
        <v>1</v>
      </c>
      <c r="J19" s="138">
        <v>1</v>
      </c>
      <c r="K19" s="138">
        <v>1</v>
      </c>
      <c r="L19" s="138">
        <v>1</v>
      </c>
      <c r="M19" s="138">
        <v>1</v>
      </c>
      <c r="N19" s="138">
        <v>1</v>
      </c>
      <c r="O19" s="138">
        <v>0</v>
      </c>
      <c r="P19" s="137">
        <f>VLOOKUP(A19,[1]allpride!$C$2:$V$215,14,FALSE)</f>
        <v>1</v>
      </c>
      <c r="Q19" s="137">
        <f>VLOOKUP(A19,[1]allpride!$C$2:$V$215,15,FALSE)</f>
        <v>0</v>
      </c>
      <c r="R19" s="137">
        <f>VLOOKUP(A19,[1]allpride!$C$2:$V$215,16,FALSE)</f>
        <v>0</v>
      </c>
      <c r="S19" s="137">
        <f>VLOOKUP(A19,[1]allpride!$C$2:$V$215,17,FALSE)</f>
        <v>1</v>
      </c>
      <c r="T19" s="137">
        <f>VLOOKUP(A19,[1]allpride!$C$2:$V$215,18,FALSE)</f>
        <v>2008</v>
      </c>
      <c r="U19" s="137">
        <f>VLOOKUP(A19,[1]allpride!$C$2:$V$215,19,FALSE)</f>
        <v>10</v>
      </c>
      <c r="V19" s="137">
        <f>VLOOKUP(A19,[1]allpride!$C$2:$V$215,20,FALSE)</f>
        <v>0</v>
      </c>
      <c r="W19" s="137">
        <f>VLOOKUP(B19,'[2]pride covariates'!$A$2:$B$33,2,FALSE)</f>
        <v>1</v>
      </c>
      <c r="X19" s="137">
        <v>1</v>
      </c>
      <c r="Y19" s="137">
        <v>0</v>
      </c>
      <c r="Z19" s="117" t="str">
        <f t="shared" si="0"/>
        <v>/* ELI-219 */ 11111111 1 1 1 0 0 0 1;</v>
      </c>
      <c r="AA19" s="137" t="str">
        <f t="shared" si="1"/>
        <v>11111111</v>
      </c>
      <c r="AB19" s="137" t="str">
        <f t="shared" si="2"/>
        <v>/*ELI-219*/ 11111111 1;</v>
      </c>
    </row>
    <row r="20" spans="1:28" x14ac:dyDescent="0.3">
      <c r="A20" s="137" t="s">
        <v>401</v>
      </c>
      <c r="B20" s="137" t="s">
        <v>481</v>
      </c>
      <c r="C20" s="137" t="s">
        <v>406</v>
      </c>
      <c r="D20" s="138">
        <v>0</v>
      </c>
      <c r="E20" s="138">
        <v>0</v>
      </c>
      <c r="F20" s="138">
        <v>0</v>
      </c>
      <c r="G20" s="138">
        <v>1</v>
      </c>
      <c r="H20" s="140">
        <v>0</v>
      </c>
      <c r="I20" s="140">
        <v>0</v>
      </c>
      <c r="J20" s="138">
        <v>1</v>
      </c>
      <c r="K20" s="138">
        <v>0</v>
      </c>
      <c r="L20" s="138">
        <v>1</v>
      </c>
      <c r="M20" s="138">
        <v>1</v>
      </c>
      <c r="N20" s="138">
        <v>1</v>
      </c>
      <c r="O20" s="138">
        <v>0</v>
      </c>
      <c r="P20" s="137">
        <v>1</v>
      </c>
      <c r="Q20" s="137">
        <v>1</v>
      </c>
      <c r="R20" s="137">
        <v>0</v>
      </c>
      <c r="S20" s="137">
        <v>1</v>
      </c>
      <c r="T20" s="137">
        <v>2014</v>
      </c>
      <c r="U20" s="137">
        <v>4</v>
      </c>
      <c r="V20" s="137">
        <v>0</v>
      </c>
      <c r="W20" s="137">
        <f>VLOOKUP(B20,'[2]pride covariates'!$A$2:$B$33,2,FALSE)</f>
        <v>1</v>
      </c>
      <c r="X20" s="137">
        <v>1</v>
      </c>
      <c r="Y20" s="137">
        <v>1</v>
      </c>
      <c r="Z20" s="117" t="str">
        <f t="shared" si="0"/>
        <v>/* ELI-765 */ 10010111 1 1 1 0 1 0 1;</v>
      </c>
      <c r="AA20" s="137" t="str">
        <f t="shared" si="1"/>
        <v>10010111</v>
      </c>
      <c r="AB20" s="137" t="str">
        <f t="shared" si="2"/>
        <v>/*ELI-765*/ 10010111 1;</v>
      </c>
    </row>
    <row r="21" spans="1:28" x14ac:dyDescent="0.3">
      <c r="A21" s="137" t="s">
        <v>402</v>
      </c>
      <c r="B21" s="137" t="s">
        <v>481</v>
      </c>
      <c r="C21" s="137" t="s">
        <v>407</v>
      </c>
      <c r="D21" s="138">
        <v>0</v>
      </c>
      <c r="E21" s="138">
        <v>0</v>
      </c>
      <c r="F21" s="138">
        <v>0</v>
      </c>
      <c r="G21" s="138">
        <v>1</v>
      </c>
      <c r="H21" s="140">
        <v>0</v>
      </c>
      <c r="I21" s="140">
        <v>0</v>
      </c>
      <c r="J21" s="138">
        <v>1</v>
      </c>
      <c r="K21" s="138">
        <v>0</v>
      </c>
      <c r="L21" s="138">
        <v>1</v>
      </c>
      <c r="M21" s="138">
        <v>1</v>
      </c>
      <c r="N21" s="138">
        <v>1</v>
      </c>
      <c r="O21" s="138">
        <v>0</v>
      </c>
      <c r="P21" s="137">
        <v>1</v>
      </c>
      <c r="Q21" s="137">
        <v>1</v>
      </c>
      <c r="R21" s="137">
        <v>0</v>
      </c>
      <c r="S21" s="137">
        <v>1</v>
      </c>
      <c r="T21" s="137">
        <v>2014</v>
      </c>
      <c r="U21" s="137">
        <v>4</v>
      </c>
      <c r="V21" s="137">
        <v>0</v>
      </c>
      <c r="W21" s="137">
        <f>VLOOKUP(B21,'[2]pride covariates'!$A$2:$B$33,2,FALSE)</f>
        <v>1</v>
      </c>
      <c r="X21" s="137">
        <v>1</v>
      </c>
      <c r="Y21" s="137">
        <v>1</v>
      </c>
      <c r="Z21" s="117" t="str">
        <f t="shared" si="0"/>
        <v>/* ELI-766 */ 10010111 1 1 1 0 1 0 1;</v>
      </c>
      <c r="AA21" s="137" t="str">
        <f t="shared" si="1"/>
        <v>10010111</v>
      </c>
      <c r="AB21" s="137" t="str">
        <f t="shared" si="2"/>
        <v>/*ELI-766*/ 10010111 1;</v>
      </c>
    </row>
    <row r="22" spans="1:28" x14ac:dyDescent="0.3">
      <c r="A22" s="137" t="s">
        <v>403</v>
      </c>
      <c r="B22" s="137" t="s">
        <v>481</v>
      </c>
      <c r="C22" s="137" t="s">
        <v>408</v>
      </c>
      <c r="D22" s="138">
        <v>0</v>
      </c>
      <c r="E22" s="138">
        <v>0</v>
      </c>
      <c r="F22" s="138">
        <v>0</v>
      </c>
      <c r="G22" s="138">
        <v>1</v>
      </c>
      <c r="H22" s="140">
        <v>0</v>
      </c>
      <c r="I22" s="140">
        <v>0</v>
      </c>
      <c r="J22" s="138">
        <v>1</v>
      </c>
      <c r="K22" s="138">
        <v>0</v>
      </c>
      <c r="L22" s="138">
        <v>1</v>
      </c>
      <c r="M22" s="138">
        <v>1</v>
      </c>
      <c r="N22" s="138">
        <v>1</v>
      </c>
      <c r="O22" s="138">
        <v>0</v>
      </c>
      <c r="P22" s="137">
        <v>1</v>
      </c>
      <c r="Q22" s="137">
        <v>1</v>
      </c>
      <c r="R22" s="137">
        <v>1</v>
      </c>
      <c r="S22" s="137">
        <v>1</v>
      </c>
      <c r="T22" s="137">
        <v>2014</v>
      </c>
      <c r="U22" s="137">
        <v>4</v>
      </c>
      <c r="V22" s="137">
        <v>0</v>
      </c>
      <c r="W22" s="137">
        <f>VLOOKUP(B22,'[2]pride covariates'!$A$2:$B$33,2,FALSE)</f>
        <v>1</v>
      </c>
      <c r="X22" s="137">
        <v>1</v>
      </c>
      <c r="Y22" s="137">
        <v>1</v>
      </c>
      <c r="Z22" s="117" t="str">
        <f t="shared" si="0"/>
        <v>/* ELI-767 */ 10010111 1 1 1 1 1 0 1;</v>
      </c>
      <c r="AA22" s="137" t="str">
        <f t="shared" si="1"/>
        <v>10010111</v>
      </c>
      <c r="AB22" s="137" t="str">
        <f t="shared" si="2"/>
        <v>/*ELI-767*/ 10010111 1;</v>
      </c>
    </row>
    <row r="23" spans="1:28" x14ac:dyDescent="0.3">
      <c r="A23" s="137" t="s">
        <v>404</v>
      </c>
      <c r="B23" s="137" t="s">
        <v>481</v>
      </c>
      <c r="C23" s="137" t="s">
        <v>409</v>
      </c>
      <c r="D23" s="138">
        <v>0</v>
      </c>
      <c r="E23" s="138">
        <v>0</v>
      </c>
      <c r="F23" s="138">
        <v>0</v>
      </c>
      <c r="G23" s="138">
        <v>1</v>
      </c>
      <c r="H23" s="140">
        <v>0</v>
      </c>
      <c r="I23" s="140">
        <v>0</v>
      </c>
      <c r="J23" s="138">
        <v>1</v>
      </c>
      <c r="K23" s="138">
        <v>0</v>
      </c>
      <c r="L23" s="138">
        <v>1</v>
      </c>
      <c r="M23" s="138">
        <v>1</v>
      </c>
      <c r="N23" s="138">
        <v>1</v>
      </c>
      <c r="O23" s="138">
        <v>0</v>
      </c>
      <c r="P23" s="137">
        <v>1</v>
      </c>
      <c r="Q23" s="137">
        <v>1</v>
      </c>
      <c r="R23" s="137">
        <v>0</v>
      </c>
      <c r="S23" s="137">
        <v>1</v>
      </c>
      <c r="T23" s="137">
        <v>2014</v>
      </c>
      <c r="U23" s="137">
        <v>4</v>
      </c>
      <c r="V23" s="137">
        <v>0</v>
      </c>
      <c r="W23" s="137">
        <f>VLOOKUP(B23,'[2]pride covariates'!$A$2:$B$33,2,FALSE)</f>
        <v>1</v>
      </c>
      <c r="X23" s="137">
        <v>1</v>
      </c>
      <c r="Y23" s="137">
        <v>1</v>
      </c>
      <c r="Z23" s="117" t="str">
        <f t="shared" si="0"/>
        <v>/* ELI-768 */ 10010111 1 1 1 0 1 0 1;</v>
      </c>
      <c r="AA23" s="137" t="str">
        <f t="shared" si="1"/>
        <v>10010111</v>
      </c>
      <c r="AB23" s="137" t="str">
        <f t="shared" si="2"/>
        <v>/*ELI-768*/ 10010111 1;</v>
      </c>
    </row>
    <row r="24" spans="1:28" ht="18" customHeight="1" x14ac:dyDescent="0.3">
      <c r="A24" s="137" t="s">
        <v>405</v>
      </c>
      <c r="B24" s="137" t="s">
        <v>481</v>
      </c>
      <c r="C24" s="137" t="s">
        <v>410</v>
      </c>
      <c r="D24" s="138">
        <v>0</v>
      </c>
      <c r="E24" s="138">
        <v>0</v>
      </c>
      <c r="F24" s="138">
        <v>0</v>
      </c>
      <c r="G24" s="138">
        <v>1</v>
      </c>
      <c r="H24" s="140">
        <v>0</v>
      </c>
      <c r="I24" s="140">
        <v>0</v>
      </c>
      <c r="J24" s="138">
        <v>1</v>
      </c>
      <c r="K24" s="138">
        <v>0</v>
      </c>
      <c r="L24" s="138">
        <v>1</v>
      </c>
      <c r="M24" s="138">
        <v>1</v>
      </c>
      <c r="N24" s="138">
        <v>1</v>
      </c>
      <c r="O24" s="138">
        <v>0</v>
      </c>
      <c r="P24" s="137">
        <v>1</v>
      </c>
      <c r="Q24" s="137">
        <v>1</v>
      </c>
      <c r="R24" s="137">
        <v>0</v>
      </c>
      <c r="S24" s="137">
        <v>1</v>
      </c>
      <c r="T24" s="137">
        <v>2014</v>
      </c>
      <c r="U24" s="137">
        <v>4</v>
      </c>
      <c r="V24" s="137">
        <v>0</v>
      </c>
      <c r="W24" s="137">
        <f>VLOOKUP(B24,'[2]pride covariates'!$A$2:$B$33,2,FALSE)</f>
        <v>1</v>
      </c>
      <c r="X24" s="137">
        <v>1</v>
      </c>
      <c r="Y24" s="137">
        <v>1</v>
      </c>
      <c r="Z24" s="117" t="str">
        <f t="shared" si="0"/>
        <v>/* ELI-769 */ 10010111 1 1 1 0 1 0 1;</v>
      </c>
      <c r="AA24" s="137" t="str">
        <f t="shared" si="1"/>
        <v>10010111</v>
      </c>
      <c r="AB24" s="137" t="str">
        <f t="shared" si="2"/>
        <v>/*ELI-769*/ 10010111 1;</v>
      </c>
    </row>
    <row r="25" spans="1:28" x14ac:dyDescent="0.3">
      <c r="A25" s="137" t="s">
        <v>17</v>
      </c>
      <c r="B25" s="137" t="s">
        <v>482</v>
      </c>
      <c r="C25" s="137" t="s">
        <v>23</v>
      </c>
      <c r="D25" s="162">
        <v>1</v>
      </c>
      <c r="E25" s="138">
        <v>0</v>
      </c>
      <c r="F25" s="138">
        <v>1</v>
      </c>
      <c r="G25" s="138">
        <v>0</v>
      </c>
      <c r="H25" s="140">
        <v>1</v>
      </c>
      <c r="I25" s="163">
        <v>1</v>
      </c>
      <c r="J25" s="138">
        <v>1</v>
      </c>
      <c r="K25" s="138">
        <v>1</v>
      </c>
      <c r="L25" s="138">
        <v>1</v>
      </c>
      <c r="M25" s="138">
        <v>1</v>
      </c>
      <c r="N25" s="138">
        <v>1</v>
      </c>
      <c r="O25" s="138">
        <v>0</v>
      </c>
      <c r="P25" s="137">
        <f>VLOOKUP(A25,[1]allpride!$C$2:$V$215,14,FALSE)</f>
        <v>1</v>
      </c>
      <c r="Q25" s="137">
        <f>VLOOKUP(A25,[1]allpride!$C$2:$V$215,15,FALSE)</f>
        <v>0</v>
      </c>
      <c r="R25" s="137">
        <f>VLOOKUP(A25,[1]allpride!$C$2:$V$215,16,FALSE)</f>
        <v>0</v>
      </c>
      <c r="S25" s="137">
        <f>VLOOKUP(A25,[1]allpride!$C$2:$V$215,17,FALSE)</f>
        <v>1</v>
      </c>
      <c r="T25" s="137">
        <f>VLOOKUP(A25,[1]allpride!$C$2:$V$215,18,FALSE)</f>
        <v>2011</v>
      </c>
      <c r="U25" s="137">
        <f>VLOOKUP(A25,[1]allpride!$C$2:$V$215,19,FALSE)</f>
        <v>7</v>
      </c>
      <c r="V25" s="137">
        <f>VLOOKUP(A25,[1]allpride!$C$2:$V$215,20,FALSE)</f>
        <v>3</v>
      </c>
      <c r="W25" s="137">
        <f>VLOOKUP(B25,'[2]pride covariates'!$A$2:$B$33,2,FALSE)</f>
        <v>1</v>
      </c>
      <c r="X25" s="137">
        <v>1</v>
      </c>
      <c r="Y25" s="137">
        <v>0</v>
      </c>
      <c r="Z25" s="117" t="str">
        <f t="shared" si="0"/>
        <v>/* ELI-414 */ 01111111 1 1 1 0 0 3 1;</v>
      </c>
      <c r="AA25" s="137" t="str">
        <f t="shared" si="1"/>
        <v>01111111</v>
      </c>
      <c r="AB25" s="137" t="str">
        <f t="shared" si="2"/>
        <v>/*ELI-414*/ 01111111 1;</v>
      </c>
    </row>
    <row r="26" spans="1:28" x14ac:dyDescent="0.3">
      <c r="A26" s="137" t="s">
        <v>21</v>
      </c>
      <c r="B26" s="137" t="s">
        <v>482</v>
      </c>
      <c r="C26" s="137" t="s">
        <v>27</v>
      </c>
      <c r="D26" s="138">
        <v>0</v>
      </c>
      <c r="E26" s="138">
        <v>0</v>
      </c>
      <c r="F26" s="138">
        <v>1</v>
      </c>
      <c r="G26" s="138">
        <v>0</v>
      </c>
      <c r="H26" s="140">
        <v>0</v>
      </c>
      <c r="I26" s="140">
        <v>0</v>
      </c>
      <c r="J26" s="138">
        <v>1</v>
      </c>
      <c r="K26" s="138">
        <v>1</v>
      </c>
      <c r="L26" s="138">
        <v>1</v>
      </c>
      <c r="M26" s="138">
        <v>1</v>
      </c>
      <c r="N26" s="138">
        <v>1</v>
      </c>
      <c r="O26" s="138">
        <v>0</v>
      </c>
      <c r="P26" s="137">
        <f>VLOOKUP(A26,[1]allpride!$C$2:$V$215,14,FALSE)</f>
        <v>1</v>
      </c>
      <c r="Q26" s="137">
        <f>VLOOKUP(A26,[1]allpride!$C$2:$V$215,15,FALSE)</f>
        <v>0</v>
      </c>
      <c r="R26" s="137">
        <f>VLOOKUP(A26,[1]allpride!$C$2:$V$215,16,FALSE)</f>
        <v>0</v>
      </c>
      <c r="S26" s="137">
        <f>VLOOKUP(A26,[1]allpride!$C$2:$V$215,17,FALSE)</f>
        <v>1</v>
      </c>
      <c r="T26" s="137">
        <f>VLOOKUP(A26,[1]allpride!$C$2:$V$215,18,FALSE)</f>
        <v>2012</v>
      </c>
      <c r="U26" s="137">
        <f>VLOOKUP(A26,[1]allpride!$C$2:$V$215,19,FALSE)</f>
        <v>6</v>
      </c>
      <c r="V26" s="137">
        <f>VLOOKUP(A26,[1]allpride!$C$2:$V$215,20,FALSE)</f>
        <v>4</v>
      </c>
      <c r="W26" s="137">
        <f>VLOOKUP(B26,'[2]pride covariates'!$A$2:$B$33,2,FALSE)</f>
        <v>1</v>
      </c>
      <c r="X26" s="137">
        <v>1</v>
      </c>
      <c r="Y26" s="137">
        <v>0</v>
      </c>
      <c r="Z26" s="117" t="str">
        <f t="shared" si="0"/>
        <v>/* ELI-493 */ 00011111 1 1 1 0 0 4 1;</v>
      </c>
      <c r="AA26" s="137" t="str">
        <f t="shared" si="1"/>
        <v>00011111</v>
      </c>
      <c r="AB26" s="137" t="str">
        <f t="shared" si="2"/>
        <v>/*ELI-493*/ 00011111 1;</v>
      </c>
    </row>
    <row r="27" spans="1:28" x14ac:dyDescent="0.3">
      <c r="A27" s="137" t="s">
        <v>22</v>
      </c>
      <c r="B27" s="137" t="s">
        <v>482</v>
      </c>
      <c r="C27" s="137" t="s">
        <v>28</v>
      </c>
      <c r="D27" s="138">
        <v>0</v>
      </c>
      <c r="E27" s="138">
        <v>0</v>
      </c>
      <c r="F27" s="138">
        <v>1</v>
      </c>
      <c r="G27" s="138">
        <v>0</v>
      </c>
      <c r="H27" s="138">
        <v>1</v>
      </c>
      <c r="I27" s="138">
        <v>0</v>
      </c>
      <c r="J27" s="138">
        <v>1</v>
      </c>
      <c r="K27" s="138">
        <v>1</v>
      </c>
      <c r="L27" s="138">
        <v>1</v>
      </c>
      <c r="M27" s="138">
        <v>1</v>
      </c>
      <c r="N27" s="138">
        <v>1</v>
      </c>
      <c r="O27" s="138">
        <v>0</v>
      </c>
      <c r="P27" s="137">
        <f>VLOOKUP(A27,[1]allpride!$C$2:$V$215,14,FALSE)</f>
        <v>1</v>
      </c>
      <c r="Q27" s="137">
        <f>VLOOKUP(A27,[1]allpride!$C$2:$V$215,15,FALSE)</f>
        <v>0</v>
      </c>
      <c r="R27" s="137">
        <f>VLOOKUP(A27,[1]allpride!$C$2:$V$215,16,FALSE)</f>
        <v>0</v>
      </c>
      <c r="S27" s="137">
        <f>VLOOKUP(A27,[1]allpride!$C$2:$V$215,17,FALSE)</f>
        <v>1</v>
      </c>
      <c r="T27" s="137">
        <f>VLOOKUP(A27,[1]allpride!$C$2:$V$215,18,FALSE)</f>
        <v>2012</v>
      </c>
      <c r="U27" s="137">
        <f>VLOOKUP(A27,[1]allpride!$C$2:$V$215,19,FALSE)</f>
        <v>6</v>
      </c>
      <c r="V27" s="137">
        <f>VLOOKUP(A27,[1]allpride!$C$2:$V$215,20,FALSE)</f>
        <v>1</v>
      </c>
      <c r="W27" s="137">
        <f>VLOOKUP(B27,'[2]pride covariates'!$A$2:$B$33,2,FALSE)</f>
        <v>1</v>
      </c>
      <c r="X27" s="137">
        <v>1</v>
      </c>
      <c r="Y27" s="137">
        <v>0</v>
      </c>
      <c r="Z27" s="150" t="str">
        <f t="shared" si="0"/>
        <v>/* ELI-494 */ 01011111 1 1 1 0 0 1 1;</v>
      </c>
      <c r="AA27" s="137" t="str">
        <f t="shared" si="1"/>
        <v>01011111</v>
      </c>
      <c r="AB27" s="137" t="str">
        <f t="shared" si="2"/>
        <v>/*ELI-494*/ 01011111 1;</v>
      </c>
    </row>
    <row r="28" spans="1:28" x14ac:dyDescent="0.3">
      <c r="A28" s="137" t="s">
        <v>90</v>
      </c>
      <c r="B28" s="137" t="s">
        <v>482</v>
      </c>
      <c r="C28" s="137" t="s">
        <v>87</v>
      </c>
      <c r="D28" s="138">
        <v>0</v>
      </c>
      <c r="E28" s="138">
        <v>0</v>
      </c>
      <c r="F28" s="138">
        <v>1</v>
      </c>
      <c r="G28" s="138">
        <v>0</v>
      </c>
      <c r="H28" s="140">
        <v>1</v>
      </c>
      <c r="I28" s="140">
        <v>0</v>
      </c>
      <c r="J28" s="138">
        <v>1</v>
      </c>
      <c r="K28" s="138">
        <v>1</v>
      </c>
      <c r="L28" s="138">
        <v>1</v>
      </c>
      <c r="M28" s="138">
        <v>1</v>
      </c>
      <c r="N28" s="138">
        <v>1</v>
      </c>
      <c r="O28" s="138">
        <v>0</v>
      </c>
      <c r="P28" s="137">
        <f>VLOOKUP(A28,[1]allpride!$C$2:$V$215,14,FALSE)</f>
        <v>1</v>
      </c>
      <c r="Q28" s="137">
        <f>VLOOKUP(A28,[1]allpride!$C$2:$V$215,15,FALSE)</f>
        <v>0</v>
      </c>
      <c r="R28" s="137">
        <f>VLOOKUP(A28,[1]allpride!$C$2:$V$215,16,FALSE)</f>
        <v>0</v>
      </c>
      <c r="S28" s="137">
        <f>VLOOKUP(A28,[1]allpride!$C$2:$V$215,17,FALSE)</f>
        <v>1</v>
      </c>
      <c r="T28" s="137">
        <f>VLOOKUP(A28,[1]allpride!$C$2:$V$215,18,FALSE)</f>
        <v>2012</v>
      </c>
      <c r="U28" s="137">
        <f>VLOOKUP(A28,[1]allpride!$C$2:$V$215,19,FALSE)</f>
        <v>10</v>
      </c>
      <c r="V28" s="137">
        <f>VLOOKUP(A28,[1]allpride!$C$2:$V$215,20,FALSE)</f>
        <v>0</v>
      </c>
      <c r="W28" s="137">
        <f>VLOOKUP(B28,'[2]pride covariates'!$A$2:$B$33,2,FALSE)</f>
        <v>1</v>
      </c>
      <c r="X28" s="137">
        <v>1</v>
      </c>
      <c r="Y28" s="137">
        <v>0</v>
      </c>
      <c r="Z28" s="117" t="str">
        <f t="shared" si="0"/>
        <v>/* ELI-524 */ 01011111 1 1 1 0 0 0 1;</v>
      </c>
      <c r="AA28" s="137" t="str">
        <f t="shared" si="1"/>
        <v>01011111</v>
      </c>
      <c r="AB28" s="137" t="str">
        <f t="shared" si="2"/>
        <v>/*ELI-524*/ 01011111 1;</v>
      </c>
    </row>
    <row r="29" spans="1:28" x14ac:dyDescent="0.3">
      <c r="A29" s="137" t="s">
        <v>411</v>
      </c>
      <c r="B29" s="137" t="s">
        <v>482</v>
      </c>
      <c r="C29" s="137" t="s">
        <v>483</v>
      </c>
      <c r="D29" s="138">
        <v>0</v>
      </c>
      <c r="E29" s="138">
        <v>0</v>
      </c>
      <c r="F29" s="138">
        <v>1</v>
      </c>
      <c r="G29" s="138">
        <v>0</v>
      </c>
      <c r="H29" s="140">
        <v>1</v>
      </c>
      <c r="I29" s="140">
        <v>0</v>
      </c>
      <c r="J29" s="138">
        <v>1</v>
      </c>
      <c r="K29" s="138">
        <v>1</v>
      </c>
      <c r="L29" s="138">
        <v>1</v>
      </c>
      <c r="M29" s="138">
        <v>1</v>
      </c>
      <c r="N29" s="138">
        <v>1</v>
      </c>
      <c r="O29" s="138">
        <v>0</v>
      </c>
      <c r="P29" s="137">
        <f>VLOOKUP(A29,[1]allpride!$C$2:$V$215,14,FALSE)</f>
        <v>1</v>
      </c>
      <c r="Q29" s="137">
        <f>VLOOKUP(A29,[1]allpride!$C$2:$V$215,15,FALSE)</f>
        <v>0</v>
      </c>
      <c r="R29" s="137">
        <f>VLOOKUP(A29,[1]allpride!$C$2:$V$215,16,FALSE)</f>
        <v>0</v>
      </c>
      <c r="S29" s="137">
        <f>VLOOKUP(A29,[1]allpride!$C$2:$V$215,17,FALSE)</f>
        <v>1</v>
      </c>
      <c r="T29" s="137">
        <f>VLOOKUP(A29,[1]allpride!$C$2:$V$215,18,FALSE)</f>
        <v>2013</v>
      </c>
      <c r="U29" s="137">
        <f>VLOOKUP(A29,[1]allpride!$C$2:$V$215,19,FALSE)</f>
        <v>4</v>
      </c>
      <c r="V29" s="137">
        <f>VLOOKUP(A29,[1]allpride!$C$2:$V$215,20,FALSE)</f>
        <v>0</v>
      </c>
      <c r="W29" s="137">
        <f>VLOOKUP(B29,'[2]pride covariates'!$A$2:$B$33,2,FALSE)</f>
        <v>1</v>
      </c>
      <c r="X29" s="137">
        <v>1</v>
      </c>
      <c r="Y29" s="137">
        <v>0</v>
      </c>
      <c r="Z29" s="117" t="str">
        <f t="shared" si="0"/>
        <v>/* ELI-598 */ 01011111 1 1 1 0 0 0 1;</v>
      </c>
      <c r="AA29" s="137" t="str">
        <f t="shared" si="1"/>
        <v>01011111</v>
      </c>
      <c r="AB29" s="137" t="str">
        <f t="shared" si="2"/>
        <v>/*ELI-598*/ 01011111 1;</v>
      </c>
    </row>
    <row r="30" spans="1:28" x14ac:dyDescent="0.3">
      <c r="A30" s="137" t="s">
        <v>412</v>
      </c>
      <c r="B30" s="137" t="s">
        <v>482</v>
      </c>
      <c r="C30" s="137" t="s">
        <v>484</v>
      </c>
      <c r="D30" s="138">
        <v>0</v>
      </c>
      <c r="E30" s="138">
        <v>0</v>
      </c>
      <c r="F30" s="138">
        <v>1</v>
      </c>
      <c r="G30" s="138">
        <v>0</v>
      </c>
      <c r="H30" s="140">
        <v>1</v>
      </c>
      <c r="I30" s="140">
        <v>0</v>
      </c>
      <c r="J30" s="138">
        <v>1</v>
      </c>
      <c r="K30" s="138">
        <v>1</v>
      </c>
      <c r="L30" s="138">
        <v>1</v>
      </c>
      <c r="M30" s="138">
        <v>1</v>
      </c>
      <c r="N30" s="138">
        <v>1</v>
      </c>
      <c r="O30" s="138">
        <v>0</v>
      </c>
      <c r="P30" s="137">
        <f>VLOOKUP(A30,[1]allpride!$C$2:$V$215,14,FALSE)</f>
        <v>1</v>
      </c>
      <c r="Q30" s="137">
        <f>VLOOKUP(A30,[1]allpride!$C$2:$V$215,15,FALSE)</f>
        <v>0</v>
      </c>
      <c r="R30" s="137">
        <f>VLOOKUP(A30,[1]allpride!$C$2:$V$215,16,FALSE)</f>
        <v>0</v>
      </c>
      <c r="S30" s="137">
        <f>VLOOKUP(A30,[1]allpride!$C$2:$V$215,17,FALSE)</f>
        <v>1</v>
      </c>
      <c r="T30" s="137">
        <f>VLOOKUP(A30,[1]allpride!$C$2:$V$215,18,FALSE)</f>
        <v>2013</v>
      </c>
      <c r="U30" s="137">
        <f>VLOOKUP(A30,[1]allpride!$C$2:$V$215,19,FALSE)</f>
        <v>4</v>
      </c>
      <c r="V30" s="137">
        <f>VLOOKUP(A30,[1]allpride!$C$2:$V$215,20,FALSE)</f>
        <v>0</v>
      </c>
      <c r="W30" s="137">
        <f>VLOOKUP(B30,'[2]pride covariates'!$A$2:$B$33,2,FALSE)</f>
        <v>1</v>
      </c>
      <c r="X30" s="137">
        <v>1</v>
      </c>
      <c r="Y30" s="137">
        <v>0</v>
      </c>
      <c r="Z30" s="117" t="str">
        <f t="shared" si="0"/>
        <v>/* ELI-599 */ 01011111 1 1 1 0 0 0 1;</v>
      </c>
      <c r="AA30" s="137" t="str">
        <f t="shared" si="1"/>
        <v>01011111</v>
      </c>
      <c r="AB30" s="137" t="str">
        <f t="shared" si="2"/>
        <v>/*ELI-599*/ 01011111 1;</v>
      </c>
    </row>
    <row r="31" spans="1:28" x14ac:dyDescent="0.3">
      <c r="A31" s="137" t="s">
        <v>15</v>
      </c>
      <c r="B31" s="137" t="s">
        <v>485</v>
      </c>
      <c r="C31" s="137" t="s">
        <v>92</v>
      </c>
      <c r="D31" s="138">
        <v>0</v>
      </c>
      <c r="E31" s="138">
        <v>0</v>
      </c>
      <c r="F31" s="138">
        <v>1</v>
      </c>
      <c r="G31" s="138">
        <v>1</v>
      </c>
      <c r="H31" s="140">
        <v>1</v>
      </c>
      <c r="I31" s="140">
        <v>1</v>
      </c>
      <c r="J31" s="138">
        <v>1</v>
      </c>
      <c r="K31" s="138">
        <v>1</v>
      </c>
      <c r="L31" s="138">
        <v>1</v>
      </c>
      <c r="M31" s="138">
        <v>1</v>
      </c>
      <c r="N31" s="138">
        <v>1</v>
      </c>
      <c r="O31" s="138">
        <v>0</v>
      </c>
      <c r="P31" s="137">
        <f>VLOOKUP(A31,[1]allpride!$C$2:$V$215,14,FALSE)</f>
        <v>1</v>
      </c>
      <c r="Q31" s="137">
        <f>VLOOKUP(A31,[1]allpride!$C$2:$V$215,15,FALSE)</f>
        <v>0</v>
      </c>
      <c r="R31" s="137">
        <f>VLOOKUP(A31,[1]allpride!$C$2:$V$215,16,FALSE)</f>
        <v>0</v>
      </c>
      <c r="S31" s="137">
        <f>VLOOKUP(A31,[1]allpride!$C$2:$V$215,17,FALSE)</f>
        <v>1</v>
      </c>
      <c r="T31" s="137">
        <f>VLOOKUP(A31,[1]allpride!$C$2:$V$215,18,FALSE)</f>
        <v>2008</v>
      </c>
      <c r="U31" s="137">
        <f>VLOOKUP(A31,[1]allpride!$C$2:$V$215,19,FALSE)</f>
        <v>9</v>
      </c>
      <c r="V31" s="137">
        <f>VLOOKUP(A31,[1]allpride!$C$2:$V$215,20,FALSE)</f>
        <v>5</v>
      </c>
      <c r="W31" s="137">
        <f>VLOOKUP(B31,'[2]pride covariates'!$A$2:$B$33,2,FALSE)</f>
        <v>1</v>
      </c>
      <c r="X31" s="137">
        <v>1</v>
      </c>
      <c r="Y31" s="137">
        <v>0</v>
      </c>
      <c r="Z31" s="117" t="str">
        <f t="shared" si="0"/>
        <v>/* ELI-236 */ 11111111 1 1 1 0 0 5 1;</v>
      </c>
      <c r="AA31" s="137" t="str">
        <f t="shared" si="1"/>
        <v>11111111</v>
      </c>
      <c r="AB31" s="137" t="str">
        <f t="shared" si="2"/>
        <v>/*ELI-236*/ 11111111 1;</v>
      </c>
    </row>
    <row r="32" spans="1:28" x14ac:dyDescent="0.3">
      <c r="A32" s="137" t="s">
        <v>16</v>
      </c>
      <c r="B32" s="137" t="s">
        <v>485</v>
      </c>
      <c r="C32" s="137" t="s">
        <v>93</v>
      </c>
      <c r="D32" s="162">
        <v>1</v>
      </c>
      <c r="E32" s="162">
        <v>1</v>
      </c>
      <c r="F32" s="138">
        <v>1</v>
      </c>
      <c r="G32" s="138">
        <v>1</v>
      </c>
      <c r="H32" s="140">
        <v>1</v>
      </c>
      <c r="I32" s="140">
        <v>1</v>
      </c>
      <c r="J32" s="138">
        <v>1</v>
      </c>
      <c r="K32" s="138">
        <v>1</v>
      </c>
      <c r="L32" s="138">
        <v>1</v>
      </c>
      <c r="M32" s="138">
        <v>1</v>
      </c>
      <c r="N32" s="138">
        <v>1</v>
      </c>
      <c r="O32" s="138">
        <v>0</v>
      </c>
      <c r="P32" s="137">
        <f>VLOOKUP(A32,[1]allpride!$C$2:$V$215,14,FALSE)</f>
        <v>1</v>
      </c>
      <c r="Q32" s="137">
        <f>VLOOKUP(A32,[1]allpride!$C$2:$V$215,15,FALSE)</f>
        <v>0</v>
      </c>
      <c r="R32" s="137">
        <v>0</v>
      </c>
      <c r="S32" s="137">
        <f>VLOOKUP(A32,[1]allpride!$C$2:$V$215,17,FALSE)</f>
        <v>1</v>
      </c>
      <c r="T32" s="137">
        <f>VLOOKUP(A32,[1]allpride!$C$2:$V$215,18,FALSE)</f>
        <v>2008</v>
      </c>
      <c r="U32" s="137">
        <f>VLOOKUP(A32,[1]allpride!$C$2:$V$215,19,FALSE)</f>
        <v>9</v>
      </c>
      <c r="V32" s="137">
        <f>VLOOKUP(A32,[1]allpride!$C$2:$V$215,20,FALSE)</f>
        <v>2</v>
      </c>
      <c r="W32" s="137">
        <f>VLOOKUP(B32,'[2]pride covariates'!$A$2:$B$33,2,FALSE)</f>
        <v>1</v>
      </c>
      <c r="X32" s="137">
        <v>1</v>
      </c>
      <c r="Y32" s="137">
        <v>0</v>
      </c>
      <c r="Z32" s="117" t="str">
        <f t="shared" si="0"/>
        <v>/* ELI-235 */ 11111111 1 1 1 0 0 2 1;</v>
      </c>
      <c r="AA32" s="137" t="str">
        <f t="shared" si="1"/>
        <v>11111111</v>
      </c>
      <c r="AB32" s="137" t="str">
        <f t="shared" si="2"/>
        <v>/*ELI-235*/ 11111111 1;</v>
      </c>
    </row>
    <row r="33" spans="1:28" x14ac:dyDescent="0.3">
      <c r="A33" s="141" t="s">
        <v>378</v>
      </c>
      <c r="B33" s="137" t="s">
        <v>485</v>
      </c>
      <c r="C33" s="141" t="s">
        <v>486</v>
      </c>
      <c r="D33" s="138">
        <v>0</v>
      </c>
      <c r="E33" s="138">
        <v>0</v>
      </c>
      <c r="F33" s="138">
        <v>1</v>
      </c>
      <c r="G33" s="138">
        <v>1</v>
      </c>
      <c r="H33" s="140">
        <v>1</v>
      </c>
      <c r="I33" s="140">
        <v>1</v>
      </c>
      <c r="J33" s="138">
        <v>1</v>
      </c>
      <c r="K33" s="138">
        <v>1</v>
      </c>
      <c r="L33" s="138">
        <v>1</v>
      </c>
      <c r="M33" s="138">
        <v>1</v>
      </c>
      <c r="N33" s="138">
        <v>1</v>
      </c>
      <c r="O33" s="138">
        <v>0</v>
      </c>
      <c r="P33" s="137">
        <v>1</v>
      </c>
      <c r="Q33" s="137">
        <v>1</v>
      </c>
      <c r="R33" s="137">
        <v>0</v>
      </c>
      <c r="S33" s="137">
        <v>1</v>
      </c>
      <c r="T33" s="137">
        <v>2014</v>
      </c>
      <c r="U33" s="137">
        <v>4</v>
      </c>
      <c r="V33" s="137">
        <v>0</v>
      </c>
      <c r="W33" s="137">
        <f>VLOOKUP(B33,'[2]pride covariates'!$A$2:$B$33,2,FALSE)</f>
        <v>1</v>
      </c>
      <c r="X33" s="137">
        <v>1</v>
      </c>
      <c r="Y33" s="137">
        <v>1</v>
      </c>
      <c r="Z33" s="117" t="str">
        <f t="shared" si="0"/>
        <v>/* ELI-604 */ 11111111 1 1 1 0 1 0 1;</v>
      </c>
      <c r="AA33" s="137" t="str">
        <f t="shared" si="1"/>
        <v>11111111</v>
      </c>
      <c r="AB33" s="137" t="str">
        <f t="shared" si="2"/>
        <v>/*ELI-604*/ 11111111 1;</v>
      </c>
    </row>
    <row r="34" spans="1:28" x14ac:dyDescent="0.3">
      <c r="A34" s="141" t="s">
        <v>379</v>
      </c>
      <c r="B34" s="137" t="s">
        <v>485</v>
      </c>
      <c r="C34" s="141" t="s">
        <v>487</v>
      </c>
      <c r="D34" s="138">
        <v>0</v>
      </c>
      <c r="E34" s="138">
        <v>0</v>
      </c>
      <c r="F34" s="138">
        <v>1</v>
      </c>
      <c r="G34" s="138">
        <v>1</v>
      </c>
      <c r="H34" s="140">
        <v>1</v>
      </c>
      <c r="I34" s="140">
        <v>1</v>
      </c>
      <c r="J34" s="138">
        <v>1</v>
      </c>
      <c r="K34" s="138">
        <v>1</v>
      </c>
      <c r="L34" s="138">
        <v>1</v>
      </c>
      <c r="M34" s="138">
        <v>1</v>
      </c>
      <c r="N34" s="138">
        <v>1</v>
      </c>
      <c r="O34" s="138">
        <v>0</v>
      </c>
      <c r="P34" s="137">
        <v>1</v>
      </c>
      <c r="Q34" s="137">
        <v>0</v>
      </c>
      <c r="R34" s="137">
        <v>1</v>
      </c>
      <c r="S34" s="137">
        <v>1</v>
      </c>
      <c r="T34" s="137">
        <v>2014</v>
      </c>
      <c r="U34" s="137">
        <v>4</v>
      </c>
      <c r="V34" s="137">
        <v>0</v>
      </c>
      <c r="W34" s="137">
        <f>VLOOKUP(B34,'[2]pride covariates'!$A$2:$B$33,2,FALSE)</f>
        <v>1</v>
      </c>
      <c r="X34" s="137">
        <v>1</v>
      </c>
      <c r="Y34" s="137">
        <v>0</v>
      </c>
      <c r="Z34" s="117" t="str">
        <f t="shared" ref="Z34:Z66" si="3">CONCATENATE("/* ",A34," */ ",G34,H34,I34,J34,K34,L34,M34,N34," 1"," ",P34," ",S34," ",R34," ",Y34," ",V34," ",X34,";")</f>
        <v>/* ELI-606 */ 11111111 1 1 1 1 0 0 1;</v>
      </c>
      <c r="AA34" s="137" t="str">
        <f t="shared" si="1"/>
        <v>11111111</v>
      </c>
      <c r="AB34" s="137" t="str">
        <f t="shared" si="2"/>
        <v>/*ELI-606*/ 11111111 1;</v>
      </c>
    </row>
    <row r="35" spans="1:28" x14ac:dyDescent="0.3">
      <c r="A35" s="141" t="s">
        <v>380</v>
      </c>
      <c r="B35" s="137" t="s">
        <v>485</v>
      </c>
      <c r="C35" s="141" t="s">
        <v>488</v>
      </c>
      <c r="D35" s="138">
        <v>0</v>
      </c>
      <c r="E35" s="138">
        <v>0</v>
      </c>
      <c r="F35" s="138">
        <v>1</v>
      </c>
      <c r="G35" s="138">
        <v>1</v>
      </c>
      <c r="H35" s="140">
        <v>1</v>
      </c>
      <c r="I35" s="140">
        <v>1</v>
      </c>
      <c r="J35" s="138">
        <v>1</v>
      </c>
      <c r="K35" s="138">
        <v>1</v>
      </c>
      <c r="L35" s="138">
        <v>1</v>
      </c>
      <c r="M35" s="138">
        <v>1</v>
      </c>
      <c r="N35" s="138">
        <v>1</v>
      </c>
      <c r="O35" s="138">
        <v>0</v>
      </c>
      <c r="P35" s="137">
        <v>1</v>
      </c>
      <c r="Q35" s="137">
        <v>0</v>
      </c>
      <c r="R35" s="137">
        <v>0</v>
      </c>
      <c r="S35" s="137">
        <v>1</v>
      </c>
      <c r="T35" s="137">
        <v>2014</v>
      </c>
      <c r="U35" s="137">
        <v>4</v>
      </c>
      <c r="V35" s="137">
        <v>0</v>
      </c>
      <c r="W35" s="137">
        <f>VLOOKUP(B35,'[2]pride covariates'!$A$2:$B$33,2,FALSE)</f>
        <v>1</v>
      </c>
      <c r="X35" s="137">
        <v>1</v>
      </c>
      <c r="Y35" s="137">
        <v>0</v>
      </c>
      <c r="Z35" s="117" t="str">
        <f t="shared" si="3"/>
        <v>/* ELI-607 */ 11111111 1 1 1 0 0 0 1;</v>
      </c>
      <c r="AA35" s="137" t="str">
        <f t="shared" si="1"/>
        <v>11111111</v>
      </c>
      <c r="AB35" s="137" t="str">
        <f t="shared" si="2"/>
        <v>/*ELI-607*/ 11111111 1;</v>
      </c>
    </row>
    <row r="36" spans="1:28" x14ac:dyDescent="0.3">
      <c r="A36" s="137" t="s">
        <v>80</v>
      </c>
      <c r="B36" s="137" t="s">
        <v>489</v>
      </c>
      <c r="C36" s="142" t="s">
        <v>398</v>
      </c>
      <c r="D36" s="138">
        <v>0</v>
      </c>
      <c r="E36" s="138">
        <v>0</v>
      </c>
      <c r="F36" s="138">
        <v>0</v>
      </c>
      <c r="G36" s="138">
        <v>0</v>
      </c>
      <c r="H36" s="140">
        <v>1</v>
      </c>
      <c r="I36" s="163">
        <v>1</v>
      </c>
      <c r="J36" s="138">
        <v>1</v>
      </c>
      <c r="K36" s="138">
        <v>1</v>
      </c>
      <c r="L36" s="138">
        <v>1</v>
      </c>
      <c r="M36" s="138">
        <v>1</v>
      </c>
      <c r="N36" s="138">
        <v>1</v>
      </c>
      <c r="O36" s="138">
        <v>1</v>
      </c>
      <c r="P36" s="137">
        <f>VLOOKUP(A36,[1]allpride!$C$2:$V$215,14,FALSE)</f>
        <v>1</v>
      </c>
      <c r="Q36" s="137">
        <f>VLOOKUP(A36,[1]allpride!$C$2:$V$215,15,FALSE)</f>
        <v>0</v>
      </c>
      <c r="R36" s="137">
        <f>VLOOKUP(A36,[1]allpride!$C$2:$V$215,16,FALSE)</f>
        <v>0</v>
      </c>
      <c r="S36" s="137">
        <f>VLOOKUP(A36,[1]allpride!$C$2:$V$215,17,FALSE)</f>
        <v>1</v>
      </c>
      <c r="T36" s="137">
        <f>VLOOKUP(A36,[1]allpride!$C$2:$V$215,18,FALSE)</f>
        <v>2012</v>
      </c>
      <c r="U36" s="137">
        <f>VLOOKUP(A36,[1]allpride!$C$2:$V$215,19,FALSE)</f>
        <v>4</v>
      </c>
      <c r="V36" s="137">
        <f>VLOOKUP(A36,[1]allpride!$C$2:$V$215,20,FALSE)</f>
        <v>4</v>
      </c>
      <c r="W36" s="137">
        <v>1</v>
      </c>
      <c r="X36" s="137">
        <v>0</v>
      </c>
      <c r="Y36" s="137">
        <v>0</v>
      </c>
      <c r="Z36" s="117" t="str">
        <f t="shared" si="3"/>
        <v>/* ELI-143 */ 01111111 1 1 1 0 0 4 0;</v>
      </c>
      <c r="AA36" s="137" t="str">
        <f t="shared" si="1"/>
        <v>01111111</v>
      </c>
      <c r="AB36" s="137" t="str">
        <f t="shared" si="2"/>
        <v>/*ELI-143*/ 01111111 1;</v>
      </c>
    </row>
    <row r="37" spans="1:28" x14ac:dyDescent="0.3">
      <c r="A37" s="142" t="s">
        <v>82</v>
      </c>
      <c r="B37" s="137" t="s">
        <v>489</v>
      </c>
      <c r="C37" s="142" t="s">
        <v>397</v>
      </c>
      <c r="D37" s="138">
        <v>0</v>
      </c>
      <c r="E37" s="138">
        <v>0</v>
      </c>
      <c r="F37" s="138">
        <v>0</v>
      </c>
      <c r="G37" s="138">
        <v>0</v>
      </c>
      <c r="H37" s="140">
        <v>1</v>
      </c>
      <c r="I37" s="140">
        <v>0</v>
      </c>
      <c r="J37" s="138">
        <v>1</v>
      </c>
      <c r="K37" s="138">
        <v>1</v>
      </c>
      <c r="L37" s="138">
        <v>1</v>
      </c>
      <c r="M37" s="138">
        <v>1</v>
      </c>
      <c r="N37" s="138">
        <v>1</v>
      </c>
      <c r="O37" s="138">
        <v>1</v>
      </c>
      <c r="P37" s="137">
        <v>1</v>
      </c>
      <c r="Q37" s="137">
        <v>0</v>
      </c>
      <c r="R37" s="137">
        <v>0</v>
      </c>
      <c r="S37" s="137">
        <v>1</v>
      </c>
      <c r="T37" s="137">
        <v>2014</v>
      </c>
      <c r="U37" s="137">
        <v>5</v>
      </c>
      <c r="V37" s="137">
        <v>2</v>
      </c>
      <c r="W37" s="137">
        <v>1</v>
      </c>
      <c r="X37" s="137">
        <v>0</v>
      </c>
      <c r="Y37" s="137">
        <v>0</v>
      </c>
      <c r="Z37" s="117" t="str">
        <f t="shared" si="3"/>
        <v>/* ELI-496 */ 01011111 1 1 1 0 0 2 0;</v>
      </c>
      <c r="AA37" s="137" t="str">
        <f t="shared" si="1"/>
        <v>01011111</v>
      </c>
      <c r="AB37" s="137" t="str">
        <f t="shared" si="2"/>
        <v>/*ELI-496*/ 01011111 1;</v>
      </c>
    </row>
    <row r="38" spans="1:28" x14ac:dyDescent="0.3">
      <c r="A38" s="141" t="s">
        <v>400</v>
      </c>
      <c r="B38" s="137" t="s">
        <v>489</v>
      </c>
      <c r="C38" s="142" t="s">
        <v>399</v>
      </c>
      <c r="D38" s="138">
        <v>0</v>
      </c>
      <c r="E38" s="138">
        <v>0</v>
      </c>
      <c r="F38" s="138">
        <v>0</v>
      </c>
      <c r="G38" s="138">
        <v>0</v>
      </c>
      <c r="H38" s="140">
        <v>1</v>
      </c>
      <c r="I38" s="140">
        <v>0</v>
      </c>
      <c r="J38" s="138">
        <v>1</v>
      </c>
      <c r="K38" s="138">
        <v>1</v>
      </c>
      <c r="L38" s="138">
        <v>1</v>
      </c>
      <c r="M38" s="138">
        <v>1</v>
      </c>
      <c r="N38" s="138">
        <v>1</v>
      </c>
      <c r="O38" s="138">
        <v>1</v>
      </c>
      <c r="P38" s="137">
        <v>1</v>
      </c>
      <c r="Q38" s="137">
        <v>0</v>
      </c>
      <c r="R38" s="137">
        <v>0</v>
      </c>
      <c r="S38" s="137">
        <v>1</v>
      </c>
      <c r="T38" s="137">
        <v>2014</v>
      </c>
      <c r="U38" s="137">
        <v>5</v>
      </c>
      <c r="V38" s="137">
        <v>0</v>
      </c>
      <c r="W38" s="137">
        <v>1</v>
      </c>
      <c r="X38" s="137">
        <v>0</v>
      </c>
      <c r="Y38" s="137">
        <v>0</v>
      </c>
      <c r="Z38" s="117" t="str">
        <f t="shared" si="3"/>
        <v>/* ELI-703 */ 01011111 1 1 1 0 0 0 0;</v>
      </c>
      <c r="AA38" s="137" t="str">
        <f t="shared" si="1"/>
        <v>01011111</v>
      </c>
      <c r="AB38" s="137" t="str">
        <f t="shared" si="2"/>
        <v>/*ELI-703*/ 01011111 1;</v>
      </c>
    </row>
    <row r="39" spans="1:28" x14ac:dyDescent="0.3">
      <c r="A39" s="137" t="s">
        <v>103</v>
      </c>
      <c r="B39" s="137" t="s">
        <v>490</v>
      </c>
      <c r="C39" s="137" t="s">
        <v>102</v>
      </c>
      <c r="D39" s="138">
        <v>0</v>
      </c>
      <c r="E39" s="138">
        <v>0</v>
      </c>
      <c r="F39" s="138">
        <v>0</v>
      </c>
      <c r="G39" s="138">
        <v>0</v>
      </c>
      <c r="H39" s="140">
        <v>0</v>
      </c>
      <c r="I39" s="140">
        <v>0</v>
      </c>
      <c r="J39" s="138">
        <v>1</v>
      </c>
      <c r="K39" s="138">
        <v>0</v>
      </c>
      <c r="L39" s="138">
        <v>1</v>
      </c>
      <c r="M39" s="138">
        <v>1</v>
      </c>
      <c r="N39" s="138">
        <v>1</v>
      </c>
      <c r="O39" s="153">
        <v>1</v>
      </c>
      <c r="P39" s="137">
        <f>VLOOKUP(A39,[1]allpride!$C$2:$V$215,14,FALSE)</f>
        <v>1</v>
      </c>
      <c r="Q39" s="137">
        <f>VLOOKUP(A39,[1]allpride!$C$2:$V$215,15,FALSE)</f>
        <v>0</v>
      </c>
      <c r="R39" s="137">
        <f>VLOOKUP(A39,[1]allpride!$C$2:$V$215,16,FALSE)</f>
        <v>0</v>
      </c>
      <c r="S39" s="137">
        <f>VLOOKUP(A39,[1]allpride!$C$2:$V$215,17,FALSE)</f>
        <v>1</v>
      </c>
      <c r="T39" s="137">
        <f>VLOOKUP(A39,[1]allpride!$C$2:$V$215,18,FALSE)</f>
        <v>2008</v>
      </c>
      <c r="U39" s="137">
        <f>VLOOKUP(A39,[1]allpride!$C$2:$V$215,19,FALSE)</f>
        <v>8</v>
      </c>
      <c r="V39" s="137">
        <f>VLOOKUP(A39,[1]allpride!$C$2:$V$215,20,FALSE)</f>
        <v>2</v>
      </c>
      <c r="W39" s="137">
        <f>VLOOKUP(B39,'[2]pride covariates'!$A$2:$B$33,2,FALSE)</f>
        <v>1</v>
      </c>
      <c r="X39" s="137">
        <v>1</v>
      </c>
      <c r="Y39" s="137">
        <v>0</v>
      </c>
      <c r="Z39" s="117" t="str">
        <f t="shared" si="3"/>
        <v>/* ELI-173 */ 00010111 1 1 1 0 0 2 1;</v>
      </c>
      <c r="AA39" s="137" t="str">
        <f t="shared" si="1"/>
        <v>00010111</v>
      </c>
      <c r="AB39" s="137" t="str">
        <f t="shared" si="2"/>
        <v>/*ELI-173*/ 00010111 1;</v>
      </c>
    </row>
    <row r="40" spans="1:28" x14ac:dyDescent="0.3">
      <c r="A40" s="137" t="s">
        <v>105</v>
      </c>
      <c r="B40" s="137" t="s">
        <v>490</v>
      </c>
      <c r="C40" s="137" t="s">
        <v>104</v>
      </c>
      <c r="D40" s="138">
        <v>0</v>
      </c>
      <c r="E40" s="138">
        <v>0</v>
      </c>
      <c r="F40" s="138">
        <v>0</v>
      </c>
      <c r="G40" s="138">
        <v>0</v>
      </c>
      <c r="H40" s="140">
        <v>1</v>
      </c>
      <c r="I40" s="140">
        <v>0</v>
      </c>
      <c r="J40" s="153">
        <v>1</v>
      </c>
      <c r="K40" s="138">
        <v>0</v>
      </c>
      <c r="L40" s="138">
        <v>1</v>
      </c>
      <c r="M40" s="138">
        <v>0</v>
      </c>
      <c r="N40" s="138">
        <v>1</v>
      </c>
      <c r="O40" s="138">
        <v>0</v>
      </c>
      <c r="P40" s="137">
        <f>VLOOKUP(A40,[1]allpride!$C$2:$V$215,14,FALSE)</f>
        <v>1</v>
      </c>
      <c r="Q40" s="137">
        <f>VLOOKUP(A40,[1]allpride!$C$2:$V$215,15,FALSE)</f>
        <v>0</v>
      </c>
      <c r="R40" s="137">
        <f>VLOOKUP(A40,[1]allpride!$C$2:$V$215,16,FALSE)</f>
        <v>0</v>
      </c>
      <c r="S40" s="137">
        <f>VLOOKUP(A40,[1]allpride!$C$2:$V$215,17,FALSE)</f>
        <v>1</v>
      </c>
      <c r="T40" s="137">
        <f>VLOOKUP(A40,[1]allpride!$C$2:$V$215,18,FALSE)</f>
        <v>2008</v>
      </c>
      <c r="U40" s="137">
        <f>VLOOKUP(A40,[1]allpride!$C$2:$V$215,19,FALSE)</f>
        <v>8</v>
      </c>
      <c r="V40" s="137">
        <f>VLOOKUP(A40,[1]allpride!$C$2:$V$215,20,FALSE)</f>
        <v>6</v>
      </c>
      <c r="W40" s="137">
        <f>VLOOKUP(B40,'[2]pride covariates'!$A$2:$B$33,2,FALSE)</f>
        <v>1</v>
      </c>
      <c r="X40" s="137">
        <v>1</v>
      </c>
      <c r="Y40" s="137">
        <v>0</v>
      </c>
      <c r="Z40" s="117" t="str">
        <f t="shared" si="3"/>
        <v>/* ELI-174 */ 01010101 1 1 1 0 0 6 1;</v>
      </c>
      <c r="AA40" s="137" t="str">
        <f t="shared" si="1"/>
        <v>01010101</v>
      </c>
      <c r="AB40" s="137" t="str">
        <f t="shared" si="2"/>
        <v>/*ELI-174*/ 01010101 1;</v>
      </c>
    </row>
    <row r="41" spans="1:28" x14ac:dyDescent="0.3">
      <c r="A41" s="137" t="s">
        <v>107</v>
      </c>
      <c r="B41" s="137" t="s">
        <v>490</v>
      </c>
      <c r="C41" s="137" t="s">
        <v>106</v>
      </c>
      <c r="D41" s="138">
        <v>0</v>
      </c>
      <c r="E41" s="138">
        <v>0</v>
      </c>
      <c r="F41" s="138">
        <v>0</v>
      </c>
      <c r="G41" s="138">
        <v>0</v>
      </c>
      <c r="H41" s="140">
        <v>1</v>
      </c>
      <c r="I41" s="140">
        <v>1</v>
      </c>
      <c r="J41" s="138">
        <v>1</v>
      </c>
      <c r="K41" s="138">
        <v>0</v>
      </c>
      <c r="L41" s="138">
        <v>1</v>
      </c>
      <c r="M41" s="138">
        <v>1</v>
      </c>
      <c r="N41" s="138">
        <v>1</v>
      </c>
      <c r="O41" s="153">
        <v>1</v>
      </c>
      <c r="P41" s="137">
        <f>VLOOKUP(A41,[1]allpride!$C$2:$V$215,14,FALSE)</f>
        <v>1</v>
      </c>
      <c r="Q41" s="137">
        <f>VLOOKUP(A41,[1]allpride!$C$2:$V$215,15,FALSE)</f>
        <v>0</v>
      </c>
      <c r="R41" s="137">
        <f>VLOOKUP(A41,[1]allpride!$C$2:$V$215,16,FALSE)</f>
        <v>0</v>
      </c>
      <c r="S41" s="137">
        <f>VLOOKUP(A41,[1]allpride!$C$2:$V$215,17,FALSE)</f>
        <v>1</v>
      </c>
      <c r="T41" s="137">
        <f>VLOOKUP(A41,[1]allpride!$C$2:$V$215,18,FALSE)</f>
        <v>2009</v>
      </c>
      <c r="U41" s="137">
        <f>VLOOKUP(A41,[1]allpride!$C$2:$V$215,19,FALSE)</f>
        <v>8</v>
      </c>
      <c r="V41" s="137">
        <f>VLOOKUP(A41,[1]allpride!$C$2:$V$215,20,FALSE)</f>
        <v>3</v>
      </c>
      <c r="W41" s="137">
        <f>VLOOKUP(B41,'[2]pride covariates'!$A$2:$B$33,2,FALSE)</f>
        <v>1</v>
      </c>
      <c r="X41" s="137">
        <v>1</v>
      </c>
      <c r="Y41" s="137">
        <v>0</v>
      </c>
      <c r="Z41" s="117" t="str">
        <f t="shared" si="3"/>
        <v>/* ELI-247 */ 01110111 1 1 1 0 0 3 1;</v>
      </c>
      <c r="AA41" s="137" t="str">
        <f t="shared" si="1"/>
        <v>01110111</v>
      </c>
      <c r="AB41" s="137" t="str">
        <f t="shared" si="2"/>
        <v>/*ELI-247*/ 01110111 1;</v>
      </c>
    </row>
    <row r="42" spans="1:28" x14ac:dyDescent="0.3">
      <c r="A42" s="137" t="s">
        <v>109</v>
      </c>
      <c r="B42" s="137" t="s">
        <v>490</v>
      </c>
      <c r="C42" s="137" t="s">
        <v>108</v>
      </c>
      <c r="D42" s="162">
        <v>1</v>
      </c>
      <c r="E42" s="138">
        <v>0</v>
      </c>
      <c r="F42" s="138">
        <v>0</v>
      </c>
      <c r="G42" s="162">
        <v>1</v>
      </c>
      <c r="H42" s="140">
        <v>1</v>
      </c>
      <c r="I42" s="140">
        <v>1</v>
      </c>
      <c r="J42" s="138">
        <v>1</v>
      </c>
      <c r="K42" s="138">
        <v>1</v>
      </c>
      <c r="L42" s="138">
        <v>1</v>
      </c>
      <c r="M42" s="138">
        <v>1</v>
      </c>
      <c r="N42" s="138">
        <v>1</v>
      </c>
      <c r="O42" s="153">
        <v>1</v>
      </c>
      <c r="P42" s="137">
        <f>VLOOKUP(A42,[1]allpride!$C$2:$V$215,14,FALSE)</f>
        <v>1</v>
      </c>
      <c r="Q42" s="137">
        <f>VLOOKUP(A42,[1]allpride!$C$2:$V$215,15,FALSE)</f>
        <v>0</v>
      </c>
      <c r="R42" s="137">
        <f>VLOOKUP(A42,[1]allpride!$C$2:$V$215,16,FALSE)</f>
        <v>0</v>
      </c>
      <c r="S42" s="137">
        <f>VLOOKUP(A42,[1]allpride!$C$2:$V$215,17,FALSE)</f>
        <v>1</v>
      </c>
      <c r="T42" s="137">
        <f>VLOOKUP(A42,[1]allpride!$C$2:$V$215,18,FALSE)</f>
        <v>2009</v>
      </c>
      <c r="U42" s="137">
        <f>VLOOKUP(A42,[1]allpride!$C$2:$V$215,19,FALSE)</f>
        <v>11</v>
      </c>
      <c r="V42" s="137">
        <f>VLOOKUP(A42,[1]allpride!$C$2:$V$215,20,FALSE)</f>
        <v>3</v>
      </c>
      <c r="W42" s="137">
        <f>VLOOKUP(B42,'[2]pride covariates'!$A$2:$B$33,2,FALSE)</f>
        <v>1</v>
      </c>
      <c r="X42" s="137">
        <v>1</v>
      </c>
      <c r="Y42" s="137">
        <v>0</v>
      </c>
      <c r="Z42" s="117" t="str">
        <f t="shared" si="3"/>
        <v>/* ELI-248 */ 11111111 1 1 1 0 0 3 1;</v>
      </c>
      <c r="AA42" s="137" t="str">
        <f t="shared" si="1"/>
        <v>11111111</v>
      </c>
      <c r="AB42" s="137" t="str">
        <f t="shared" si="2"/>
        <v>/*ELI-248*/ 11111111 1;</v>
      </c>
    </row>
    <row r="43" spans="1:28" x14ac:dyDescent="0.3">
      <c r="A43" s="137" t="s">
        <v>111</v>
      </c>
      <c r="B43" s="137" t="s">
        <v>490</v>
      </c>
      <c r="C43" s="137" t="s">
        <v>110</v>
      </c>
      <c r="D43" s="138">
        <v>0</v>
      </c>
      <c r="E43" s="138">
        <v>0</v>
      </c>
      <c r="F43" s="138">
        <v>0</v>
      </c>
      <c r="G43" s="138">
        <v>0</v>
      </c>
      <c r="H43" s="140">
        <v>0</v>
      </c>
      <c r="I43" s="140">
        <v>0</v>
      </c>
      <c r="J43" s="138">
        <v>0</v>
      </c>
      <c r="K43" s="138">
        <v>0</v>
      </c>
      <c r="L43" s="138">
        <v>0</v>
      </c>
      <c r="M43" s="138">
        <v>0</v>
      </c>
      <c r="N43" s="138">
        <v>0</v>
      </c>
      <c r="O43" s="138">
        <v>0</v>
      </c>
      <c r="P43" s="137">
        <f>VLOOKUP(A43,[1]allpride!$C$2:$V$215,14,FALSE)</f>
        <v>1</v>
      </c>
      <c r="Q43" s="137">
        <f>VLOOKUP(A43,[1]allpride!$C$2:$V$215,15,FALSE)</f>
        <v>0</v>
      </c>
      <c r="R43" s="137">
        <f>VLOOKUP(A43,[1]allpride!$C$2:$V$215,16,FALSE)</f>
        <v>0</v>
      </c>
      <c r="S43" s="137">
        <f>VLOOKUP(A43,[1]allpride!$C$2:$V$215,17,FALSE)</f>
        <v>1</v>
      </c>
      <c r="T43" s="137">
        <f>VLOOKUP(A43,[1]allpride!$C$2:$V$215,18,FALSE)</f>
        <v>2009</v>
      </c>
      <c r="U43" s="137">
        <f>VLOOKUP(A43,[1]allpride!$C$2:$V$215,19,FALSE)</f>
        <v>8</v>
      </c>
      <c r="V43" s="137">
        <f>VLOOKUP(A43,[1]allpride!$C$2:$V$215,20,FALSE)</f>
        <v>6</v>
      </c>
      <c r="W43" s="137">
        <f>VLOOKUP(B43,'[2]pride covariates'!$A$2:$B$33,2,FALSE)</f>
        <v>1</v>
      </c>
      <c r="X43" s="137">
        <v>1</v>
      </c>
      <c r="Y43" s="137">
        <v>0</v>
      </c>
      <c r="Z43" s="117" t="str">
        <f t="shared" si="3"/>
        <v>/* ELI-249 */ 00000000 1 1 1 0 0 6 1;</v>
      </c>
      <c r="AA43" s="137" t="str">
        <f t="shared" si="1"/>
        <v>00000000</v>
      </c>
      <c r="AB43" s="137" t="str">
        <f t="shared" si="2"/>
        <v>/*ELI-249*/ 00000000 1;</v>
      </c>
    </row>
    <row r="44" spans="1:28" x14ac:dyDescent="0.3">
      <c r="A44" s="137" t="s">
        <v>113</v>
      </c>
      <c r="B44" s="137" t="s">
        <v>490</v>
      </c>
      <c r="C44" s="137" t="s">
        <v>112</v>
      </c>
      <c r="D44" s="138">
        <v>0</v>
      </c>
      <c r="E44" s="138">
        <v>0</v>
      </c>
      <c r="F44" s="138">
        <v>0</v>
      </c>
      <c r="G44" s="138">
        <v>0</v>
      </c>
      <c r="H44" s="140">
        <v>1</v>
      </c>
      <c r="I44" s="140">
        <v>0</v>
      </c>
      <c r="J44" s="138">
        <v>1</v>
      </c>
      <c r="K44" s="138">
        <v>1</v>
      </c>
      <c r="L44" s="138">
        <v>1</v>
      </c>
      <c r="M44" s="138">
        <v>1</v>
      </c>
      <c r="N44" s="138">
        <v>1</v>
      </c>
      <c r="O44" s="153">
        <v>1</v>
      </c>
      <c r="P44" s="137">
        <f>VLOOKUP(A44,[1]allpride!$C$2:$V$215,14,FALSE)</f>
        <v>1</v>
      </c>
      <c r="Q44" s="137">
        <f>VLOOKUP(A44,[1]allpride!$C$2:$V$215,15,FALSE)</f>
        <v>0</v>
      </c>
      <c r="R44" s="137">
        <f>VLOOKUP(A44,[1]allpride!$C$2:$V$215,16,FALSE)</f>
        <v>0</v>
      </c>
      <c r="S44" s="137">
        <f>VLOOKUP(A44,[1]allpride!$C$2:$V$215,17,FALSE)</f>
        <v>1</v>
      </c>
      <c r="T44" s="137">
        <f>VLOOKUP(A44,[1]allpride!$C$2:$V$215,18,FALSE)</f>
        <v>2009</v>
      </c>
      <c r="U44" s="137">
        <f>VLOOKUP(A44,[1]allpride!$C$2:$V$215,19,FALSE)</f>
        <v>7</v>
      </c>
      <c r="V44" s="137">
        <f>VLOOKUP(A44,[1]allpride!$C$2:$V$215,20,FALSE)</f>
        <v>6</v>
      </c>
      <c r="W44" s="137">
        <f>VLOOKUP(B44,'[2]pride covariates'!$A$2:$B$33,2,FALSE)</f>
        <v>1</v>
      </c>
      <c r="X44" s="137">
        <v>1</v>
      </c>
      <c r="Y44" s="137">
        <v>0</v>
      </c>
      <c r="Z44" s="117" t="str">
        <f t="shared" si="3"/>
        <v>/* ELI-250 */ 01011111 1 1 1 0 0 6 1;</v>
      </c>
      <c r="AA44" s="137" t="str">
        <f t="shared" si="1"/>
        <v>01011111</v>
      </c>
      <c r="AB44" s="137" t="str">
        <f t="shared" si="2"/>
        <v>/*ELI-250*/ 01011111 1;</v>
      </c>
    </row>
    <row r="45" spans="1:28" x14ac:dyDescent="0.3">
      <c r="A45" s="137" t="s">
        <v>115</v>
      </c>
      <c r="B45" s="137" t="s">
        <v>490</v>
      </c>
      <c r="C45" s="137" t="s">
        <v>114</v>
      </c>
      <c r="D45" s="138">
        <v>0</v>
      </c>
      <c r="E45" s="138">
        <v>0</v>
      </c>
      <c r="F45" s="138">
        <v>0</v>
      </c>
      <c r="G45" s="138">
        <v>0</v>
      </c>
      <c r="H45" s="140">
        <v>1</v>
      </c>
      <c r="I45" s="140">
        <v>0</v>
      </c>
      <c r="J45" s="138">
        <v>1</v>
      </c>
      <c r="K45" s="138">
        <v>0</v>
      </c>
      <c r="L45" s="138">
        <v>0</v>
      </c>
      <c r="M45" s="138">
        <v>1</v>
      </c>
      <c r="N45" s="138">
        <v>1</v>
      </c>
      <c r="O45" s="153">
        <v>1</v>
      </c>
      <c r="P45" s="137">
        <f>VLOOKUP(A45,[1]allpride!$C$2:$V$215,14,FALSE)</f>
        <v>1</v>
      </c>
      <c r="Q45" s="137">
        <f>VLOOKUP(A45,[1]allpride!$C$2:$V$215,15,FALSE)</f>
        <v>0</v>
      </c>
      <c r="R45" s="137">
        <f>VLOOKUP(A45,[1]allpride!$C$2:$V$215,16,FALSE)</f>
        <v>0</v>
      </c>
      <c r="S45" s="137">
        <f>VLOOKUP(A45,[1]allpride!$C$2:$V$215,17,FALSE)</f>
        <v>1</v>
      </c>
      <c r="T45" s="137">
        <f>VLOOKUP(A45,[1]allpride!$C$2:$V$215,18,FALSE)</f>
        <v>2011</v>
      </c>
      <c r="U45" s="137">
        <f>VLOOKUP(A45,[1]allpride!$C$2:$V$215,19,FALSE)</f>
        <v>10</v>
      </c>
      <c r="V45" s="137">
        <f>VLOOKUP(A45,[1]allpride!$C$2:$V$215,20,FALSE)</f>
        <v>7</v>
      </c>
      <c r="W45" s="137">
        <f>VLOOKUP(B45,'[2]pride covariates'!$A$2:$B$33,2,FALSE)</f>
        <v>1</v>
      </c>
      <c r="X45" s="137">
        <v>1</v>
      </c>
      <c r="Y45" s="137">
        <v>0</v>
      </c>
      <c r="Z45" s="117" t="str">
        <f t="shared" si="3"/>
        <v>/* ELI-462 */ 01010011 1 1 1 0 0 7 1;</v>
      </c>
      <c r="AA45" s="137" t="str">
        <f t="shared" si="1"/>
        <v>01010011</v>
      </c>
      <c r="AB45" s="137" t="str">
        <f t="shared" si="2"/>
        <v>/*ELI-462*/ 01010011 1;</v>
      </c>
    </row>
    <row r="46" spans="1:28" x14ac:dyDescent="0.3">
      <c r="A46" s="137" t="s">
        <v>117</v>
      </c>
      <c r="B46" s="137" t="s">
        <v>490</v>
      </c>
      <c r="C46" s="137" t="s">
        <v>116</v>
      </c>
      <c r="D46" s="138">
        <v>0</v>
      </c>
      <c r="E46" s="138">
        <v>0</v>
      </c>
      <c r="F46" s="138">
        <v>0</v>
      </c>
      <c r="G46" s="138">
        <v>0</v>
      </c>
      <c r="H46" s="140">
        <v>1</v>
      </c>
      <c r="I46" s="140">
        <v>1</v>
      </c>
      <c r="J46" s="138">
        <v>1</v>
      </c>
      <c r="K46" s="138">
        <v>1</v>
      </c>
      <c r="L46" s="138">
        <v>1</v>
      </c>
      <c r="M46" s="138">
        <v>1</v>
      </c>
      <c r="N46" s="138">
        <v>1</v>
      </c>
      <c r="O46" s="138">
        <v>0</v>
      </c>
      <c r="P46" s="137">
        <f>VLOOKUP(A46,[1]allpride!$C$2:$V$215,14,FALSE)</f>
        <v>1</v>
      </c>
      <c r="Q46" s="137">
        <f>VLOOKUP(A46,[1]allpride!$C$2:$V$215,15,FALSE)</f>
        <v>0</v>
      </c>
      <c r="R46" s="137">
        <f>VLOOKUP(A46,[1]allpride!$C$2:$V$215,16,FALSE)</f>
        <v>0</v>
      </c>
      <c r="S46" s="137">
        <f>VLOOKUP(A46,[1]allpride!$C$2:$V$215,17,FALSE)</f>
        <v>1</v>
      </c>
      <c r="T46" s="137">
        <f>VLOOKUP(A46,[1]allpride!$C$2:$V$215,18,FALSE)</f>
        <v>2010</v>
      </c>
      <c r="U46" s="137">
        <f>VLOOKUP(A46,[1]allpride!$C$2:$V$215,19,FALSE)</f>
        <v>10</v>
      </c>
      <c r="V46" s="137">
        <f>VLOOKUP(A46,[1]allpride!$C$2:$V$215,20,FALSE)</f>
        <v>0</v>
      </c>
      <c r="W46" s="137">
        <f>VLOOKUP(B46,'[2]pride covariates'!$A$2:$B$33,2,FALSE)</f>
        <v>1</v>
      </c>
      <c r="X46" s="137">
        <v>1</v>
      </c>
      <c r="Y46" s="137">
        <v>0</v>
      </c>
      <c r="Z46" s="117" t="str">
        <f t="shared" si="3"/>
        <v>/* ELI-378 */ 01111111 1 1 1 0 0 0 1;</v>
      </c>
      <c r="AA46" s="137" t="str">
        <f t="shared" si="1"/>
        <v>01111111</v>
      </c>
      <c r="AB46" s="137" t="str">
        <f t="shared" si="2"/>
        <v>/*ELI-378*/ 01111111 1;</v>
      </c>
    </row>
    <row r="47" spans="1:28" x14ac:dyDescent="0.3">
      <c r="A47" s="137" t="s">
        <v>119</v>
      </c>
      <c r="B47" s="137" t="s">
        <v>490</v>
      </c>
      <c r="C47" s="137" t="s">
        <v>118</v>
      </c>
      <c r="D47" s="138">
        <v>0</v>
      </c>
      <c r="E47" s="138">
        <v>0</v>
      </c>
      <c r="F47" s="138">
        <v>0</v>
      </c>
      <c r="G47" s="138">
        <v>0</v>
      </c>
      <c r="H47" s="140">
        <v>0</v>
      </c>
      <c r="I47" s="140">
        <v>0</v>
      </c>
      <c r="J47" s="138">
        <v>1</v>
      </c>
      <c r="K47" s="138">
        <v>0</v>
      </c>
      <c r="L47" s="138">
        <v>0</v>
      </c>
      <c r="M47" s="138">
        <v>1</v>
      </c>
      <c r="N47" s="138">
        <v>1</v>
      </c>
      <c r="O47" s="138">
        <v>0</v>
      </c>
      <c r="P47" s="137">
        <f>VLOOKUP(A47,[1]allpride!$C$2:$V$215,14,FALSE)</f>
        <v>1</v>
      </c>
      <c r="Q47" s="137">
        <f>VLOOKUP(A47,[1]allpride!$C$2:$V$215,15,FALSE)</f>
        <v>0</v>
      </c>
      <c r="R47" s="137">
        <f>VLOOKUP(A47,[1]allpride!$C$2:$V$215,16,FALSE)</f>
        <v>0</v>
      </c>
      <c r="S47" s="137">
        <f>VLOOKUP(A47,[1]allpride!$C$2:$V$215,17,FALSE)</f>
        <v>1</v>
      </c>
      <c r="T47" s="137">
        <f>VLOOKUP(A47,[1]allpride!$C$2:$V$215,18,FALSE)</f>
        <v>2012</v>
      </c>
      <c r="U47" s="137">
        <f>VLOOKUP(A47,[1]allpride!$C$2:$V$215,19,FALSE)</f>
        <v>9</v>
      </c>
      <c r="V47" s="137">
        <f>VLOOKUP(A47,[1]allpride!$C$2:$V$215,20,FALSE)</f>
        <v>0</v>
      </c>
      <c r="W47" s="137">
        <f>VLOOKUP(B47,'[2]pride covariates'!$A$2:$B$33,2,FALSE)</f>
        <v>1</v>
      </c>
      <c r="X47" s="137">
        <v>1</v>
      </c>
      <c r="Y47" s="137">
        <v>0</v>
      </c>
      <c r="Z47" s="117" t="str">
        <f t="shared" si="3"/>
        <v>/* ELI-463 */ 00010011 1 1 1 0 0 0 1;</v>
      </c>
      <c r="AA47" s="137" t="str">
        <f t="shared" si="1"/>
        <v>00010011</v>
      </c>
      <c r="AB47" s="137" t="str">
        <f t="shared" si="2"/>
        <v>/*ELI-463*/ 00010011 1;</v>
      </c>
    </row>
    <row r="48" spans="1:28" x14ac:dyDescent="0.3">
      <c r="A48" s="137" t="s">
        <v>131</v>
      </c>
      <c r="B48" s="137" t="s">
        <v>490</v>
      </c>
      <c r="C48" s="137" t="s">
        <v>130</v>
      </c>
      <c r="D48" s="138">
        <v>0</v>
      </c>
      <c r="E48" s="138">
        <v>0</v>
      </c>
      <c r="F48" s="138">
        <v>0</v>
      </c>
      <c r="G48" s="138">
        <v>1</v>
      </c>
      <c r="H48" s="140">
        <v>0</v>
      </c>
      <c r="I48" s="140">
        <v>1</v>
      </c>
      <c r="J48" s="138">
        <v>1</v>
      </c>
      <c r="K48" s="138">
        <v>1</v>
      </c>
      <c r="L48" s="138">
        <v>1</v>
      </c>
      <c r="M48" s="138">
        <v>0</v>
      </c>
      <c r="N48" s="138">
        <v>1</v>
      </c>
      <c r="O48" s="138">
        <v>1</v>
      </c>
      <c r="P48" s="137">
        <f>VLOOKUP(A48,[1]allpride!$C$2:$V$215,14,FALSE)</f>
        <v>1</v>
      </c>
      <c r="Q48" s="137">
        <f>VLOOKUP(A48,[1]allpride!$C$2:$V$215,15,FALSE)</f>
        <v>1</v>
      </c>
      <c r="R48" s="137">
        <f>VLOOKUP(A48,[1]allpride!$C$2:$V$215,16,FALSE)</f>
        <v>0</v>
      </c>
      <c r="S48" s="137">
        <f>VLOOKUP(A48,[1]allpride!$C$2:$V$215,17,FALSE)</f>
        <v>1</v>
      </c>
      <c r="T48" s="137">
        <f>VLOOKUP(A48,[1]allpride!$C$2:$V$215,18,FALSE)</f>
        <v>2012</v>
      </c>
      <c r="U48" s="137">
        <f>VLOOKUP(A48,[1]allpride!$C$2:$V$215,19,FALSE)</f>
        <v>9</v>
      </c>
      <c r="V48" s="137">
        <f>VLOOKUP(A48,[1]allpride!$C$2:$V$215,20,FALSE)</f>
        <v>0</v>
      </c>
      <c r="W48" s="137">
        <f>VLOOKUP(B48,'[2]pride covariates'!$A$2:$B$33,2,FALSE)</f>
        <v>1</v>
      </c>
      <c r="X48" s="137">
        <v>1</v>
      </c>
      <c r="Y48" s="137">
        <v>1</v>
      </c>
      <c r="Z48" s="117" t="str">
        <f t="shared" si="3"/>
        <v>/* ELI-464 */ 10111101 1 1 1 0 1 0 1;</v>
      </c>
      <c r="AA48" s="137" t="str">
        <f t="shared" si="1"/>
        <v>10111101</v>
      </c>
      <c r="AB48" s="137" t="str">
        <f t="shared" si="2"/>
        <v>/*ELI-464*/ 10111101 1;</v>
      </c>
    </row>
    <row r="49" spans="1:28" x14ac:dyDescent="0.3">
      <c r="A49" s="137" t="s">
        <v>133</v>
      </c>
      <c r="B49" s="137" t="s">
        <v>490</v>
      </c>
      <c r="C49" s="137" t="s">
        <v>132</v>
      </c>
      <c r="D49" s="138">
        <v>0</v>
      </c>
      <c r="E49" s="138">
        <v>0</v>
      </c>
      <c r="F49" s="138">
        <v>0</v>
      </c>
      <c r="G49" s="138">
        <v>0</v>
      </c>
      <c r="H49" s="140">
        <v>0</v>
      </c>
      <c r="I49" s="140">
        <v>1</v>
      </c>
      <c r="J49" s="138">
        <v>1</v>
      </c>
      <c r="K49" s="138">
        <v>0</v>
      </c>
      <c r="L49" s="138">
        <v>1</v>
      </c>
      <c r="M49" s="138">
        <v>0</v>
      </c>
      <c r="N49" s="138">
        <v>1</v>
      </c>
      <c r="O49" s="138">
        <v>0</v>
      </c>
      <c r="P49" s="137">
        <f>VLOOKUP(A49,[1]allpride!$C$2:$V$215,14,FALSE)</f>
        <v>1</v>
      </c>
      <c r="Q49" s="137">
        <f>VLOOKUP(A49,[1]allpride!$C$2:$V$215,15,FALSE)</f>
        <v>1</v>
      </c>
      <c r="R49" s="137">
        <f>VLOOKUP(A49,[1]allpride!$C$2:$V$215,16,FALSE)</f>
        <v>0</v>
      </c>
      <c r="S49" s="137">
        <f>VLOOKUP(A49,[1]allpride!$C$2:$V$215,17,FALSE)</f>
        <v>1</v>
      </c>
      <c r="T49" s="137">
        <f>VLOOKUP(A49,[1]allpride!$C$2:$V$215,18,FALSE)</f>
        <v>2012</v>
      </c>
      <c r="U49" s="137">
        <f>VLOOKUP(A49,[1]allpride!$C$2:$V$215,19,FALSE)</f>
        <v>11</v>
      </c>
      <c r="V49" s="137">
        <f>VLOOKUP(A49,[1]allpride!$C$2:$V$215,20,FALSE)</f>
        <v>0</v>
      </c>
      <c r="W49" s="137">
        <f>VLOOKUP(B49,'[2]pride covariates'!$A$2:$B$33,2,FALSE)</f>
        <v>1</v>
      </c>
      <c r="X49" s="137">
        <v>1</v>
      </c>
      <c r="Y49" s="137">
        <v>1</v>
      </c>
      <c r="Z49" s="117" t="str">
        <f t="shared" si="3"/>
        <v>/* ELI-553 */ 00110101 1 1 1 0 1 0 1;</v>
      </c>
      <c r="AA49" s="137" t="str">
        <f t="shared" si="1"/>
        <v>00110101</v>
      </c>
      <c r="AB49" s="137" t="str">
        <f t="shared" si="2"/>
        <v>/*ELI-553*/ 00110101 1;</v>
      </c>
    </row>
    <row r="50" spans="1:28" x14ac:dyDescent="0.3">
      <c r="A50" s="137" t="s">
        <v>347</v>
      </c>
      <c r="B50" s="137" t="s">
        <v>490</v>
      </c>
      <c r="C50" s="137" t="s">
        <v>491</v>
      </c>
      <c r="D50" s="138">
        <v>0</v>
      </c>
      <c r="E50" s="138">
        <v>0</v>
      </c>
      <c r="F50" s="138">
        <v>0</v>
      </c>
      <c r="G50" s="138">
        <v>1</v>
      </c>
      <c r="H50" s="140">
        <v>0</v>
      </c>
      <c r="I50" s="140">
        <v>1</v>
      </c>
      <c r="J50" s="138">
        <v>1</v>
      </c>
      <c r="K50" s="138">
        <v>0</v>
      </c>
      <c r="L50" s="138">
        <v>1</v>
      </c>
      <c r="M50" s="138">
        <v>0</v>
      </c>
      <c r="N50" s="138">
        <v>1</v>
      </c>
      <c r="O50" s="153">
        <v>1</v>
      </c>
      <c r="P50" s="137">
        <f>VLOOKUP(A50,[1]allpride!$C$2:$V$215,14,FALSE)</f>
        <v>1</v>
      </c>
      <c r="Q50" s="137">
        <f>VLOOKUP(A50,[1]allpride!$C$2:$V$215,15,FALSE)</f>
        <v>0</v>
      </c>
      <c r="R50" s="137">
        <f>VLOOKUP(A50,[1]allpride!$C$2:$V$215,16,FALSE)</f>
        <v>0</v>
      </c>
      <c r="S50" s="137">
        <f>VLOOKUP(A50,[1]allpride!$C$2:$V$215,17,FALSE)</f>
        <v>1</v>
      </c>
      <c r="T50" s="137">
        <f>VLOOKUP(A50,[1]allpride!$C$2:$V$215,18,FALSE)</f>
        <v>2013</v>
      </c>
      <c r="U50" s="137">
        <f>VLOOKUP(A50,[1]allpride!$C$2:$V$215,19,FALSE)</f>
        <v>5</v>
      </c>
      <c r="V50" s="137">
        <f>VLOOKUP(A50,[1]allpride!$C$2:$V$215,20,FALSE)</f>
        <v>0</v>
      </c>
      <c r="W50" s="137">
        <f>VLOOKUP(B50,'[2]pride covariates'!$A$2:$B$33,2,FALSE)</f>
        <v>1</v>
      </c>
      <c r="X50" s="137">
        <v>1</v>
      </c>
      <c r="Y50" s="137">
        <v>0</v>
      </c>
      <c r="Z50" s="117" t="str">
        <f t="shared" si="3"/>
        <v>/* ELI-589 */ 10110101 1 1 1 0 0 0 1;</v>
      </c>
      <c r="AA50" s="137" t="str">
        <f t="shared" si="1"/>
        <v>10110101</v>
      </c>
      <c r="AB50" s="137" t="str">
        <f t="shared" si="2"/>
        <v>/*ELI-589*/ 10110101 1;</v>
      </c>
    </row>
    <row r="51" spans="1:28" x14ac:dyDescent="0.3">
      <c r="A51" s="137" t="s">
        <v>352</v>
      </c>
      <c r="B51" s="137" t="s">
        <v>490</v>
      </c>
      <c r="C51" s="137" t="s">
        <v>492</v>
      </c>
      <c r="D51" s="138">
        <v>0</v>
      </c>
      <c r="E51" s="138">
        <v>0</v>
      </c>
      <c r="F51" s="138">
        <v>0</v>
      </c>
      <c r="G51" s="138">
        <v>0</v>
      </c>
      <c r="H51" s="140">
        <v>0</v>
      </c>
      <c r="I51" s="140">
        <v>0</v>
      </c>
      <c r="J51" s="138">
        <v>1</v>
      </c>
      <c r="K51" s="138">
        <v>1</v>
      </c>
      <c r="L51" s="138">
        <v>1</v>
      </c>
      <c r="M51" s="138">
        <v>1</v>
      </c>
      <c r="N51" s="138">
        <v>1</v>
      </c>
      <c r="O51" s="153">
        <v>1</v>
      </c>
      <c r="P51" s="137">
        <v>1</v>
      </c>
      <c r="Q51" s="137">
        <v>1</v>
      </c>
      <c r="R51" s="137">
        <v>0</v>
      </c>
      <c r="S51" s="137">
        <v>1</v>
      </c>
      <c r="T51" s="137">
        <v>2014</v>
      </c>
      <c r="U51" s="137">
        <v>7</v>
      </c>
      <c r="V51" s="137">
        <v>0</v>
      </c>
      <c r="W51" s="137">
        <f>VLOOKUP(B51,'[2]pride covariates'!$A$2:$B$33,2,FALSE)</f>
        <v>1</v>
      </c>
      <c r="X51" s="137">
        <v>1</v>
      </c>
      <c r="Y51" s="137">
        <v>1</v>
      </c>
      <c r="Z51" s="117" t="str">
        <f t="shared" si="3"/>
        <v>/* ELI-713 */ 00011111 1 1 1 0 1 0 1;</v>
      </c>
      <c r="AA51" s="137" t="str">
        <f t="shared" si="1"/>
        <v>00011111</v>
      </c>
      <c r="AB51" s="137" t="str">
        <f t="shared" si="2"/>
        <v>/*ELI-713*/ 00011111 1;</v>
      </c>
    </row>
    <row r="52" spans="1:28" x14ac:dyDescent="0.3">
      <c r="A52" s="137" t="s">
        <v>353</v>
      </c>
      <c r="B52" s="137" t="s">
        <v>490</v>
      </c>
      <c r="C52" s="137" t="s">
        <v>493</v>
      </c>
      <c r="D52" s="138">
        <v>0</v>
      </c>
      <c r="E52" s="138">
        <v>0</v>
      </c>
      <c r="F52" s="138">
        <v>0</v>
      </c>
      <c r="G52" s="138">
        <v>0</v>
      </c>
      <c r="H52" s="140">
        <v>0</v>
      </c>
      <c r="I52" s="140">
        <v>0</v>
      </c>
      <c r="J52" s="138">
        <v>1</v>
      </c>
      <c r="K52" s="138">
        <v>1</v>
      </c>
      <c r="L52" s="138">
        <v>1</v>
      </c>
      <c r="M52" s="138">
        <v>1</v>
      </c>
      <c r="N52" s="138">
        <v>1</v>
      </c>
      <c r="O52" s="153">
        <v>1</v>
      </c>
      <c r="P52" s="137">
        <v>1</v>
      </c>
      <c r="Q52" s="137">
        <v>0</v>
      </c>
      <c r="R52" s="137">
        <v>0</v>
      </c>
      <c r="S52" s="137">
        <v>1</v>
      </c>
      <c r="T52" s="137">
        <v>2014</v>
      </c>
      <c r="U52" s="137">
        <v>7</v>
      </c>
      <c r="V52" s="137">
        <v>0</v>
      </c>
      <c r="W52" s="137">
        <f>VLOOKUP(B52,'[2]pride covariates'!$A$2:$B$33,2,FALSE)</f>
        <v>1</v>
      </c>
      <c r="X52" s="137">
        <v>1</v>
      </c>
      <c r="Y52" s="137">
        <v>0</v>
      </c>
      <c r="Z52" s="117" t="str">
        <f t="shared" si="3"/>
        <v>/* ELI-714 */ 00011111 1 1 1 0 0 0 1;</v>
      </c>
      <c r="AA52" s="137" t="str">
        <f t="shared" si="1"/>
        <v>00011111</v>
      </c>
      <c r="AB52" s="137" t="str">
        <f t="shared" si="2"/>
        <v>/*ELI-714*/ 00011111 1;</v>
      </c>
    </row>
    <row r="53" spans="1:28" x14ac:dyDescent="0.3">
      <c r="A53" s="137" t="s">
        <v>354</v>
      </c>
      <c r="B53" s="137" t="s">
        <v>490</v>
      </c>
      <c r="C53" s="137" t="s">
        <v>494</v>
      </c>
      <c r="D53" s="138">
        <v>0</v>
      </c>
      <c r="E53" s="138">
        <v>0</v>
      </c>
      <c r="F53" s="138">
        <v>0</v>
      </c>
      <c r="G53" s="138">
        <v>0</v>
      </c>
      <c r="H53" s="140">
        <v>0</v>
      </c>
      <c r="I53" s="140">
        <v>0</v>
      </c>
      <c r="J53" s="138">
        <v>1</v>
      </c>
      <c r="K53" s="138">
        <v>0</v>
      </c>
      <c r="L53" s="138">
        <v>1</v>
      </c>
      <c r="M53" s="138">
        <v>1</v>
      </c>
      <c r="N53" s="138">
        <v>1</v>
      </c>
      <c r="O53" s="153">
        <v>1</v>
      </c>
      <c r="P53" s="137">
        <v>1</v>
      </c>
      <c r="Q53" s="137">
        <v>1</v>
      </c>
      <c r="R53" s="137">
        <v>1</v>
      </c>
      <c r="S53" s="137">
        <v>1</v>
      </c>
      <c r="T53" s="137">
        <v>2014</v>
      </c>
      <c r="U53" s="137">
        <v>7</v>
      </c>
      <c r="V53" s="137">
        <v>0</v>
      </c>
      <c r="W53" s="137">
        <f>VLOOKUP(B53,'[2]pride covariates'!$A$2:$B$33,2,FALSE)</f>
        <v>1</v>
      </c>
      <c r="X53" s="137">
        <v>1</v>
      </c>
      <c r="Y53" s="137">
        <v>1</v>
      </c>
      <c r="Z53" s="117" t="str">
        <f t="shared" si="3"/>
        <v>/* ELI-715 */ 00010111 1 1 1 1 1 0 1;</v>
      </c>
      <c r="AA53" s="137" t="str">
        <f t="shared" si="1"/>
        <v>00010111</v>
      </c>
      <c r="AB53" s="137" t="str">
        <f t="shared" si="2"/>
        <v>/*ELI-715*/ 00010111 1;</v>
      </c>
    </row>
    <row r="54" spans="1:28" x14ac:dyDescent="0.3">
      <c r="A54" s="137" t="s">
        <v>355</v>
      </c>
      <c r="B54" s="137" t="s">
        <v>490</v>
      </c>
      <c r="C54" s="137" t="s">
        <v>495</v>
      </c>
      <c r="D54" s="138">
        <v>0</v>
      </c>
      <c r="E54" s="138">
        <v>0</v>
      </c>
      <c r="F54" s="138">
        <v>0</v>
      </c>
      <c r="G54" s="138">
        <v>0</v>
      </c>
      <c r="H54" s="140">
        <v>0</v>
      </c>
      <c r="I54" s="140">
        <v>0</v>
      </c>
      <c r="J54" s="138">
        <v>1</v>
      </c>
      <c r="K54" s="138">
        <v>1</v>
      </c>
      <c r="L54" s="138">
        <v>1</v>
      </c>
      <c r="M54" s="138">
        <v>1</v>
      </c>
      <c r="N54" s="138">
        <v>1</v>
      </c>
      <c r="O54" s="153">
        <v>1</v>
      </c>
      <c r="P54" s="137">
        <v>1</v>
      </c>
      <c r="Q54" s="137">
        <v>1</v>
      </c>
      <c r="R54" s="137">
        <v>0</v>
      </c>
      <c r="S54" s="137">
        <v>1</v>
      </c>
      <c r="T54" s="137">
        <v>2014</v>
      </c>
      <c r="U54" s="137">
        <v>7</v>
      </c>
      <c r="V54" s="137">
        <v>0</v>
      </c>
      <c r="W54" s="137">
        <f>VLOOKUP(B54,'[2]pride covariates'!$A$2:$B$33,2,FALSE)</f>
        <v>1</v>
      </c>
      <c r="X54" s="137">
        <v>1</v>
      </c>
      <c r="Y54" s="137">
        <v>1</v>
      </c>
      <c r="Z54" s="117" t="str">
        <f t="shared" si="3"/>
        <v>/* ELI-716 */ 00011111 1 1 1 0 1 0 1;</v>
      </c>
      <c r="AA54" s="137" t="str">
        <f t="shared" si="1"/>
        <v>00011111</v>
      </c>
      <c r="AB54" s="137" t="str">
        <f t="shared" si="2"/>
        <v>/*ELI-716*/ 00011111 1;</v>
      </c>
    </row>
    <row r="55" spans="1:28" x14ac:dyDescent="0.3">
      <c r="A55" s="137" t="s">
        <v>356</v>
      </c>
      <c r="B55" s="137" t="s">
        <v>490</v>
      </c>
      <c r="C55" s="137" t="s">
        <v>496</v>
      </c>
      <c r="D55" s="138">
        <v>0</v>
      </c>
      <c r="E55" s="138">
        <v>0</v>
      </c>
      <c r="F55" s="138">
        <v>0</v>
      </c>
      <c r="G55" s="138">
        <v>0</v>
      </c>
      <c r="H55" s="140">
        <v>0</v>
      </c>
      <c r="I55" s="140">
        <v>0</v>
      </c>
      <c r="J55" s="138">
        <v>1</v>
      </c>
      <c r="K55" s="138">
        <v>0</v>
      </c>
      <c r="L55" s="138">
        <v>1</v>
      </c>
      <c r="M55" s="138">
        <v>1</v>
      </c>
      <c r="N55" s="138">
        <v>1</v>
      </c>
      <c r="O55" s="138">
        <v>0</v>
      </c>
      <c r="P55" s="137">
        <v>1</v>
      </c>
      <c r="Q55" s="137">
        <v>1</v>
      </c>
      <c r="R55" s="137">
        <v>0</v>
      </c>
      <c r="S55" s="137">
        <v>1</v>
      </c>
      <c r="T55" s="137">
        <v>2014</v>
      </c>
      <c r="U55" s="137">
        <v>7</v>
      </c>
      <c r="V55" s="137">
        <v>0</v>
      </c>
      <c r="W55" s="137">
        <f>VLOOKUP(B55,'[2]pride covariates'!$A$2:$B$33,2,FALSE)</f>
        <v>1</v>
      </c>
      <c r="X55" s="137">
        <v>1</v>
      </c>
      <c r="Y55" s="137">
        <v>1</v>
      </c>
      <c r="Z55" s="117" t="str">
        <f t="shared" si="3"/>
        <v>/* ELI-717 */ 00010111 1 1 1 0 1 0 1;</v>
      </c>
      <c r="AA55" s="137" t="str">
        <f t="shared" si="1"/>
        <v>00010111</v>
      </c>
      <c r="AB55" s="137" t="str">
        <f t="shared" si="2"/>
        <v>/*ELI-717*/ 00010111 1;</v>
      </c>
    </row>
    <row r="56" spans="1:28" x14ac:dyDescent="0.3">
      <c r="A56" s="137" t="s">
        <v>357</v>
      </c>
      <c r="B56" s="137" t="s">
        <v>490</v>
      </c>
      <c r="C56" s="137" t="s">
        <v>497</v>
      </c>
      <c r="D56" s="138">
        <v>0</v>
      </c>
      <c r="E56" s="138">
        <v>0</v>
      </c>
      <c r="F56" s="138">
        <v>0</v>
      </c>
      <c r="G56" s="138">
        <v>0</v>
      </c>
      <c r="H56" s="140">
        <v>0</v>
      </c>
      <c r="I56" s="140">
        <v>0</v>
      </c>
      <c r="J56" s="138">
        <v>1</v>
      </c>
      <c r="K56" s="138">
        <v>0</v>
      </c>
      <c r="L56" s="138">
        <v>1</v>
      </c>
      <c r="M56" s="138">
        <v>1</v>
      </c>
      <c r="N56" s="138">
        <v>1</v>
      </c>
      <c r="O56" s="138">
        <v>0</v>
      </c>
      <c r="P56" s="137">
        <v>1</v>
      </c>
      <c r="Q56" s="137">
        <v>1</v>
      </c>
      <c r="R56" s="137">
        <v>0</v>
      </c>
      <c r="S56" s="137">
        <v>1</v>
      </c>
      <c r="T56" s="137">
        <v>2014</v>
      </c>
      <c r="U56" s="137">
        <v>7</v>
      </c>
      <c r="V56" s="137">
        <v>0</v>
      </c>
      <c r="W56" s="137">
        <f>VLOOKUP(B56,'[2]pride covariates'!$A$2:$B$33,2,FALSE)</f>
        <v>1</v>
      </c>
      <c r="X56" s="137">
        <v>1</v>
      </c>
      <c r="Y56" s="137">
        <v>1</v>
      </c>
      <c r="Z56" s="117" t="str">
        <f t="shared" si="3"/>
        <v>/* ELI-718 */ 00010111 1 1 1 0 1 0 1;</v>
      </c>
      <c r="AA56" s="137" t="str">
        <f t="shared" si="1"/>
        <v>00010111</v>
      </c>
      <c r="AB56" s="137" t="str">
        <f t="shared" si="2"/>
        <v>/*ELI-718*/ 00010111 1;</v>
      </c>
    </row>
    <row r="57" spans="1:28" x14ac:dyDescent="0.3">
      <c r="A57" s="137" t="s">
        <v>358</v>
      </c>
      <c r="B57" s="137" t="s">
        <v>490</v>
      </c>
      <c r="C57" s="137" t="s">
        <v>498</v>
      </c>
      <c r="D57" s="138">
        <v>0</v>
      </c>
      <c r="E57" s="138">
        <v>0</v>
      </c>
      <c r="F57" s="138">
        <v>0</v>
      </c>
      <c r="G57" s="138">
        <v>0</v>
      </c>
      <c r="H57" s="140">
        <v>0</v>
      </c>
      <c r="I57" s="140">
        <v>0</v>
      </c>
      <c r="J57" s="138">
        <v>0</v>
      </c>
      <c r="K57" s="138">
        <v>0</v>
      </c>
      <c r="L57" s="138">
        <v>1</v>
      </c>
      <c r="M57" s="138">
        <v>1</v>
      </c>
      <c r="N57" s="138">
        <v>1</v>
      </c>
      <c r="O57" s="153">
        <v>1</v>
      </c>
      <c r="P57" s="137">
        <v>1</v>
      </c>
      <c r="Q57" s="137">
        <v>1</v>
      </c>
      <c r="R57" s="137">
        <v>0</v>
      </c>
      <c r="S57" s="137">
        <v>1</v>
      </c>
      <c r="T57" s="137">
        <v>2014</v>
      </c>
      <c r="U57" s="137">
        <v>7</v>
      </c>
      <c r="V57" s="137">
        <v>0</v>
      </c>
      <c r="W57" s="137">
        <f>VLOOKUP(B57,'[2]pride covariates'!$A$2:$B$33,2,FALSE)</f>
        <v>1</v>
      </c>
      <c r="X57" s="137">
        <v>1</v>
      </c>
      <c r="Y57" s="137">
        <v>1</v>
      </c>
      <c r="Z57" s="117" t="str">
        <f t="shared" si="3"/>
        <v>/* ELI-719 */ 00000111 1 1 1 0 1 0 1;</v>
      </c>
      <c r="AA57" s="137" t="str">
        <f t="shared" si="1"/>
        <v>00000111</v>
      </c>
      <c r="AB57" s="137" t="str">
        <f t="shared" si="2"/>
        <v>/*ELI-719*/ 00000111 1;</v>
      </c>
    </row>
    <row r="58" spans="1:28" x14ac:dyDescent="0.3">
      <c r="A58" s="137" t="s">
        <v>578</v>
      </c>
      <c r="B58" s="137" t="s">
        <v>490</v>
      </c>
      <c r="C58" s="137" t="s">
        <v>553</v>
      </c>
      <c r="D58" s="138">
        <v>0</v>
      </c>
      <c r="E58" s="138">
        <v>0</v>
      </c>
      <c r="F58" s="138">
        <v>0</v>
      </c>
      <c r="G58" s="138">
        <v>0</v>
      </c>
      <c r="H58" s="140">
        <v>0</v>
      </c>
      <c r="I58" s="140">
        <v>0</v>
      </c>
      <c r="J58" s="138">
        <v>0</v>
      </c>
      <c r="K58" s="138">
        <v>0</v>
      </c>
      <c r="L58" s="138">
        <v>0</v>
      </c>
      <c r="M58" s="138">
        <v>1</v>
      </c>
      <c r="N58" s="138">
        <v>0</v>
      </c>
      <c r="O58" s="138">
        <v>0</v>
      </c>
      <c r="P58" s="143">
        <v>0</v>
      </c>
      <c r="Q58" s="137" t="s">
        <v>580</v>
      </c>
      <c r="R58" s="143">
        <v>1</v>
      </c>
      <c r="S58" s="143">
        <v>1</v>
      </c>
      <c r="T58" s="143">
        <v>2014</v>
      </c>
      <c r="U58" s="143">
        <v>10</v>
      </c>
      <c r="V58" s="143">
        <v>0</v>
      </c>
      <c r="W58" s="137">
        <f>VLOOKUP(B58,'[2]pride covariates'!$A$2:$B$33,2,FALSE)</f>
        <v>1</v>
      </c>
      <c r="X58" s="137">
        <v>1</v>
      </c>
      <c r="Y58" s="137">
        <v>0</v>
      </c>
      <c r="Z58" s="117" t="str">
        <f t="shared" si="3"/>
        <v>/* ELI-698 */ 00000010 1 0 1 1 0 0 1;</v>
      </c>
      <c r="AA58" s="137" t="str">
        <f t="shared" si="1"/>
        <v>00000010</v>
      </c>
      <c r="AB58" s="137" t="str">
        <f t="shared" si="2"/>
        <v>/*ELI-698*/ 00000010 1;</v>
      </c>
    </row>
    <row r="59" spans="1:28" x14ac:dyDescent="0.3">
      <c r="A59" s="137" t="s">
        <v>135</v>
      </c>
      <c r="B59" t="s">
        <v>413</v>
      </c>
      <c r="C59" s="137" t="s">
        <v>134</v>
      </c>
      <c r="D59" s="162">
        <v>1</v>
      </c>
      <c r="E59" s="162">
        <v>1</v>
      </c>
      <c r="F59" s="138">
        <v>0</v>
      </c>
      <c r="G59" s="162">
        <v>1</v>
      </c>
      <c r="H59" s="140">
        <v>0</v>
      </c>
      <c r="I59" s="140">
        <v>0</v>
      </c>
      <c r="J59" s="162">
        <v>1</v>
      </c>
      <c r="K59" s="162">
        <v>1</v>
      </c>
      <c r="L59" s="162">
        <v>1</v>
      </c>
      <c r="M59" s="138">
        <v>1</v>
      </c>
      <c r="N59" s="138">
        <v>1</v>
      </c>
      <c r="O59" s="138">
        <v>0</v>
      </c>
      <c r="P59" s="137">
        <f>VLOOKUP(A59,[1]allpride!$C$2:$V$215,14,FALSE)</f>
        <v>1</v>
      </c>
      <c r="Q59" s="137">
        <f>VLOOKUP(A59,[1]allpride!$C$2:$V$215,15,FALSE)</f>
        <v>0</v>
      </c>
      <c r="R59" s="137">
        <f>VLOOKUP(A59,[1]allpride!$C$2:$V$215,16,FALSE)</f>
        <v>0</v>
      </c>
      <c r="S59" s="137">
        <f>VLOOKUP(A59,[1]allpride!$C$2:$V$215,17,FALSE)</f>
        <v>1</v>
      </c>
      <c r="T59" s="137">
        <f>VLOOKUP(A59,[1]allpride!$C$2:$V$215,18,FALSE)</f>
        <v>2009</v>
      </c>
      <c r="U59" s="137">
        <f>VLOOKUP(A59,[1]allpride!$C$2:$V$215,19,FALSE)</f>
        <v>8</v>
      </c>
      <c r="V59" s="137">
        <f>VLOOKUP(A59,[1]allpride!$C$2:$V$215,20,FALSE)</f>
        <v>2</v>
      </c>
      <c r="W59" s="137">
        <f>VLOOKUP(B59,'[2]pride covariates'!$A$2:$B$33,2,FALSE)</f>
        <v>1</v>
      </c>
      <c r="X59" s="137">
        <v>1</v>
      </c>
      <c r="Y59" s="137">
        <v>0</v>
      </c>
      <c r="Z59" s="117" t="str">
        <f t="shared" si="3"/>
        <v>/* ELI-258 */ 10011111 1 1 1 0 0 2 1;</v>
      </c>
      <c r="AA59" s="137" t="str">
        <f t="shared" si="1"/>
        <v>10011111</v>
      </c>
      <c r="AB59" s="137" t="str">
        <f t="shared" si="2"/>
        <v>/*ELI-258*/ 10011111 1;</v>
      </c>
    </row>
    <row r="60" spans="1:28" x14ac:dyDescent="0.3">
      <c r="A60" s="137" t="s">
        <v>137</v>
      </c>
      <c r="B60" t="s">
        <v>413</v>
      </c>
      <c r="C60" s="137" t="s">
        <v>136</v>
      </c>
      <c r="D60" s="138">
        <v>0</v>
      </c>
      <c r="E60" s="138">
        <v>0</v>
      </c>
      <c r="F60" s="138">
        <v>0</v>
      </c>
      <c r="G60" s="138">
        <v>0</v>
      </c>
      <c r="H60" s="140">
        <v>0</v>
      </c>
      <c r="I60" s="140">
        <v>0</v>
      </c>
      <c r="J60" s="138">
        <v>0</v>
      </c>
      <c r="K60" s="138">
        <v>0</v>
      </c>
      <c r="L60" s="138">
        <v>0</v>
      </c>
      <c r="M60" s="138">
        <v>1</v>
      </c>
      <c r="N60" s="138">
        <v>1</v>
      </c>
      <c r="O60" s="138">
        <v>0</v>
      </c>
      <c r="P60" s="137">
        <f>VLOOKUP(A60,[1]allpride!$C$2:$V$215,14,FALSE)</f>
        <v>1</v>
      </c>
      <c r="Q60" s="137">
        <f>VLOOKUP(A60,[1]allpride!$C$2:$V$215,15,FALSE)</f>
        <v>0</v>
      </c>
      <c r="R60" s="137">
        <f>VLOOKUP(A60,[1]allpride!$C$2:$V$215,16,FALSE)</f>
        <v>0</v>
      </c>
      <c r="S60" s="137">
        <f>VLOOKUP(A60,[1]allpride!$C$2:$V$215,17,FALSE)</f>
        <v>1</v>
      </c>
      <c r="T60" s="137">
        <f>VLOOKUP(A60,[1]allpride!$C$2:$V$215,18,FALSE)</f>
        <v>2009</v>
      </c>
      <c r="U60" s="137">
        <f>VLOOKUP(A60,[1]allpride!$C$2:$V$215,19,FALSE)</f>
        <v>8</v>
      </c>
      <c r="V60" s="137">
        <f>VLOOKUP(A60,[1]allpride!$C$2:$V$215,20,FALSE)</f>
        <v>2</v>
      </c>
      <c r="W60" s="137">
        <f>VLOOKUP(B60,'[2]pride covariates'!$A$2:$B$33,2,FALSE)</f>
        <v>1</v>
      </c>
      <c r="X60" s="137">
        <v>1</v>
      </c>
      <c r="Y60" s="137">
        <v>0</v>
      </c>
      <c r="Z60" s="117" t="str">
        <f t="shared" si="3"/>
        <v>/* ELI-256 */ 00000011 1 1 1 0 0 2 1;</v>
      </c>
      <c r="AA60" s="137" t="str">
        <f t="shared" si="1"/>
        <v>00000011</v>
      </c>
      <c r="AB60" s="137" t="str">
        <f t="shared" si="2"/>
        <v>/*ELI-256*/ 00000011 1;</v>
      </c>
    </row>
    <row r="61" spans="1:28" x14ac:dyDescent="0.3">
      <c r="A61" s="137" t="s">
        <v>500</v>
      </c>
      <c r="B61" t="s">
        <v>413</v>
      </c>
      <c r="C61" s="137" t="s">
        <v>499</v>
      </c>
      <c r="D61" s="144">
        <v>0</v>
      </c>
      <c r="E61" s="144">
        <v>0</v>
      </c>
      <c r="F61" s="144">
        <v>0</v>
      </c>
      <c r="G61" s="144">
        <v>0</v>
      </c>
      <c r="H61" s="147">
        <v>0</v>
      </c>
      <c r="I61" s="147">
        <v>0</v>
      </c>
      <c r="J61" s="144">
        <v>0</v>
      </c>
      <c r="K61" s="144">
        <v>0</v>
      </c>
      <c r="L61" s="144">
        <v>0</v>
      </c>
      <c r="M61" s="144">
        <v>1</v>
      </c>
      <c r="N61" s="144">
        <v>0</v>
      </c>
      <c r="O61" s="144">
        <v>0</v>
      </c>
      <c r="P61" s="137">
        <f>VLOOKUP(A61,[1]allpride!$C$2:$V$215,14,FALSE)</f>
        <v>1</v>
      </c>
      <c r="Q61" s="137">
        <f>VLOOKUP(A61,[1]allpride!$C$2:$V$215,15,FALSE)</f>
        <v>0</v>
      </c>
      <c r="R61" s="137">
        <f>VLOOKUP(A61,[1]allpride!$C$2:$V$215,16,FALSE)</f>
        <v>1</v>
      </c>
      <c r="S61" s="137">
        <f>VLOOKUP(A61,[1]allpride!$C$2:$V$215,17,FALSE)</f>
        <v>1</v>
      </c>
      <c r="T61" s="137">
        <f>VLOOKUP(A61,[1]allpride!$C$2:$V$215,18,FALSE)</f>
        <v>2013</v>
      </c>
      <c r="U61" s="137">
        <f>VLOOKUP(A61,[1]allpride!$C$2:$V$215,19,FALSE)</f>
        <v>7</v>
      </c>
      <c r="V61" s="137">
        <f>VLOOKUP(A61,[1]allpride!$C$2:$V$215,20,FALSE)</f>
        <v>0</v>
      </c>
      <c r="W61" s="137">
        <f>VLOOKUP(B61,'[2]pride covariates'!$A$2:$B$33,2,FALSE)</f>
        <v>1</v>
      </c>
      <c r="X61" s="137">
        <v>1</v>
      </c>
      <c r="Y61" s="137">
        <v>0</v>
      </c>
      <c r="Z61" s="117" t="str">
        <f t="shared" si="3"/>
        <v>/* ELI-608 */ 00000010 1 1 1 1 0 0 1;</v>
      </c>
      <c r="AA61" s="137" t="str">
        <f t="shared" si="1"/>
        <v>00000010</v>
      </c>
      <c r="AB61" s="137" t="str">
        <f t="shared" si="2"/>
        <v>/*ELI-608*/ 00000010 1;</v>
      </c>
    </row>
    <row r="62" spans="1:28" x14ac:dyDescent="0.3">
      <c r="A62" s="137" t="s">
        <v>428</v>
      </c>
      <c r="B62" t="s">
        <v>413</v>
      </c>
      <c r="C62" s="137" t="s">
        <v>501</v>
      </c>
      <c r="D62" s="138">
        <v>0</v>
      </c>
      <c r="E62" s="138">
        <v>0</v>
      </c>
      <c r="F62" s="138">
        <v>0</v>
      </c>
      <c r="G62" s="138">
        <v>0</v>
      </c>
      <c r="H62" s="140">
        <v>0</v>
      </c>
      <c r="I62" s="140">
        <v>0</v>
      </c>
      <c r="J62" s="138">
        <v>0</v>
      </c>
      <c r="K62" s="138">
        <v>0</v>
      </c>
      <c r="L62" s="138">
        <v>0</v>
      </c>
      <c r="M62" s="138">
        <v>1</v>
      </c>
      <c r="N62" s="138">
        <v>1</v>
      </c>
      <c r="O62" s="138">
        <v>0</v>
      </c>
      <c r="P62" s="137">
        <f>VLOOKUP(A62,[1]allpride!$C$2:$V$215,14,FALSE)</f>
        <v>1</v>
      </c>
      <c r="Q62" s="137">
        <f>VLOOKUP(A62,[1]allpride!$C$2:$V$215,15,FALSE)</f>
        <v>1</v>
      </c>
      <c r="R62" s="137">
        <f>VLOOKUP(A62,[1]allpride!$C$2:$V$215,16,FALSE)</f>
        <v>0</v>
      </c>
      <c r="S62" s="137">
        <f>VLOOKUP(A62,[1]allpride!$C$2:$V$215,17,FALSE)</f>
        <v>1</v>
      </c>
      <c r="T62" s="137">
        <f>VLOOKUP(A62,[1]allpride!$C$2:$V$215,18,FALSE)</f>
        <v>2013</v>
      </c>
      <c r="U62" s="137">
        <f>VLOOKUP(A62,[1]allpride!$C$2:$V$215,19,FALSE)</f>
        <v>7</v>
      </c>
      <c r="V62" s="137">
        <f>VLOOKUP(A62,[1]allpride!$C$2:$V$215,20,FALSE)</f>
        <v>0</v>
      </c>
      <c r="W62" s="137">
        <f>VLOOKUP(B62,'[2]pride covariates'!$A$2:$B$33,2,FALSE)</f>
        <v>1</v>
      </c>
      <c r="X62" s="137">
        <v>1</v>
      </c>
      <c r="Y62" s="137">
        <v>1</v>
      </c>
      <c r="Z62" s="117" t="str">
        <f>CONCATENATE("/* ",A62," */ ",G62,H62,I62,J62,K62,L62,M62,N62," 1"," ",P62," ",S62," ",R62," ",Y62," ",V62," ",X62,";")</f>
        <v>/* ELI-609 */ 00000011 1 1 1 0 1 0 1;</v>
      </c>
      <c r="AA62" s="137" t="str">
        <f t="shared" si="1"/>
        <v>00000011</v>
      </c>
      <c r="AB62" s="137" t="str">
        <f t="shared" si="2"/>
        <v>/*ELI-609*/ 00000011 1;</v>
      </c>
    </row>
    <row r="63" spans="1:28" x14ac:dyDescent="0.3">
      <c r="A63" s="137" t="s">
        <v>429</v>
      </c>
      <c r="B63" t="s">
        <v>413</v>
      </c>
      <c r="C63" s="137" t="s">
        <v>502</v>
      </c>
      <c r="D63" s="138">
        <v>0</v>
      </c>
      <c r="E63" s="138">
        <v>0</v>
      </c>
      <c r="F63" s="138">
        <v>0</v>
      </c>
      <c r="G63" s="138">
        <v>0</v>
      </c>
      <c r="H63" s="140">
        <v>0</v>
      </c>
      <c r="I63" s="140">
        <v>0</v>
      </c>
      <c r="J63" s="138">
        <v>0</v>
      </c>
      <c r="K63" s="138">
        <v>0</v>
      </c>
      <c r="L63" s="138">
        <v>0</v>
      </c>
      <c r="M63" s="138">
        <v>1</v>
      </c>
      <c r="N63" s="138">
        <v>1</v>
      </c>
      <c r="O63" s="138">
        <v>0</v>
      </c>
      <c r="P63" s="137">
        <f>VLOOKUP(A63,[1]allpride!$C$2:$V$215,14,FALSE)</f>
        <v>1</v>
      </c>
      <c r="Q63" s="137">
        <f>VLOOKUP(A63,[1]allpride!$C$2:$V$215,15,FALSE)</f>
        <v>1</v>
      </c>
      <c r="R63" s="137">
        <f>VLOOKUP(A63,[1]allpride!$C$2:$V$215,16,FALSE)</f>
        <v>0</v>
      </c>
      <c r="S63" s="137">
        <f>VLOOKUP(A63,[1]allpride!$C$2:$V$215,17,FALSE)</f>
        <v>1</v>
      </c>
      <c r="T63" s="137">
        <f>VLOOKUP(A63,[1]allpride!$C$2:$V$215,18,FALSE)</f>
        <v>2013</v>
      </c>
      <c r="U63" s="137">
        <f>VLOOKUP(A63,[1]allpride!$C$2:$V$215,19,FALSE)</f>
        <v>7</v>
      </c>
      <c r="V63" s="137">
        <f>VLOOKUP(A63,[1]allpride!$C$2:$V$215,20,FALSE)</f>
        <v>0</v>
      </c>
      <c r="W63" s="137">
        <f>VLOOKUP(B63,'[2]pride covariates'!$A$2:$B$33,2,FALSE)</f>
        <v>1</v>
      </c>
      <c r="X63" s="137">
        <v>1</v>
      </c>
      <c r="Y63" s="137">
        <v>1</v>
      </c>
      <c r="Z63" s="117" t="str">
        <f t="shared" si="3"/>
        <v>/* ELI-611 */ 00000011 1 1 1 0 1 0 1;</v>
      </c>
      <c r="AA63" s="137" t="str">
        <f t="shared" si="1"/>
        <v>00000011</v>
      </c>
      <c r="AB63" s="137" t="str">
        <f t="shared" si="2"/>
        <v>/*ELI-611*/ 00000011 1;</v>
      </c>
    </row>
    <row r="64" spans="1:28" s="151" customFormat="1" x14ac:dyDescent="0.3">
      <c r="A64" s="151" t="s">
        <v>749</v>
      </c>
      <c r="B64" s="152" t="s">
        <v>413</v>
      </c>
      <c r="D64" s="153">
        <v>0</v>
      </c>
      <c r="E64" s="153">
        <v>0</v>
      </c>
      <c r="F64" s="153">
        <v>0</v>
      </c>
      <c r="G64" s="153">
        <v>0</v>
      </c>
      <c r="H64" s="153">
        <v>0</v>
      </c>
      <c r="I64" s="153">
        <v>0</v>
      </c>
      <c r="J64" s="153">
        <v>0</v>
      </c>
      <c r="K64" s="153">
        <v>0</v>
      </c>
      <c r="L64" s="153">
        <v>0</v>
      </c>
      <c r="M64" s="153">
        <v>1</v>
      </c>
      <c r="N64" s="153">
        <v>1</v>
      </c>
      <c r="O64" s="153">
        <v>0</v>
      </c>
      <c r="P64" s="157">
        <v>1</v>
      </c>
      <c r="Q64" s="157">
        <v>1</v>
      </c>
      <c r="R64" s="158">
        <v>0</v>
      </c>
      <c r="S64" s="158">
        <v>1</v>
      </c>
      <c r="T64" s="158">
        <v>2014</v>
      </c>
      <c r="U64" s="158">
        <v>10</v>
      </c>
      <c r="V64" s="158">
        <v>0</v>
      </c>
      <c r="W64" s="158">
        <v>1</v>
      </c>
      <c r="X64" s="158">
        <v>1</v>
      </c>
      <c r="Z64" s="152"/>
    </row>
    <row r="65" spans="1:28" x14ac:dyDescent="0.3">
      <c r="A65" s="145" t="s">
        <v>145</v>
      </c>
      <c r="B65" s="137" t="s">
        <v>430</v>
      </c>
      <c r="C65" s="145" t="s">
        <v>144</v>
      </c>
      <c r="D65" s="138">
        <v>0</v>
      </c>
      <c r="E65" s="138">
        <v>0</v>
      </c>
      <c r="F65" s="138">
        <v>0</v>
      </c>
      <c r="G65" s="138">
        <v>0</v>
      </c>
      <c r="H65" s="140">
        <v>1</v>
      </c>
      <c r="I65" s="140">
        <v>0</v>
      </c>
      <c r="J65" s="146">
        <v>0</v>
      </c>
      <c r="K65" s="146">
        <v>0</v>
      </c>
      <c r="L65" s="146">
        <v>0</v>
      </c>
      <c r="M65" s="146">
        <v>0</v>
      </c>
      <c r="N65" s="146">
        <v>0</v>
      </c>
      <c r="O65" s="146">
        <v>0</v>
      </c>
      <c r="P65" s="137">
        <f>VLOOKUP(A65,[1]allpride!$C$2:$V$215,14,FALSE)</f>
        <v>1</v>
      </c>
      <c r="Q65" s="137">
        <f>VLOOKUP(A65,[1]allpride!$C$2:$V$215,15,FALSE)</f>
        <v>0</v>
      </c>
      <c r="R65" s="137">
        <f>VLOOKUP(A65,[1]allpride!$C$2:$V$215,16,FALSE)</f>
        <v>0</v>
      </c>
      <c r="S65" s="137">
        <f>VLOOKUP(A65,[1]allpride!$C$2:$V$215,17,FALSE)</f>
        <v>1</v>
      </c>
      <c r="T65" s="137">
        <f>VLOOKUP(A65,[1]allpride!$C$2:$V$215,18,FALSE)</f>
        <v>2012</v>
      </c>
      <c r="U65" s="137">
        <f>VLOOKUP(A65,[1]allpride!$C$2:$V$215,19,FALSE)</f>
        <v>10</v>
      </c>
      <c r="V65" s="137">
        <f>VLOOKUP(A65,[1]allpride!$C$2:$V$215,20,FALSE)</f>
        <v>9</v>
      </c>
      <c r="W65" s="137">
        <f>VLOOKUP(B65,'[2]pride covariates'!$A$2:$B$33,2,FALSE)</f>
        <v>0</v>
      </c>
      <c r="X65" s="137">
        <v>0</v>
      </c>
      <c r="Y65" s="137">
        <v>0</v>
      </c>
      <c r="Z65" s="117" t="str">
        <f t="shared" si="3"/>
        <v>/* ELI-204 */ 01000000 1 1 1 0 0 9 0;</v>
      </c>
      <c r="AA65" s="137" t="str">
        <f t="shared" si="1"/>
        <v>01000000</v>
      </c>
      <c r="AB65" s="137" t="str">
        <f t="shared" si="2"/>
        <v>/*ELI-204*/ 01000000 1;</v>
      </c>
    </row>
    <row r="66" spans="1:28" x14ac:dyDescent="0.3">
      <c r="A66" s="145" t="s">
        <v>348</v>
      </c>
      <c r="B66" s="137" t="s">
        <v>430</v>
      </c>
      <c r="C66" s="145" t="s">
        <v>156</v>
      </c>
      <c r="D66" s="138">
        <v>0</v>
      </c>
      <c r="E66" s="138">
        <v>0</v>
      </c>
      <c r="F66" s="138">
        <v>0</v>
      </c>
      <c r="G66" s="138">
        <v>0</v>
      </c>
      <c r="H66" s="140">
        <v>0</v>
      </c>
      <c r="I66" s="147">
        <v>1</v>
      </c>
      <c r="J66" s="146">
        <v>0</v>
      </c>
      <c r="K66" s="146">
        <v>1</v>
      </c>
      <c r="L66" s="146">
        <v>0</v>
      </c>
      <c r="M66" s="146">
        <v>1</v>
      </c>
      <c r="N66" s="146">
        <v>0</v>
      </c>
      <c r="O66" s="146">
        <v>0</v>
      </c>
      <c r="P66" s="137">
        <v>1</v>
      </c>
      <c r="Q66" s="137">
        <v>0</v>
      </c>
      <c r="R66" s="137">
        <v>0</v>
      </c>
      <c r="S66" s="137">
        <v>1</v>
      </c>
      <c r="T66" s="137">
        <v>2012</v>
      </c>
      <c r="U66" s="137">
        <v>11</v>
      </c>
      <c r="V66" s="137">
        <v>3</v>
      </c>
      <c r="W66" s="137">
        <f>VLOOKUP(B66,'[2]pride covariates'!$A$2:$B$33,2,FALSE)</f>
        <v>0</v>
      </c>
      <c r="X66" s="137">
        <v>0</v>
      </c>
      <c r="Y66" s="137">
        <v>0</v>
      </c>
      <c r="Z66" s="117" t="str">
        <f t="shared" si="3"/>
        <v>/* ELI-481 */ 00101010 1 1 1 0 0 3 0;</v>
      </c>
      <c r="AA66" s="137" t="str">
        <f t="shared" si="1"/>
        <v>00101010</v>
      </c>
      <c r="AB66" s="137" t="str">
        <f t="shared" si="2"/>
        <v>/*ELI-481*/ 00101010 1;</v>
      </c>
    </row>
    <row r="67" spans="1:28" x14ac:dyDescent="0.3">
      <c r="A67" s="145" t="s">
        <v>157</v>
      </c>
      <c r="B67" s="137" t="s">
        <v>430</v>
      </c>
      <c r="C67" s="137" t="s">
        <v>503</v>
      </c>
      <c r="D67" s="138">
        <v>0</v>
      </c>
      <c r="E67" s="138">
        <v>0</v>
      </c>
      <c r="F67" s="138">
        <v>0</v>
      </c>
      <c r="G67" s="138">
        <v>0</v>
      </c>
      <c r="H67" s="140">
        <v>1</v>
      </c>
      <c r="I67" s="147">
        <v>1</v>
      </c>
      <c r="J67" s="146">
        <v>0</v>
      </c>
      <c r="K67" s="146">
        <v>1</v>
      </c>
      <c r="L67" s="146">
        <v>0</v>
      </c>
      <c r="M67" s="146">
        <v>1</v>
      </c>
      <c r="N67" s="146">
        <v>0</v>
      </c>
      <c r="O67" s="146">
        <v>0</v>
      </c>
      <c r="P67" s="137">
        <f>VLOOKUP(A67,[1]allpride!$C$2:$V$215,14,FALSE)</f>
        <v>1</v>
      </c>
      <c r="Q67" s="137">
        <f>VLOOKUP(A67,[1]allpride!$C$2:$V$215,15,FALSE)</f>
        <v>0</v>
      </c>
      <c r="R67" s="137">
        <f>VLOOKUP(A67,[1]allpride!$C$2:$V$215,16,FALSE)</f>
        <v>0</v>
      </c>
      <c r="S67" s="137">
        <f>VLOOKUP(A67,[1]allpride!$C$2:$V$215,17,FALSE)</f>
        <v>1</v>
      </c>
      <c r="T67" s="137">
        <f>VLOOKUP(A67,[1]allpride!$C$2:$V$215,18,FALSE)</f>
        <v>2012</v>
      </c>
      <c r="U67" s="137">
        <f>VLOOKUP(A67,[1]allpride!$C$2:$V$215,19,FALSE)</f>
        <v>11</v>
      </c>
      <c r="V67" s="137">
        <f>VLOOKUP(A67,[1]allpride!$C$2:$V$215,20,FALSE)</f>
        <v>3</v>
      </c>
      <c r="W67" s="137">
        <f>VLOOKUP(B67,'[2]pride covariates'!$A$2:$B$33,2,FALSE)</f>
        <v>0</v>
      </c>
      <c r="X67" s="137">
        <v>0</v>
      </c>
      <c r="Y67" s="137">
        <v>0</v>
      </c>
      <c r="Z67" s="117" t="str">
        <f t="shared" ref="Z67:Z98" si="4">CONCATENATE("/* ",A67," */ ",G67,H67,I67,J67,K67,L67,M67,N67," 1"," ",P67," ",S67," ",R67," ",Y67," ",V67," ",X67,";")</f>
        <v>/* ELI-480 */ 01101010 1 1 1 0 0 3 0;</v>
      </c>
      <c r="AA67" s="137" t="str">
        <f t="shared" si="1"/>
        <v>01101010</v>
      </c>
      <c r="AB67" s="137" t="str">
        <f t="shared" si="2"/>
        <v>/*ELI-480*/ 01101010 1;</v>
      </c>
    </row>
    <row r="68" spans="1:28" x14ac:dyDescent="0.3">
      <c r="A68" s="145" t="s">
        <v>431</v>
      </c>
      <c r="B68" s="137" t="s">
        <v>430</v>
      </c>
      <c r="C68" s="137" t="s">
        <v>504</v>
      </c>
      <c r="D68" s="146">
        <v>0</v>
      </c>
      <c r="E68" s="146">
        <v>0</v>
      </c>
      <c r="F68" s="146">
        <v>0</v>
      </c>
      <c r="G68" s="146">
        <v>0</v>
      </c>
      <c r="H68" s="140">
        <v>0</v>
      </c>
      <c r="I68" s="140">
        <v>0</v>
      </c>
      <c r="J68" s="146">
        <v>0</v>
      </c>
      <c r="K68" s="146">
        <v>1</v>
      </c>
      <c r="L68" s="146">
        <v>0</v>
      </c>
      <c r="M68" s="146">
        <v>1</v>
      </c>
      <c r="N68" s="146">
        <v>0</v>
      </c>
      <c r="O68" s="146">
        <v>0</v>
      </c>
      <c r="P68" s="137">
        <v>1</v>
      </c>
      <c r="Q68" s="137">
        <v>0</v>
      </c>
      <c r="R68" s="137">
        <v>0</v>
      </c>
      <c r="S68" s="137">
        <v>1</v>
      </c>
      <c r="T68" s="137">
        <v>2012</v>
      </c>
      <c r="U68" s="137">
        <v>11</v>
      </c>
      <c r="V68" s="137">
        <v>3</v>
      </c>
      <c r="W68" s="137">
        <f>VLOOKUP(B68,'[2]pride covariates'!$A$2:$B$33,2,FALSE)</f>
        <v>0</v>
      </c>
      <c r="X68" s="137">
        <v>0</v>
      </c>
      <c r="Y68" s="137">
        <v>0</v>
      </c>
      <c r="Z68" s="117" t="str">
        <f t="shared" si="4"/>
        <v>/* ELI-482 */ 00001010 1 1 1 0 0 3 0;</v>
      </c>
      <c r="AA68" s="137" t="str">
        <f t="shared" ref="AA68:AA131" si="5">CONCATENATE(G68,H68,I68,J68,K68,L68,M68,N68)</f>
        <v>00001010</v>
      </c>
      <c r="AB68" s="137" t="str">
        <f t="shared" ref="AB68:AB131" si="6">CONCATENATE("/*",A68,"*/ ",G68,H68,I68,J68,K68,L68,M68,N68," 1;")</f>
        <v>/*ELI-482*/ 00001010 1;</v>
      </c>
    </row>
    <row r="69" spans="1:28" x14ac:dyDescent="0.3">
      <c r="A69" s="145" t="s">
        <v>432</v>
      </c>
      <c r="B69" s="137" t="s">
        <v>430</v>
      </c>
      <c r="C69" s="137" t="s">
        <v>505</v>
      </c>
      <c r="D69" s="146">
        <v>0</v>
      </c>
      <c r="E69" s="146">
        <v>0</v>
      </c>
      <c r="F69" s="146">
        <v>0</v>
      </c>
      <c r="G69" s="146">
        <v>0</v>
      </c>
      <c r="H69" s="140">
        <v>0</v>
      </c>
      <c r="I69" s="140">
        <v>0</v>
      </c>
      <c r="J69" s="146">
        <v>0</v>
      </c>
      <c r="K69" s="146">
        <v>1</v>
      </c>
      <c r="L69" s="146">
        <v>0</v>
      </c>
      <c r="M69" s="146">
        <v>1</v>
      </c>
      <c r="N69" s="146">
        <v>0</v>
      </c>
      <c r="O69" s="146">
        <v>0</v>
      </c>
      <c r="P69" s="137">
        <v>1</v>
      </c>
      <c r="Q69" s="137">
        <v>0</v>
      </c>
      <c r="R69" s="137">
        <v>0</v>
      </c>
      <c r="S69" s="137">
        <v>1</v>
      </c>
      <c r="T69" s="137">
        <v>2011</v>
      </c>
      <c r="U69" s="137">
        <v>8</v>
      </c>
      <c r="V69" s="137">
        <v>4</v>
      </c>
      <c r="W69" s="137">
        <f>VLOOKUP(B69,'[2]pride covariates'!$A$2:$B$33,2,FALSE)</f>
        <v>0</v>
      </c>
      <c r="X69" s="137">
        <v>0</v>
      </c>
      <c r="Y69" s="137">
        <v>0</v>
      </c>
      <c r="Z69" s="117" t="str">
        <f t="shared" si="4"/>
        <v>/* ELI-470 */ 00001010 1 1 1 0 0 4 0;</v>
      </c>
      <c r="AA69" s="137" t="str">
        <f t="shared" si="5"/>
        <v>00001010</v>
      </c>
      <c r="AB69" s="137" t="str">
        <f t="shared" si="6"/>
        <v>/*ELI-470*/ 00001010 1;</v>
      </c>
    </row>
    <row r="70" spans="1:28" x14ac:dyDescent="0.3">
      <c r="A70" s="137" t="s">
        <v>11</v>
      </c>
      <c r="B70" s="137" t="s">
        <v>506</v>
      </c>
      <c r="C70" s="137" t="s">
        <v>158</v>
      </c>
      <c r="D70" s="138">
        <v>0</v>
      </c>
      <c r="E70" s="138">
        <v>0</v>
      </c>
      <c r="F70" s="138">
        <v>0</v>
      </c>
      <c r="G70" s="138">
        <v>0</v>
      </c>
      <c r="H70" s="140">
        <v>1</v>
      </c>
      <c r="I70" s="140">
        <v>0</v>
      </c>
      <c r="J70" s="138">
        <v>0</v>
      </c>
      <c r="K70" s="138">
        <v>1</v>
      </c>
      <c r="L70" s="138">
        <v>0</v>
      </c>
      <c r="M70" s="138">
        <v>0</v>
      </c>
      <c r="N70" s="138">
        <v>0</v>
      </c>
      <c r="O70" s="138">
        <v>0</v>
      </c>
      <c r="P70" s="137">
        <f>VLOOKUP(A70,[1]allpride!$C$2:$V$215,14,FALSE)</f>
        <v>0</v>
      </c>
      <c r="Q70" s="137" t="str">
        <f>VLOOKUP(A70,[1]allpride!$C$2:$V$215,15,FALSE)</f>
        <v>NA</v>
      </c>
      <c r="R70" s="137">
        <f>VLOOKUP(A70,[1]allpride!$C$2:$V$215,16,FALSE)</f>
        <v>0</v>
      </c>
      <c r="S70" s="137">
        <f>VLOOKUP(A70,[1]allpride!$C$2:$V$215,17,FALSE)</f>
        <v>1</v>
      </c>
      <c r="T70" s="137">
        <f>VLOOKUP(A70,[1]allpride!$C$2:$V$215,18,FALSE)</f>
        <v>2011</v>
      </c>
      <c r="U70" s="137">
        <f>VLOOKUP(A70,[1]allpride!$C$2:$V$215,19,FALSE)</f>
        <v>9</v>
      </c>
      <c r="V70" s="137">
        <f>VLOOKUP(A70,[1]allpride!$C$2:$V$215,20,FALSE)</f>
        <v>0</v>
      </c>
      <c r="W70" s="137">
        <f>VLOOKUP(B70,'[2]pride covariates'!$A$2:$B$33,2,FALSE)</f>
        <v>0</v>
      </c>
      <c r="X70" s="137">
        <v>0</v>
      </c>
      <c r="Y70" s="137">
        <v>1</v>
      </c>
      <c r="Z70" s="117" t="str">
        <f t="shared" si="4"/>
        <v>/* ELI-438 */ 01001000 1 0 1 0 1 0 0;</v>
      </c>
      <c r="AA70" s="137" t="str">
        <f t="shared" si="5"/>
        <v>01001000</v>
      </c>
      <c r="AB70" s="137" t="str">
        <f t="shared" si="6"/>
        <v>/*ELI-438*/ 01001000 1;</v>
      </c>
    </row>
    <row r="71" spans="1:28" x14ac:dyDescent="0.3">
      <c r="A71" s="137" t="s">
        <v>9</v>
      </c>
      <c r="B71" s="137" t="s">
        <v>506</v>
      </c>
      <c r="C71" s="137" t="s">
        <v>172</v>
      </c>
      <c r="D71" s="138">
        <v>0</v>
      </c>
      <c r="E71" s="138">
        <v>0</v>
      </c>
      <c r="F71" s="138">
        <v>0</v>
      </c>
      <c r="G71" s="138">
        <v>0</v>
      </c>
      <c r="H71" s="140">
        <v>1</v>
      </c>
      <c r="I71" s="140">
        <v>0</v>
      </c>
      <c r="J71" s="138">
        <v>0</v>
      </c>
      <c r="K71" s="138">
        <v>1</v>
      </c>
      <c r="L71" s="138">
        <v>0</v>
      </c>
      <c r="M71" s="138">
        <v>0</v>
      </c>
      <c r="N71" s="138">
        <v>0</v>
      </c>
      <c r="O71" s="138">
        <v>0</v>
      </c>
      <c r="P71" s="137">
        <f>VLOOKUP(A71,[1]allpride!$C$2:$V$215,14,FALSE)</f>
        <v>1</v>
      </c>
      <c r="Q71" s="137">
        <f>VLOOKUP(A71,[1]allpride!$C$2:$V$215,15,FALSE)</f>
        <v>0</v>
      </c>
      <c r="R71" s="137">
        <f>VLOOKUP(A71,[1]allpride!$C$2:$V$215,16,FALSE)</f>
        <v>0</v>
      </c>
      <c r="S71" s="137">
        <f>VLOOKUP(A71,[1]allpride!$C$2:$V$215,17,FALSE)</f>
        <v>1</v>
      </c>
      <c r="T71" s="137">
        <f>VLOOKUP(A71,[1]allpride!$C$2:$V$215,18,FALSE)</f>
        <v>2011</v>
      </c>
      <c r="U71" s="137">
        <f>VLOOKUP(A71,[1]allpride!$C$2:$V$215,19,FALSE)</f>
        <v>9</v>
      </c>
      <c r="V71" s="137">
        <f>VLOOKUP(A71,[1]allpride!$C$2:$V$215,20,FALSE)</f>
        <v>0</v>
      </c>
      <c r="W71" s="137">
        <f>VLOOKUP(B71,'[2]pride covariates'!$A$2:$B$33,2,FALSE)</f>
        <v>0</v>
      </c>
      <c r="X71" s="137">
        <v>0</v>
      </c>
      <c r="Y71" s="137">
        <v>0</v>
      </c>
      <c r="Z71" s="117" t="str">
        <f t="shared" si="4"/>
        <v>/* ELI-440 */ 01001000 1 1 1 0 0 0 0;</v>
      </c>
      <c r="AA71" s="137" t="str">
        <f t="shared" si="5"/>
        <v>01001000</v>
      </c>
      <c r="AB71" s="137" t="str">
        <f t="shared" si="6"/>
        <v>/*ELI-440*/ 01001000 1;</v>
      </c>
    </row>
    <row r="72" spans="1:28" x14ac:dyDescent="0.3">
      <c r="A72" s="137" t="s">
        <v>29</v>
      </c>
      <c r="B72" s="137" t="s">
        <v>517</v>
      </c>
      <c r="C72" s="137" t="s">
        <v>181</v>
      </c>
      <c r="D72" s="138">
        <v>0</v>
      </c>
      <c r="E72" s="138">
        <v>0</v>
      </c>
      <c r="F72" s="138">
        <v>0</v>
      </c>
      <c r="G72" s="138">
        <v>0</v>
      </c>
      <c r="H72" s="140">
        <v>0</v>
      </c>
      <c r="I72" s="140">
        <v>1</v>
      </c>
      <c r="J72" s="138">
        <v>1</v>
      </c>
      <c r="K72" s="138">
        <v>1</v>
      </c>
      <c r="L72" s="138">
        <v>0</v>
      </c>
      <c r="M72" s="138">
        <v>0</v>
      </c>
      <c r="N72" s="138">
        <v>1</v>
      </c>
      <c r="O72" s="138">
        <v>0</v>
      </c>
      <c r="P72" s="137">
        <f>VLOOKUP(A72,[1]allpride!$C$2:$V$215,14,FALSE)</f>
        <v>1</v>
      </c>
      <c r="Q72" s="137">
        <f>VLOOKUP(A72,[1]allpride!$C$2:$V$215,15,FALSE)</f>
        <v>0</v>
      </c>
      <c r="R72" s="137">
        <f>VLOOKUP(A72,[1]allpride!$C$2:$V$215,16,FALSE)</f>
        <v>0</v>
      </c>
      <c r="S72" s="137">
        <f>VLOOKUP(A72,[1]allpride!$C$2:$V$215,17,FALSE)</f>
        <v>1</v>
      </c>
      <c r="T72" s="137">
        <f>VLOOKUP(A72,[1]allpride!$C$2:$V$215,18,FALSE)</f>
        <v>2009</v>
      </c>
      <c r="U72" s="137">
        <f>VLOOKUP(A72,[1]allpride!$C$2:$V$215,19,FALSE)</f>
        <v>8</v>
      </c>
      <c r="V72" s="137">
        <f>VLOOKUP(A72,[1]allpride!$C$2:$V$215,20,FALSE)</f>
        <v>2</v>
      </c>
      <c r="W72" s="137">
        <f>VLOOKUP(B72,'[2]pride covariates'!$A$2:$B$33,2,FALSE)</f>
        <v>0</v>
      </c>
      <c r="X72" s="137">
        <v>0</v>
      </c>
      <c r="Y72" s="137">
        <v>0</v>
      </c>
      <c r="Z72" s="117" t="str">
        <f t="shared" si="4"/>
        <v>/* ELI-197 */ 00111001 1 1 1 0 0 2 0;</v>
      </c>
      <c r="AA72" s="137" t="str">
        <f t="shared" si="5"/>
        <v>00111001</v>
      </c>
      <c r="AB72" s="137" t="str">
        <f t="shared" si="6"/>
        <v>/*ELI-197*/ 00111001 1;</v>
      </c>
    </row>
    <row r="73" spans="1:28" x14ac:dyDescent="0.3">
      <c r="A73" s="137" t="s">
        <v>30</v>
      </c>
      <c r="B73" s="137" t="s">
        <v>517</v>
      </c>
      <c r="C73" s="137" t="s">
        <v>182</v>
      </c>
      <c r="D73" s="138">
        <v>0</v>
      </c>
      <c r="E73" s="138">
        <v>0</v>
      </c>
      <c r="F73" s="138">
        <v>0</v>
      </c>
      <c r="G73" s="138">
        <v>0</v>
      </c>
      <c r="H73" s="140">
        <v>0</v>
      </c>
      <c r="I73" s="140">
        <v>1</v>
      </c>
      <c r="J73" s="138">
        <v>1</v>
      </c>
      <c r="K73" s="138">
        <v>1</v>
      </c>
      <c r="L73" s="138">
        <v>0</v>
      </c>
      <c r="M73" s="138">
        <v>0</v>
      </c>
      <c r="N73" s="138">
        <v>1</v>
      </c>
      <c r="O73" s="138">
        <v>0</v>
      </c>
      <c r="P73" s="137">
        <f>VLOOKUP(A73,[1]allpride!$C$2:$V$215,14,FALSE)</f>
        <v>1</v>
      </c>
      <c r="Q73" s="137">
        <f>VLOOKUP(A73,[1]allpride!$C$2:$V$215,15,FALSE)</f>
        <v>0</v>
      </c>
      <c r="R73" s="137">
        <f>VLOOKUP(A73,[1]allpride!$C$2:$V$215,16,FALSE)</f>
        <v>0</v>
      </c>
      <c r="S73" s="137">
        <f>VLOOKUP(A73,[1]allpride!$C$2:$V$215,17,FALSE)</f>
        <v>1</v>
      </c>
      <c r="T73" s="137">
        <f>VLOOKUP(A73,[1]allpride!$C$2:$V$215,18,FALSE)</f>
        <v>2009</v>
      </c>
      <c r="U73" s="137">
        <f>VLOOKUP(A73,[1]allpride!$C$2:$V$215,19,FALSE)</f>
        <v>8</v>
      </c>
      <c r="V73" s="137">
        <f>VLOOKUP(A73,[1]allpride!$C$2:$V$215,20,FALSE)</f>
        <v>5</v>
      </c>
      <c r="W73" s="137">
        <f>VLOOKUP(B73,'[2]pride covariates'!$A$2:$B$33,2,FALSE)</f>
        <v>0</v>
      </c>
      <c r="X73" s="137">
        <v>0</v>
      </c>
      <c r="Y73" s="137">
        <v>0</v>
      </c>
      <c r="Z73" s="117" t="str">
        <f t="shared" si="4"/>
        <v>/* ELI-198 */ 00111001 1 1 1 0 0 5 0;</v>
      </c>
      <c r="AA73" s="137" t="str">
        <f t="shared" si="5"/>
        <v>00111001</v>
      </c>
      <c r="AB73" s="137" t="str">
        <f t="shared" si="6"/>
        <v>/*ELI-198*/ 00111001 1;</v>
      </c>
    </row>
    <row r="74" spans="1:28" x14ac:dyDescent="0.3">
      <c r="A74" s="137" t="s">
        <v>31</v>
      </c>
      <c r="B74" s="137" t="s">
        <v>517</v>
      </c>
      <c r="C74" s="137" t="s">
        <v>183</v>
      </c>
      <c r="D74" s="138">
        <v>0</v>
      </c>
      <c r="E74" s="138">
        <v>0</v>
      </c>
      <c r="F74" s="138">
        <v>0</v>
      </c>
      <c r="G74" s="138">
        <v>0</v>
      </c>
      <c r="H74" s="140">
        <v>0</v>
      </c>
      <c r="I74" s="140">
        <v>1</v>
      </c>
      <c r="J74" s="138">
        <v>0</v>
      </c>
      <c r="K74" s="138">
        <v>1</v>
      </c>
      <c r="L74" s="138">
        <v>1</v>
      </c>
      <c r="M74" s="138">
        <v>0</v>
      </c>
      <c r="N74" s="138">
        <v>1</v>
      </c>
      <c r="O74" s="138">
        <v>0</v>
      </c>
      <c r="P74" s="137">
        <f>VLOOKUP(A74,[1]allpride!$C$2:$V$215,14,FALSE)</f>
        <v>1</v>
      </c>
      <c r="Q74" s="137">
        <f>VLOOKUP(A74,[1]allpride!$C$2:$V$215,15,FALSE)</f>
        <v>0</v>
      </c>
      <c r="R74" s="137">
        <f>VLOOKUP(A74,[1]allpride!$C$2:$V$215,16,FALSE)</f>
        <v>0</v>
      </c>
      <c r="S74" s="137">
        <f>VLOOKUP(A74,[1]allpride!$C$2:$V$215,17,FALSE)</f>
        <v>1</v>
      </c>
      <c r="T74" s="137">
        <f>VLOOKUP(A74,[1]allpride!$C$2:$V$215,18,FALSE)</f>
        <v>2009</v>
      </c>
      <c r="U74" s="137">
        <f>VLOOKUP(A74,[1]allpride!$C$2:$V$215,19,FALSE)</f>
        <v>8</v>
      </c>
      <c r="V74" s="137">
        <f>VLOOKUP(A74,[1]allpride!$C$2:$V$215,20,FALSE)</f>
        <v>4</v>
      </c>
      <c r="W74" s="137">
        <f>VLOOKUP(B74,'[2]pride covariates'!$A$2:$B$33,2,FALSE)</f>
        <v>0</v>
      </c>
      <c r="X74" s="137">
        <v>0</v>
      </c>
      <c r="Y74" s="137">
        <v>0</v>
      </c>
      <c r="Z74" s="117" t="str">
        <f t="shared" si="4"/>
        <v>/* ELI-230 */ 00101101 1 1 1 0 0 4 0;</v>
      </c>
      <c r="AA74" s="137" t="str">
        <f t="shared" si="5"/>
        <v>00101101</v>
      </c>
      <c r="AB74" s="137" t="str">
        <f t="shared" si="6"/>
        <v>/*ELI-230*/ 00101101 1;</v>
      </c>
    </row>
    <row r="75" spans="1:28" x14ac:dyDescent="0.3">
      <c r="A75" s="137" t="s">
        <v>32</v>
      </c>
      <c r="B75" s="137" t="s">
        <v>517</v>
      </c>
      <c r="C75" s="137" t="s">
        <v>184</v>
      </c>
      <c r="D75" s="138">
        <v>0</v>
      </c>
      <c r="E75" s="138">
        <v>0</v>
      </c>
      <c r="F75" s="138">
        <v>0</v>
      </c>
      <c r="G75" s="138">
        <v>0</v>
      </c>
      <c r="H75" s="140">
        <v>0</v>
      </c>
      <c r="I75" s="140">
        <v>1</v>
      </c>
      <c r="J75" s="138">
        <v>1</v>
      </c>
      <c r="K75" s="138">
        <v>1</v>
      </c>
      <c r="L75" s="138">
        <v>0</v>
      </c>
      <c r="M75" s="138">
        <v>0</v>
      </c>
      <c r="N75" s="138">
        <v>1</v>
      </c>
      <c r="O75" s="138">
        <v>0</v>
      </c>
      <c r="P75" s="137">
        <f>VLOOKUP(A75,[1]allpride!$C$2:$V$215,14,FALSE)</f>
        <v>1</v>
      </c>
      <c r="Q75" s="137">
        <f>VLOOKUP(A75,[1]allpride!$C$2:$V$215,15,FALSE)</f>
        <v>0</v>
      </c>
      <c r="R75" s="137">
        <f>VLOOKUP(A75,[1]allpride!$C$2:$V$215,16,FALSE)</f>
        <v>0</v>
      </c>
      <c r="S75" s="137">
        <f>VLOOKUP(A75,[1]allpride!$C$2:$V$215,17,FALSE)</f>
        <v>1</v>
      </c>
      <c r="T75" s="137">
        <f>VLOOKUP(A75,[1]allpride!$C$2:$V$215,18,FALSE)</f>
        <v>2009</v>
      </c>
      <c r="U75" s="137">
        <f>VLOOKUP(A75,[1]allpride!$C$2:$V$215,19,FALSE)</f>
        <v>8</v>
      </c>
      <c r="V75" s="137">
        <f>VLOOKUP(A75,[1]allpride!$C$2:$V$215,20,FALSE)</f>
        <v>0</v>
      </c>
      <c r="W75" s="137">
        <f>VLOOKUP(B75,'[2]pride covariates'!$A$2:$B$33,2,FALSE)</f>
        <v>0</v>
      </c>
      <c r="X75" s="137">
        <v>0</v>
      </c>
      <c r="Y75" s="137">
        <v>0</v>
      </c>
      <c r="Z75" s="117" t="str">
        <f t="shared" si="4"/>
        <v>/* ELI-231 */ 00111001 1 1 1 0 0 0 0;</v>
      </c>
      <c r="AA75" s="137" t="str">
        <f t="shared" si="5"/>
        <v>00111001</v>
      </c>
      <c r="AB75" s="137" t="str">
        <f t="shared" si="6"/>
        <v>/*ELI-231*/ 00111001 1;</v>
      </c>
    </row>
    <row r="76" spans="1:28" x14ac:dyDescent="0.3">
      <c r="A76" s="137" t="s">
        <v>33</v>
      </c>
      <c r="B76" s="137" t="s">
        <v>517</v>
      </c>
      <c r="C76" s="137" t="s">
        <v>185</v>
      </c>
      <c r="D76" s="138">
        <v>0</v>
      </c>
      <c r="E76" s="138">
        <v>0</v>
      </c>
      <c r="F76" s="138">
        <v>0</v>
      </c>
      <c r="G76" s="138">
        <v>0</v>
      </c>
      <c r="H76" s="140">
        <v>0</v>
      </c>
      <c r="I76" s="140">
        <v>0</v>
      </c>
      <c r="J76" s="138">
        <v>1</v>
      </c>
      <c r="K76" s="138">
        <v>0</v>
      </c>
      <c r="L76" s="138">
        <v>0</v>
      </c>
      <c r="M76" s="138">
        <v>0</v>
      </c>
      <c r="N76" s="138">
        <v>0</v>
      </c>
      <c r="O76" s="138">
        <v>0</v>
      </c>
      <c r="P76" s="137">
        <f>VLOOKUP(A76,[1]allpride!$C$2:$V$215,14,FALSE)</f>
        <v>1</v>
      </c>
      <c r="Q76" s="137">
        <f>VLOOKUP(A76,[1]allpride!$C$2:$V$215,15,FALSE)</f>
        <v>0</v>
      </c>
      <c r="R76" s="137">
        <f>VLOOKUP(A76,[1]allpride!$C$2:$V$215,16,FALSE)</f>
        <v>0</v>
      </c>
      <c r="S76" s="137">
        <f>VLOOKUP(A76,[1]allpride!$C$2:$V$215,17,FALSE)</f>
        <v>1</v>
      </c>
      <c r="T76" s="137">
        <f>VLOOKUP(A76,[1]allpride!$C$2:$V$215,18,FALSE)</f>
        <v>2009</v>
      </c>
      <c r="U76" s="137">
        <f>VLOOKUP(A76,[1]allpride!$C$2:$V$215,19,FALSE)</f>
        <v>8</v>
      </c>
      <c r="V76" s="137">
        <f>VLOOKUP(A76,[1]allpride!$C$2:$V$215,20,FALSE)</f>
        <v>0</v>
      </c>
      <c r="W76" s="137">
        <f>VLOOKUP(B76,'[2]pride covariates'!$A$2:$B$33,2,FALSE)</f>
        <v>0</v>
      </c>
      <c r="X76" s="137">
        <v>0</v>
      </c>
      <c r="Y76" s="137">
        <v>0</v>
      </c>
      <c r="Z76" s="117" t="str">
        <f t="shared" si="4"/>
        <v>/* ELI-232 */ 00010000 1 1 1 0 0 0 0;</v>
      </c>
      <c r="AA76" s="137" t="str">
        <f t="shared" si="5"/>
        <v>00010000</v>
      </c>
      <c r="AB76" s="137" t="str">
        <f t="shared" si="6"/>
        <v>/*ELI-232*/ 00010000 1;</v>
      </c>
    </row>
    <row r="77" spans="1:28" x14ac:dyDescent="0.3">
      <c r="A77" s="137" t="s">
        <v>34</v>
      </c>
      <c r="B77" s="137" t="s">
        <v>517</v>
      </c>
      <c r="C77" s="137" t="s">
        <v>186</v>
      </c>
      <c r="D77" s="138">
        <v>0</v>
      </c>
      <c r="E77" s="138">
        <v>0</v>
      </c>
      <c r="F77" s="138">
        <v>0</v>
      </c>
      <c r="G77" s="138">
        <v>0</v>
      </c>
      <c r="H77" s="140">
        <v>0</v>
      </c>
      <c r="I77" s="140">
        <v>1</v>
      </c>
      <c r="J77" s="153">
        <v>1</v>
      </c>
      <c r="K77" s="138">
        <v>1</v>
      </c>
      <c r="L77" s="138">
        <v>0</v>
      </c>
      <c r="M77" s="138">
        <v>0</v>
      </c>
      <c r="N77" s="138">
        <v>1</v>
      </c>
      <c r="O77" s="138">
        <v>0</v>
      </c>
      <c r="P77" s="137">
        <f>VLOOKUP(A77,[1]allpride!$C$2:$V$215,14,FALSE)</f>
        <v>1</v>
      </c>
      <c r="Q77" s="137">
        <f>VLOOKUP(A77,[1]allpride!$C$2:$V$215,15,FALSE)</f>
        <v>0</v>
      </c>
      <c r="R77" s="137">
        <f>VLOOKUP(A77,[1]allpride!$C$2:$V$215,16,FALSE)</f>
        <v>0</v>
      </c>
      <c r="S77" s="137">
        <f>VLOOKUP(A77,[1]allpride!$C$2:$V$215,17,FALSE)</f>
        <v>1</v>
      </c>
      <c r="T77" s="137">
        <f>VLOOKUP(A77,[1]allpride!$C$2:$V$215,18,FALSE)</f>
        <v>2012</v>
      </c>
      <c r="U77" s="137">
        <f>VLOOKUP(A77,[1]allpride!$C$2:$V$215,19,FALSE)</f>
        <v>10</v>
      </c>
      <c r="V77" s="137">
        <f>VLOOKUP(A77,[1]allpride!$C$2:$V$215,20,FALSE)</f>
        <v>3</v>
      </c>
      <c r="W77" s="137">
        <f>VLOOKUP(B77,'[2]pride covariates'!$A$2:$B$33,2,FALSE)</f>
        <v>0</v>
      </c>
      <c r="X77" s="137">
        <v>0</v>
      </c>
      <c r="Y77" s="137">
        <v>0</v>
      </c>
      <c r="Z77" s="117" t="str">
        <f t="shared" si="4"/>
        <v>/* ELI-424 */ 00111001 1 1 1 0 0 3 0;</v>
      </c>
      <c r="AA77" s="137" t="str">
        <f t="shared" si="5"/>
        <v>00111001</v>
      </c>
      <c r="AB77" s="137" t="str">
        <f t="shared" si="6"/>
        <v>/*ELI-424*/ 00111001 1;</v>
      </c>
    </row>
    <row r="78" spans="1:28" x14ac:dyDescent="0.3">
      <c r="A78" s="137" t="s">
        <v>385</v>
      </c>
      <c r="B78" s="137" t="s">
        <v>517</v>
      </c>
      <c r="C78" s="137" t="s">
        <v>507</v>
      </c>
      <c r="D78" s="138">
        <v>0</v>
      </c>
      <c r="E78" s="138">
        <v>0</v>
      </c>
      <c r="F78" s="138">
        <v>0</v>
      </c>
      <c r="G78" s="138">
        <v>0</v>
      </c>
      <c r="H78" s="140">
        <v>0</v>
      </c>
      <c r="I78" s="140">
        <v>0</v>
      </c>
      <c r="J78" s="138">
        <v>1</v>
      </c>
      <c r="K78" s="138">
        <v>1</v>
      </c>
      <c r="L78" s="138">
        <v>0</v>
      </c>
      <c r="M78" s="138">
        <v>0</v>
      </c>
      <c r="N78" s="138">
        <v>1</v>
      </c>
      <c r="O78" s="138">
        <v>0</v>
      </c>
      <c r="P78" s="137">
        <f>VLOOKUP(A78,[1]allpride!$C$2:$V$215,14,FALSE)</f>
        <v>1</v>
      </c>
      <c r="Q78" s="137">
        <f>VLOOKUP(A78,[1]allpride!$C$2:$V$215,15,FALSE)</f>
        <v>0</v>
      </c>
      <c r="R78" s="137">
        <f>VLOOKUP(A78,[1]allpride!$C$2:$V$215,16,FALSE)</f>
        <v>0</v>
      </c>
      <c r="S78" s="137">
        <f>VLOOKUP(A78,[1]allpride!$C$2:$V$215,17,FALSE)</f>
        <v>1</v>
      </c>
      <c r="T78" s="137">
        <f>VLOOKUP(A78,[1]allpride!$C$2:$V$215,18,FALSE)</f>
        <v>2011</v>
      </c>
      <c r="U78" s="137">
        <f>VLOOKUP(A78,[1]allpride!$C$2:$V$215,19,FALSE)</f>
        <v>6</v>
      </c>
      <c r="V78" s="137">
        <f>VLOOKUP(A78,[1]allpride!$C$2:$V$215,20,FALSE)</f>
        <v>2</v>
      </c>
      <c r="W78" s="137">
        <f>VLOOKUP(B78,'[2]pride covariates'!$A$2:$B$33,2,FALSE)</f>
        <v>0</v>
      </c>
      <c r="X78" s="137">
        <v>0</v>
      </c>
      <c r="Y78" s="137">
        <v>0</v>
      </c>
      <c r="Z78" s="117" t="str">
        <f t="shared" si="4"/>
        <v>/* ELI-425 */ 00011001 1 1 1 0 0 2 0;</v>
      </c>
      <c r="AA78" s="137" t="str">
        <f t="shared" si="5"/>
        <v>00011001</v>
      </c>
      <c r="AB78" s="137" t="str">
        <f t="shared" si="6"/>
        <v>/*ELI-425*/ 00011001 1;</v>
      </c>
    </row>
    <row r="79" spans="1:28" x14ac:dyDescent="0.3">
      <c r="A79" s="137" t="s">
        <v>386</v>
      </c>
      <c r="B79" s="137" t="s">
        <v>517</v>
      </c>
      <c r="C79" s="139" t="s">
        <v>508</v>
      </c>
      <c r="D79" s="138">
        <v>0</v>
      </c>
      <c r="E79" s="138">
        <v>0</v>
      </c>
      <c r="F79" s="138">
        <v>0</v>
      </c>
      <c r="G79" s="138">
        <v>0</v>
      </c>
      <c r="H79" s="140">
        <v>0</v>
      </c>
      <c r="I79" s="140">
        <v>1</v>
      </c>
      <c r="J79" s="138">
        <v>1</v>
      </c>
      <c r="K79" s="138">
        <v>1</v>
      </c>
      <c r="L79" s="138">
        <v>0</v>
      </c>
      <c r="M79" s="138">
        <v>0</v>
      </c>
      <c r="N79" s="138">
        <v>1</v>
      </c>
      <c r="O79" s="138">
        <v>0</v>
      </c>
      <c r="P79" s="137">
        <f>VLOOKUP(A79,[1]allpride!$C$2:$V$215,14,FALSE)</f>
        <v>1</v>
      </c>
      <c r="Q79" s="137">
        <f>VLOOKUP(A79,[1]allpride!$C$2:$V$215,15,FALSE)</f>
        <v>0</v>
      </c>
      <c r="R79" s="137">
        <f>VLOOKUP(A79,[1]allpride!$C$2:$V$215,16,FALSE)</f>
        <v>1</v>
      </c>
      <c r="S79" s="137">
        <f>VLOOKUP(A79,[1]allpride!$C$2:$V$215,17,FALSE)</f>
        <v>1</v>
      </c>
      <c r="T79" s="137">
        <f>VLOOKUP(A79,[1]allpride!$C$2:$V$215,18,FALSE)</f>
        <v>2013</v>
      </c>
      <c r="U79" s="137">
        <f>VLOOKUP(A79,[1]allpride!$C$2:$V$215,19,FALSE)</f>
        <v>9</v>
      </c>
      <c r="V79" s="137">
        <f>VLOOKUP(A79,[1]allpride!$C$2:$V$215,20,FALSE)</f>
        <v>0</v>
      </c>
      <c r="W79" s="137">
        <f>VLOOKUP(B79,'[2]pride covariates'!$A$2:$B$33,2,FALSE)</f>
        <v>0</v>
      </c>
      <c r="X79" s="137">
        <v>0</v>
      </c>
      <c r="Y79" s="137">
        <v>0</v>
      </c>
      <c r="Z79" s="117" t="str">
        <f t="shared" si="4"/>
        <v>/* ELI-612 */ 00111001 1 1 1 1 0 0 0;</v>
      </c>
      <c r="AA79" s="137" t="str">
        <f t="shared" si="5"/>
        <v>00111001</v>
      </c>
      <c r="AB79" s="137" t="str">
        <f t="shared" si="6"/>
        <v>/*ELI-612*/ 00111001 1;</v>
      </c>
    </row>
    <row r="80" spans="1:28" x14ac:dyDescent="0.3">
      <c r="A80" s="137" t="s">
        <v>387</v>
      </c>
      <c r="B80" s="137" t="s">
        <v>517</v>
      </c>
      <c r="C80" s="139" t="s">
        <v>509</v>
      </c>
      <c r="D80" s="138">
        <v>0</v>
      </c>
      <c r="E80" s="138">
        <v>0</v>
      </c>
      <c r="F80" s="138">
        <v>0</v>
      </c>
      <c r="G80" s="138">
        <v>0</v>
      </c>
      <c r="H80" s="140">
        <v>0</v>
      </c>
      <c r="I80" s="140">
        <v>1</v>
      </c>
      <c r="J80" s="138">
        <v>1</v>
      </c>
      <c r="K80" s="138">
        <v>1</v>
      </c>
      <c r="L80" s="138">
        <v>0</v>
      </c>
      <c r="M80" s="138">
        <v>0</v>
      </c>
      <c r="N80" s="138">
        <v>1</v>
      </c>
      <c r="O80" s="138">
        <v>0</v>
      </c>
      <c r="P80" s="137">
        <f>VLOOKUP(A80,[1]allpride!$C$2:$V$215,14,FALSE)</f>
        <v>1</v>
      </c>
      <c r="Q80" s="137">
        <f>VLOOKUP(A80,[1]allpride!$C$2:$V$215,15,FALSE)</f>
        <v>0</v>
      </c>
      <c r="R80" s="137">
        <f>VLOOKUP(A80,[1]allpride!$C$2:$V$215,16,FALSE)</f>
        <v>0</v>
      </c>
      <c r="S80" s="137">
        <f>VLOOKUP(A80,[1]allpride!$C$2:$V$215,17,FALSE)</f>
        <v>1</v>
      </c>
      <c r="T80" s="137">
        <f>VLOOKUP(A80,[1]allpride!$C$2:$V$215,18,FALSE)</f>
        <v>2013</v>
      </c>
      <c r="U80" s="137">
        <f>VLOOKUP(A80,[1]allpride!$C$2:$V$215,19,FALSE)</f>
        <v>9</v>
      </c>
      <c r="V80" s="137">
        <f>VLOOKUP(A80,[1]allpride!$C$2:$V$215,20,FALSE)</f>
        <v>0</v>
      </c>
      <c r="W80" s="137">
        <f>VLOOKUP(B80,'[2]pride covariates'!$A$2:$B$33,2,FALSE)</f>
        <v>0</v>
      </c>
      <c r="X80" s="137">
        <v>0</v>
      </c>
      <c r="Y80" s="137">
        <v>0</v>
      </c>
      <c r="Z80" s="117" t="str">
        <f t="shared" si="4"/>
        <v>/* ELI-613 */ 00111001 1 1 1 0 0 0 0;</v>
      </c>
      <c r="AA80" s="137" t="str">
        <f t="shared" si="5"/>
        <v>00111001</v>
      </c>
      <c r="AB80" s="137" t="str">
        <f t="shared" si="6"/>
        <v>/*ELI-613*/ 00111001 1;</v>
      </c>
    </row>
    <row r="81" spans="1:28" x14ac:dyDescent="0.3">
      <c r="A81" s="137" t="s">
        <v>388</v>
      </c>
      <c r="B81" s="137" t="s">
        <v>517</v>
      </c>
      <c r="C81" s="139" t="s">
        <v>510</v>
      </c>
      <c r="D81" s="138">
        <v>0</v>
      </c>
      <c r="E81" s="138">
        <v>0</v>
      </c>
      <c r="F81" s="138">
        <v>0</v>
      </c>
      <c r="G81" s="138">
        <v>0</v>
      </c>
      <c r="H81" s="140">
        <v>0</v>
      </c>
      <c r="I81" s="140">
        <v>1</v>
      </c>
      <c r="J81" s="138">
        <v>1</v>
      </c>
      <c r="K81" s="138">
        <v>1</v>
      </c>
      <c r="L81" s="138">
        <v>0</v>
      </c>
      <c r="M81" s="138">
        <v>0</v>
      </c>
      <c r="N81" s="138">
        <v>1</v>
      </c>
      <c r="O81" s="138">
        <v>0</v>
      </c>
      <c r="P81" s="137">
        <f>VLOOKUP(A81,[1]allpride!$C$2:$V$215,14,FALSE)</f>
        <v>1</v>
      </c>
      <c r="Q81" s="137">
        <f>VLOOKUP(A81,[1]allpride!$C$2:$V$215,15,FALSE)</f>
        <v>1</v>
      </c>
      <c r="R81" s="137">
        <f>VLOOKUP(A81,[1]allpride!$C$2:$V$215,16,FALSE)</f>
        <v>0</v>
      </c>
      <c r="S81" s="137">
        <f>VLOOKUP(A81,[1]allpride!$C$2:$V$215,17,FALSE)</f>
        <v>1</v>
      </c>
      <c r="T81" s="137">
        <f>VLOOKUP(A81,[1]allpride!$C$2:$V$215,18,FALSE)</f>
        <v>2013</v>
      </c>
      <c r="U81" s="137">
        <f>VLOOKUP(A81,[1]allpride!$C$2:$V$215,19,FALSE)</f>
        <v>9</v>
      </c>
      <c r="V81" s="137">
        <f>VLOOKUP(A81,[1]allpride!$C$2:$V$215,20,FALSE)</f>
        <v>0</v>
      </c>
      <c r="W81" s="137">
        <f>VLOOKUP(B81,'[2]pride covariates'!$A$2:$B$33,2,FALSE)</f>
        <v>0</v>
      </c>
      <c r="X81" s="137">
        <v>0</v>
      </c>
      <c r="Y81" s="137">
        <v>1</v>
      </c>
      <c r="Z81" s="117" t="str">
        <f t="shared" si="4"/>
        <v>/* ELI-615 */ 00111001 1 1 1 0 1 0 0;</v>
      </c>
      <c r="AA81" s="137" t="str">
        <f t="shared" si="5"/>
        <v>00111001</v>
      </c>
      <c r="AB81" s="137" t="str">
        <f t="shared" si="6"/>
        <v>/*ELI-615*/ 00111001 1;</v>
      </c>
    </row>
    <row r="82" spans="1:28" x14ac:dyDescent="0.3">
      <c r="A82" s="137" t="s">
        <v>389</v>
      </c>
      <c r="B82" s="137" t="s">
        <v>517</v>
      </c>
      <c r="C82" s="139" t="s">
        <v>511</v>
      </c>
      <c r="D82" s="138">
        <v>0</v>
      </c>
      <c r="E82" s="138">
        <v>0</v>
      </c>
      <c r="F82" s="138">
        <v>0</v>
      </c>
      <c r="G82" s="138">
        <v>0</v>
      </c>
      <c r="H82" s="140">
        <v>0</v>
      </c>
      <c r="I82" s="140">
        <v>1</v>
      </c>
      <c r="J82" s="138">
        <v>1</v>
      </c>
      <c r="K82" s="138">
        <v>1</v>
      </c>
      <c r="L82" s="138">
        <v>0</v>
      </c>
      <c r="M82" s="138">
        <v>0</v>
      </c>
      <c r="N82" s="138">
        <v>1</v>
      </c>
      <c r="O82" s="138">
        <v>0</v>
      </c>
      <c r="P82" s="137">
        <f>VLOOKUP(A82,[1]allpride!$C$2:$V$215,14,FALSE)</f>
        <v>1</v>
      </c>
      <c r="Q82" s="137">
        <f>VLOOKUP(A82,[1]allpride!$C$2:$V$215,15,FALSE)</f>
        <v>0</v>
      </c>
      <c r="R82" s="137">
        <f>VLOOKUP(A82,[1]allpride!$C$2:$V$215,16,FALSE)</f>
        <v>0</v>
      </c>
      <c r="S82" s="137">
        <f>VLOOKUP(A82,[1]allpride!$C$2:$V$215,17,FALSE)</f>
        <v>1</v>
      </c>
      <c r="T82" s="137">
        <f>VLOOKUP(A82,[1]allpride!$C$2:$V$215,18,FALSE)</f>
        <v>2013</v>
      </c>
      <c r="U82" s="137">
        <f>VLOOKUP(A82,[1]allpride!$C$2:$V$215,19,FALSE)</f>
        <v>9</v>
      </c>
      <c r="V82" s="137">
        <f>VLOOKUP(A82,[1]allpride!$C$2:$V$215,20,FALSE)</f>
        <v>0</v>
      </c>
      <c r="W82" s="137">
        <f>VLOOKUP(B82,'[2]pride covariates'!$A$2:$B$33,2,FALSE)</f>
        <v>0</v>
      </c>
      <c r="X82" s="137">
        <v>0</v>
      </c>
      <c r="Y82" s="137">
        <v>0</v>
      </c>
      <c r="Z82" s="117" t="str">
        <f t="shared" si="4"/>
        <v>/* ELI-616 */ 00111001 1 1 1 0 0 0 0;</v>
      </c>
      <c r="AA82" s="137" t="str">
        <f t="shared" si="5"/>
        <v>00111001</v>
      </c>
      <c r="AB82" s="137" t="str">
        <f t="shared" si="6"/>
        <v>/*ELI-616*/ 00111001 1;</v>
      </c>
    </row>
    <row r="83" spans="1:28" x14ac:dyDescent="0.3">
      <c r="A83" s="137" t="s">
        <v>390</v>
      </c>
      <c r="B83" s="137" t="s">
        <v>517</v>
      </c>
      <c r="C83" s="139" t="s">
        <v>512</v>
      </c>
      <c r="D83" s="138">
        <v>0</v>
      </c>
      <c r="E83" s="138">
        <v>0</v>
      </c>
      <c r="F83" s="138">
        <v>0</v>
      </c>
      <c r="G83" s="138">
        <v>0</v>
      </c>
      <c r="H83" s="140">
        <v>0</v>
      </c>
      <c r="I83" s="140">
        <v>1</v>
      </c>
      <c r="J83" s="138">
        <v>1</v>
      </c>
      <c r="K83" s="138">
        <v>1</v>
      </c>
      <c r="L83" s="138">
        <v>0</v>
      </c>
      <c r="M83" s="138">
        <v>0</v>
      </c>
      <c r="N83" s="138">
        <v>1</v>
      </c>
      <c r="O83" s="138">
        <v>0</v>
      </c>
      <c r="P83" s="137">
        <f>VLOOKUP(A83,[1]allpride!$C$2:$V$215,14,FALSE)</f>
        <v>1</v>
      </c>
      <c r="Q83" s="137">
        <f>VLOOKUP(A83,[1]allpride!$C$2:$V$215,15,FALSE)</f>
        <v>1</v>
      </c>
      <c r="R83" s="137">
        <f>VLOOKUP(A83,[1]allpride!$C$2:$V$215,16,FALSE)</f>
        <v>0</v>
      </c>
      <c r="S83" s="137">
        <f>VLOOKUP(A83,[1]allpride!$C$2:$V$215,17,FALSE)</f>
        <v>1</v>
      </c>
      <c r="T83" s="137">
        <f>VLOOKUP(A83,[1]allpride!$C$2:$V$215,18,FALSE)</f>
        <v>2013</v>
      </c>
      <c r="U83" s="137">
        <f>VLOOKUP(A83,[1]allpride!$C$2:$V$215,19,FALSE)</f>
        <v>9</v>
      </c>
      <c r="V83" s="137">
        <f>VLOOKUP(A83,[1]allpride!$C$2:$V$215,20,FALSE)</f>
        <v>0</v>
      </c>
      <c r="W83" s="137">
        <f>VLOOKUP(B83,'[2]pride covariates'!$A$2:$B$33,2,FALSE)</f>
        <v>0</v>
      </c>
      <c r="X83" s="137">
        <v>0</v>
      </c>
      <c r="Y83" s="137">
        <v>1</v>
      </c>
      <c r="Z83" s="117" t="str">
        <f t="shared" si="4"/>
        <v>/* ELI-617 */ 00111001 1 1 1 0 1 0 0;</v>
      </c>
      <c r="AA83" s="137" t="str">
        <f t="shared" si="5"/>
        <v>00111001</v>
      </c>
      <c r="AB83" s="137" t="str">
        <f t="shared" si="6"/>
        <v>/*ELI-617*/ 00111001 1;</v>
      </c>
    </row>
    <row r="84" spans="1:28" x14ac:dyDescent="0.3">
      <c r="A84" s="137" t="s">
        <v>391</v>
      </c>
      <c r="B84" s="137" t="s">
        <v>517</v>
      </c>
      <c r="C84" s="139" t="s">
        <v>513</v>
      </c>
      <c r="D84" s="138">
        <v>0</v>
      </c>
      <c r="E84" s="138">
        <v>0</v>
      </c>
      <c r="F84" s="138">
        <v>0</v>
      </c>
      <c r="G84" s="138">
        <v>0</v>
      </c>
      <c r="H84" s="140">
        <v>0</v>
      </c>
      <c r="I84" s="140">
        <v>1</v>
      </c>
      <c r="J84" s="138">
        <v>1</v>
      </c>
      <c r="K84" s="138">
        <v>1</v>
      </c>
      <c r="L84" s="138">
        <v>0</v>
      </c>
      <c r="M84" s="138">
        <v>0</v>
      </c>
      <c r="N84" s="138">
        <v>1</v>
      </c>
      <c r="O84" s="138">
        <v>0</v>
      </c>
      <c r="P84" s="137">
        <f>VLOOKUP(A84,[1]allpride!$C$2:$V$215,14,FALSE)</f>
        <v>1</v>
      </c>
      <c r="Q84" s="137">
        <f>VLOOKUP(A84,[1]allpride!$C$2:$V$215,15,FALSE)</f>
        <v>0</v>
      </c>
      <c r="R84" s="137">
        <f>VLOOKUP(A84,[1]allpride!$C$2:$V$215,16,FALSE)</f>
        <v>0</v>
      </c>
      <c r="S84" s="137">
        <f>VLOOKUP(A84,[1]allpride!$C$2:$V$215,17,FALSE)</f>
        <v>1</v>
      </c>
      <c r="T84" s="137">
        <f>VLOOKUP(A84,[1]allpride!$C$2:$V$215,18,FALSE)</f>
        <v>2013</v>
      </c>
      <c r="U84" s="137">
        <f>VLOOKUP(A84,[1]allpride!$C$2:$V$215,19,FALSE)</f>
        <v>9</v>
      </c>
      <c r="V84" s="137">
        <f>VLOOKUP(A84,[1]allpride!$C$2:$V$215,20,FALSE)</f>
        <v>0</v>
      </c>
      <c r="W84" s="137">
        <f>VLOOKUP(B84,'[2]pride covariates'!$A$2:$B$33,2,FALSE)</f>
        <v>0</v>
      </c>
      <c r="X84" s="137">
        <v>0</v>
      </c>
      <c r="Y84" s="137">
        <v>0</v>
      </c>
      <c r="Z84" s="117" t="str">
        <f t="shared" si="4"/>
        <v>/* ELI-618 */ 00111001 1 1 1 0 0 0 0;</v>
      </c>
      <c r="AA84" s="137" t="str">
        <f t="shared" si="5"/>
        <v>00111001</v>
      </c>
      <c r="AB84" s="137" t="str">
        <f t="shared" si="6"/>
        <v>/*ELI-618*/ 00111001 1;</v>
      </c>
    </row>
    <row r="85" spans="1:28" x14ac:dyDescent="0.3">
      <c r="A85" s="137" t="s">
        <v>392</v>
      </c>
      <c r="B85" s="137" t="s">
        <v>517</v>
      </c>
      <c r="C85" s="139" t="s">
        <v>514</v>
      </c>
      <c r="D85" s="138">
        <v>0</v>
      </c>
      <c r="E85" s="138">
        <v>0</v>
      </c>
      <c r="F85" s="138">
        <v>0</v>
      </c>
      <c r="G85" s="138">
        <v>0</v>
      </c>
      <c r="H85" s="140">
        <v>0</v>
      </c>
      <c r="I85" s="140">
        <v>0</v>
      </c>
      <c r="J85" s="153">
        <v>1</v>
      </c>
      <c r="K85" s="138">
        <v>1</v>
      </c>
      <c r="L85" s="138">
        <v>0</v>
      </c>
      <c r="M85" s="138">
        <v>0</v>
      </c>
      <c r="N85" s="138">
        <v>1</v>
      </c>
      <c r="O85" s="138">
        <v>0</v>
      </c>
      <c r="P85" s="137">
        <v>1</v>
      </c>
      <c r="Q85" s="137">
        <v>0</v>
      </c>
      <c r="R85" s="137">
        <v>0</v>
      </c>
      <c r="S85" s="137">
        <v>1</v>
      </c>
      <c r="T85" s="137">
        <v>2014</v>
      </c>
      <c r="U85" s="137">
        <v>8</v>
      </c>
      <c r="V85" s="137">
        <v>0</v>
      </c>
      <c r="W85" s="137">
        <f>VLOOKUP(B85,'[2]pride covariates'!$A$2:$B$33,2,FALSE)</f>
        <v>0</v>
      </c>
      <c r="X85" s="137">
        <v>0</v>
      </c>
      <c r="Y85" s="137">
        <v>0</v>
      </c>
      <c r="Z85" s="117" t="str">
        <f t="shared" si="4"/>
        <v>/* ELI-735 */ 00011001 1 1 1 0 0 0 0;</v>
      </c>
      <c r="AA85" s="137" t="str">
        <f t="shared" si="5"/>
        <v>00011001</v>
      </c>
      <c r="AB85" s="137" t="str">
        <f t="shared" si="6"/>
        <v>/*ELI-735*/ 00011001 1;</v>
      </c>
    </row>
    <row r="86" spans="1:28" x14ac:dyDescent="0.3">
      <c r="A86" s="137" t="s">
        <v>393</v>
      </c>
      <c r="B86" s="137" t="s">
        <v>517</v>
      </c>
      <c r="C86" s="139" t="s">
        <v>541</v>
      </c>
      <c r="D86" s="138">
        <v>0</v>
      </c>
      <c r="E86" s="138">
        <v>0</v>
      </c>
      <c r="F86" s="138">
        <v>0</v>
      </c>
      <c r="G86" s="138">
        <v>0</v>
      </c>
      <c r="H86" s="140">
        <v>0</v>
      </c>
      <c r="I86" s="140">
        <v>0</v>
      </c>
      <c r="J86" s="153">
        <v>1</v>
      </c>
      <c r="K86" s="138">
        <v>1</v>
      </c>
      <c r="L86" s="138">
        <v>0</v>
      </c>
      <c r="M86" s="138">
        <v>0</v>
      </c>
      <c r="N86" s="138">
        <v>1</v>
      </c>
      <c r="O86" s="138">
        <v>0</v>
      </c>
      <c r="P86" s="137">
        <v>1</v>
      </c>
      <c r="Q86" s="137">
        <v>0</v>
      </c>
      <c r="R86" s="137">
        <v>0</v>
      </c>
      <c r="S86" s="137">
        <v>1</v>
      </c>
      <c r="T86" s="137">
        <v>2014</v>
      </c>
      <c r="U86" s="137">
        <v>8</v>
      </c>
      <c r="V86" s="137">
        <v>0</v>
      </c>
      <c r="W86" s="137">
        <f>VLOOKUP(B86,'[2]pride covariates'!$A$2:$B$33,2,FALSE)</f>
        <v>0</v>
      </c>
      <c r="X86" s="137">
        <v>0</v>
      </c>
      <c r="Y86" s="137">
        <v>0</v>
      </c>
      <c r="Z86" s="117" t="str">
        <f t="shared" si="4"/>
        <v>/* ELI-736 */ 00011001 1 1 1 0 0 0 0;</v>
      </c>
      <c r="AA86" s="137" t="str">
        <f t="shared" si="5"/>
        <v>00011001</v>
      </c>
      <c r="AB86" s="137" t="str">
        <f t="shared" si="6"/>
        <v>/*ELI-736*/ 00011001 1;</v>
      </c>
    </row>
    <row r="87" spans="1:28" x14ac:dyDescent="0.3">
      <c r="A87" s="137" t="s">
        <v>394</v>
      </c>
      <c r="B87" s="137" t="s">
        <v>517</v>
      </c>
      <c r="C87" s="139" t="s">
        <v>515</v>
      </c>
      <c r="D87" s="138">
        <v>0</v>
      </c>
      <c r="E87" s="138">
        <v>0</v>
      </c>
      <c r="F87" s="138">
        <v>0</v>
      </c>
      <c r="G87" s="138">
        <v>0</v>
      </c>
      <c r="H87" s="140">
        <v>0</v>
      </c>
      <c r="I87" s="140">
        <v>0</v>
      </c>
      <c r="J87" s="153">
        <v>1</v>
      </c>
      <c r="K87" s="138">
        <v>1</v>
      </c>
      <c r="L87" s="138">
        <v>0</v>
      </c>
      <c r="M87" s="138">
        <v>0</v>
      </c>
      <c r="N87" s="138">
        <v>1</v>
      </c>
      <c r="O87" s="138">
        <v>0</v>
      </c>
      <c r="P87" s="137">
        <v>1</v>
      </c>
      <c r="Q87" s="137">
        <v>1</v>
      </c>
      <c r="R87" s="137">
        <v>0</v>
      </c>
      <c r="S87" s="137">
        <v>1</v>
      </c>
      <c r="T87" s="137">
        <v>2014</v>
      </c>
      <c r="U87" s="137">
        <v>8</v>
      </c>
      <c r="V87" s="137">
        <v>0</v>
      </c>
      <c r="W87" s="137">
        <f>VLOOKUP(B87,'[2]pride covariates'!$A$2:$B$33,2,FALSE)</f>
        <v>0</v>
      </c>
      <c r="X87" s="137">
        <v>0</v>
      </c>
      <c r="Y87" s="137">
        <v>1</v>
      </c>
      <c r="Z87" s="117" t="str">
        <f t="shared" si="4"/>
        <v>/* ELI-737 */ 00011001 1 1 1 0 1 0 0;</v>
      </c>
      <c r="AA87" s="137" t="str">
        <f t="shared" si="5"/>
        <v>00011001</v>
      </c>
      <c r="AB87" s="137" t="str">
        <f t="shared" si="6"/>
        <v>/*ELI-737*/ 00011001 1;</v>
      </c>
    </row>
    <row r="88" spans="1:28" x14ac:dyDescent="0.3">
      <c r="A88" s="137" t="s">
        <v>395</v>
      </c>
      <c r="B88" s="137" t="s">
        <v>517</v>
      </c>
      <c r="C88" s="139" t="s">
        <v>539</v>
      </c>
      <c r="D88" s="144">
        <v>0</v>
      </c>
      <c r="E88" s="144">
        <v>0</v>
      </c>
      <c r="F88" s="144">
        <v>0</v>
      </c>
      <c r="G88" s="144">
        <v>0</v>
      </c>
      <c r="H88" s="147">
        <v>0</v>
      </c>
      <c r="I88" s="147">
        <v>0</v>
      </c>
      <c r="J88" s="159">
        <v>1</v>
      </c>
      <c r="K88" s="144">
        <v>0</v>
      </c>
      <c r="L88" s="144">
        <v>1</v>
      </c>
      <c r="M88" s="144">
        <v>0</v>
      </c>
      <c r="N88" s="138">
        <v>0</v>
      </c>
      <c r="O88" s="144">
        <v>0</v>
      </c>
      <c r="P88" s="137">
        <v>1</v>
      </c>
      <c r="Q88" s="137">
        <v>0</v>
      </c>
      <c r="R88" s="137">
        <v>0</v>
      </c>
      <c r="S88" s="137">
        <v>1</v>
      </c>
      <c r="T88" s="137">
        <v>2014</v>
      </c>
      <c r="U88" s="137">
        <v>9</v>
      </c>
      <c r="V88" s="137">
        <v>0</v>
      </c>
      <c r="W88" s="137">
        <f>VLOOKUP(B88,'[2]pride covariates'!$A$2:$B$33,2,FALSE)</f>
        <v>0</v>
      </c>
      <c r="X88" s="137">
        <v>0</v>
      </c>
      <c r="Y88" s="137">
        <v>0</v>
      </c>
      <c r="Z88" s="117" t="str">
        <f t="shared" si="4"/>
        <v>/* ELI-738 */ 00010100 1 1 1 0 0 0 0;</v>
      </c>
      <c r="AA88" s="137" t="str">
        <f t="shared" si="5"/>
        <v>00010100</v>
      </c>
      <c r="AB88" s="137" t="str">
        <f t="shared" si="6"/>
        <v>/*ELI-738*/ 00010100 1;</v>
      </c>
    </row>
    <row r="89" spans="1:28" x14ac:dyDescent="0.3">
      <c r="A89" s="137" t="s">
        <v>396</v>
      </c>
      <c r="B89" s="137" t="s">
        <v>517</v>
      </c>
      <c r="C89" s="139" t="s">
        <v>540</v>
      </c>
      <c r="D89" s="144">
        <v>0</v>
      </c>
      <c r="E89" s="144">
        <v>0</v>
      </c>
      <c r="F89" s="144">
        <v>0</v>
      </c>
      <c r="G89" s="144">
        <v>0</v>
      </c>
      <c r="H89" s="147">
        <v>0</v>
      </c>
      <c r="I89" s="147">
        <v>0</v>
      </c>
      <c r="J89" s="144">
        <v>0</v>
      </c>
      <c r="K89" s="144">
        <v>0</v>
      </c>
      <c r="L89" s="144">
        <v>1</v>
      </c>
      <c r="M89" s="144">
        <v>0</v>
      </c>
      <c r="N89" s="138">
        <v>0</v>
      </c>
      <c r="O89" s="144">
        <v>0</v>
      </c>
      <c r="P89" s="137">
        <v>0</v>
      </c>
      <c r="Q89" s="137">
        <v>0</v>
      </c>
      <c r="R89" s="137">
        <v>1</v>
      </c>
      <c r="S89" s="137">
        <v>1</v>
      </c>
      <c r="T89" s="137">
        <v>2014</v>
      </c>
      <c r="U89" s="137">
        <v>9</v>
      </c>
      <c r="V89" s="137">
        <v>0</v>
      </c>
      <c r="W89" s="137">
        <f>VLOOKUP(B89,'[2]pride covariates'!$A$2:$B$33,2,FALSE)</f>
        <v>0</v>
      </c>
      <c r="X89" s="137">
        <v>0</v>
      </c>
      <c r="Y89" s="137">
        <v>0</v>
      </c>
      <c r="Z89" s="117" t="str">
        <f t="shared" si="4"/>
        <v>/* ELI-739 */ 00000100 1 0 1 1 0 0 0;</v>
      </c>
      <c r="AA89" s="137" t="str">
        <f t="shared" si="5"/>
        <v>00000100</v>
      </c>
      <c r="AB89" s="137" t="str">
        <f t="shared" si="6"/>
        <v>/*ELI-739*/ 00000100 1;</v>
      </c>
    </row>
    <row r="90" spans="1:28" s="139" customFormat="1" x14ac:dyDescent="0.3">
      <c r="A90" s="139" t="s">
        <v>547</v>
      </c>
      <c r="B90" s="139" t="s">
        <v>517</v>
      </c>
      <c r="C90" s="139" t="s">
        <v>516</v>
      </c>
      <c r="D90" s="147">
        <v>0</v>
      </c>
      <c r="E90" s="147">
        <v>0</v>
      </c>
      <c r="F90" s="147">
        <v>0</v>
      </c>
      <c r="G90" s="147">
        <v>0</v>
      </c>
      <c r="H90" s="147">
        <v>0</v>
      </c>
      <c r="I90" s="147">
        <v>0</v>
      </c>
      <c r="J90" s="147">
        <v>1</v>
      </c>
      <c r="K90" s="147">
        <v>0</v>
      </c>
      <c r="L90" s="147">
        <v>0</v>
      </c>
      <c r="M90" s="147">
        <v>0</v>
      </c>
      <c r="N90" s="147">
        <v>0</v>
      </c>
      <c r="O90" s="147">
        <v>0</v>
      </c>
      <c r="P90" s="137">
        <f>VLOOKUP(A90,[1]allpride!$C$2:$V$215,14,FALSE)</f>
        <v>0</v>
      </c>
      <c r="Q90" s="137" t="str">
        <f>VLOOKUP(A90,[1]allpride!$C$2:$V$215,15,FALSE)</f>
        <v>NA</v>
      </c>
      <c r="R90" s="137">
        <f>VLOOKUP(A90,[1]allpride!$C$2:$V$215,16,FALSE)</f>
        <v>1</v>
      </c>
      <c r="S90" s="137">
        <f>VLOOKUP(A90,[1]allpride!$C$2:$V$215,17,FALSE)</f>
        <v>1</v>
      </c>
      <c r="T90" s="137">
        <f>VLOOKUP(A90,[1]allpride!$C$2:$V$215,18,FALSE)</f>
        <v>2013</v>
      </c>
      <c r="U90" s="137">
        <f>VLOOKUP(A90,[1]allpride!$C$2:$V$215,19,FALSE)</f>
        <v>10</v>
      </c>
      <c r="V90" s="137">
        <f>VLOOKUP(A90,[1]allpride!$C$2:$V$215,20,FALSE)</f>
        <v>0</v>
      </c>
      <c r="W90" s="137">
        <f>VLOOKUP(B90,'[2]pride covariates'!$A$2:$B$33,2,FALSE)</f>
        <v>0</v>
      </c>
      <c r="X90" s="137">
        <v>0</v>
      </c>
      <c r="Y90" s="139">
        <v>0</v>
      </c>
      <c r="Z90" s="117" t="str">
        <f t="shared" si="4"/>
        <v>/* ELI-619 */ 00010000 1 0 1 1 0 0 0;</v>
      </c>
      <c r="AA90" s="137" t="str">
        <f t="shared" si="5"/>
        <v>00010000</v>
      </c>
      <c r="AB90" s="137" t="str">
        <f t="shared" si="6"/>
        <v>/*ELI-619*/ 00010000 1;</v>
      </c>
    </row>
    <row r="91" spans="1:28" x14ac:dyDescent="0.3">
      <c r="A91" s="137" t="s">
        <v>190</v>
      </c>
      <c r="B91" s="137" t="s">
        <v>518</v>
      </c>
      <c r="C91" s="137" t="s">
        <v>189</v>
      </c>
      <c r="D91" s="138">
        <v>0</v>
      </c>
      <c r="E91" s="138">
        <v>0</v>
      </c>
      <c r="F91" s="138">
        <v>0</v>
      </c>
      <c r="G91" s="138">
        <v>0</v>
      </c>
      <c r="H91" s="140">
        <v>1</v>
      </c>
      <c r="I91" s="140">
        <v>1</v>
      </c>
      <c r="J91" s="138">
        <v>1</v>
      </c>
      <c r="K91" s="138">
        <v>1</v>
      </c>
      <c r="L91" s="138">
        <v>1</v>
      </c>
      <c r="M91" s="138">
        <v>1</v>
      </c>
      <c r="N91" s="138">
        <v>0</v>
      </c>
      <c r="O91" s="138">
        <v>0</v>
      </c>
      <c r="P91" s="137">
        <f>VLOOKUP(A91,[1]allpride!$C$2:$V$215,14,FALSE)</f>
        <v>1</v>
      </c>
      <c r="Q91" s="137">
        <f>VLOOKUP(A91,[1]allpride!$C$2:$V$215,15,FALSE)</f>
        <v>0</v>
      </c>
      <c r="R91" s="137">
        <f>VLOOKUP(A91,[1]allpride!$C$2:$V$215,16,FALSE)</f>
        <v>0</v>
      </c>
      <c r="S91" s="137">
        <f>VLOOKUP(A91,[1]allpride!$C$2:$V$215,17,FALSE)</f>
        <v>1</v>
      </c>
      <c r="T91" s="137">
        <f>VLOOKUP(A91,[1]allpride!$C$2:$V$215,18,FALSE)</f>
        <v>2008</v>
      </c>
      <c r="U91" s="137">
        <f>VLOOKUP(A91,[1]allpride!$C$2:$V$215,19,FALSE)</f>
        <v>7</v>
      </c>
      <c r="V91" s="137">
        <f>VLOOKUP(A91,[1]allpride!$C$2:$V$215,20,FALSE)</f>
        <v>4</v>
      </c>
      <c r="W91" s="137">
        <f>VLOOKUP(B91,'[2]pride covariates'!$A$2:$B$33,2,FALSE)</f>
        <v>1</v>
      </c>
      <c r="X91" s="137">
        <v>1</v>
      </c>
      <c r="Y91" s="137">
        <v>0</v>
      </c>
      <c r="Z91" s="117" t="str">
        <f t="shared" si="4"/>
        <v>/* ELI-154 */ 01111110 1 1 1 0 0 4 1;</v>
      </c>
      <c r="AA91" s="137" t="str">
        <f t="shared" si="5"/>
        <v>01111110</v>
      </c>
      <c r="AB91" s="137" t="str">
        <f t="shared" si="6"/>
        <v>/*ELI-154*/ 01111110 1;</v>
      </c>
    </row>
    <row r="92" spans="1:28" x14ac:dyDescent="0.3">
      <c r="A92" s="137" t="s">
        <v>192</v>
      </c>
      <c r="B92" s="137" t="s">
        <v>518</v>
      </c>
      <c r="C92" s="137" t="s">
        <v>191</v>
      </c>
      <c r="D92" s="138">
        <v>0</v>
      </c>
      <c r="E92" s="138">
        <v>0</v>
      </c>
      <c r="F92" s="138">
        <v>0</v>
      </c>
      <c r="G92" s="138">
        <v>1</v>
      </c>
      <c r="H92" s="140">
        <v>1</v>
      </c>
      <c r="I92" s="140">
        <v>1</v>
      </c>
      <c r="J92" s="138">
        <v>1</v>
      </c>
      <c r="K92" s="138">
        <v>1</v>
      </c>
      <c r="L92" s="138">
        <v>1</v>
      </c>
      <c r="M92" s="138">
        <v>1</v>
      </c>
      <c r="N92" s="138">
        <v>0</v>
      </c>
      <c r="O92" s="153">
        <v>1</v>
      </c>
      <c r="P92" s="137">
        <f>VLOOKUP(A92,[1]allpride!$C$2:$V$215,14,FALSE)</f>
        <v>1</v>
      </c>
      <c r="Q92" s="137">
        <f>VLOOKUP(A92,[1]allpride!$C$2:$V$215,15,FALSE)</f>
        <v>0</v>
      </c>
      <c r="R92" s="137">
        <f>VLOOKUP(A92,[1]allpride!$C$2:$V$215,16,FALSE)</f>
        <v>0</v>
      </c>
      <c r="S92" s="137">
        <f>VLOOKUP(A92,[1]allpride!$C$2:$V$215,17,FALSE)</f>
        <v>1</v>
      </c>
      <c r="T92" s="137">
        <f>VLOOKUP(A92,[1]allpride!$C$2:$V$215,18,FALSE)</f>
        <v>2008</v>
      </c>
      <c r="U92" s="137">
        <f>VLOOKUP(A92,[1]allpride!$C$2:$V$215,19,FALSE)</f>
        <v>5</v>
      </c>
      <c r="V92" s="137">
        <f>VLOOKUP(A92,[1]allpride!$C$2:$V$215,20,FALSE)</f>
        <v>2</v>
      </c>
      <c r="W92" s="137">
        <f>VLOOKUP(B92,'[2]pride covariates'!$A$2:$B$33,2,FALSE)</f>
        <v>1</v>
      </c>
      <c r="X92" s="137">
        <v>1</v>
      </c>
      <c r="Y92" s="137">
        <v>0</v>
      </c>
      <c r="Z92" s="117" t="str">
        <f t="shared" si="4"/>
        <v>/* ELI-155 */ 11111110 1 1 1 0 0 2 1;</v>
      </c>
      <c r="AA92" s="137" t="str">
        <f t="shared" si="5"/>
        <v>11111110</v>
      </c>
      <c r="AB92" s="137" t="str">
        <f t="shared" si="6"/>
        <v>/*ELI-155*/ 11111110 1;</v>
      </c>
    </row>
    <row r="93" spans="1:28" x14ac:dyDescent="0.3">
      <c r="A93" s="137" t="s">
        <v>198</v>
      </c>
      <c r="B93" s="137" t="s">
        <v>518</v>
      </c>
      <c r="C93" s="137" t="s">
        <v>197</v>
      </c>
      <c r="D93" s="138">
        <v>0</v>
      </c>
      <c r="E93" s="138">
        <v>0</v>
      </c>
      <c r="F93" s="138">
        <v>0</v>
      </c>
      <c r="G93" s="138">
        <v>0</v>
      </c>
      <c r="H93" s="140">
        <v>0</v>
      </c>
      <c r="I93" s="140">
        <v>1</v>
      </c>
      <c r="J93" s="138">
        <v>1</v>
      </c>
      <c r="K93" s="138">
        <v>1</v>
      </c>
      <c r="L93" s="138">
        <v>1</v>
      </c>
      <c r="M93" s="138">
        <v>1</v>
      </c>
      <c r="N93" s="138">
        <v>0</v>
      </c>
      <c r="O93" s="138">
        <v>0</v>
      </c>
      <c r="P93" s="137">
        <f>VLOOKUP(A93,[1]allpride!$C$2:$V$215,14,FALSE)</f>
        <v>1</v>
      </c>
      <c r="Q93" s="137">
        <f>VLOOKUP(A93,[1]allpride!$C$2:$V$215,15,FALSE)</f>
        <v>0</v>
      </c>
      <c r="R93" s="137">
        <f>VLOOKUP(A93,[1]allpride!$C$2:$V$215,16,FALSE)</f>
        <v>0</v>
      </c>
      <c r="S93" s="137">
        <f>VLOOKUP(A93,[1]allpride!$C$2:$V$215,17,FALSE)</f>
        <v>1</v>
      </c>
      <c r="T93" s="137">
        <f>VLOOKUP(A93,[1]allpride!$C$2:$V$215,18,FALSE)</f>
        <v>2010</v>
      </c>
      <c r="U93" s="137">
        <f>VLOOKUP(A93,[1]allpride!$C$2:$V$215,19,FALSE)</f>
        <v>5</v>
      </c>
      <c r="V93" s="137">
        <f>VLOOKUP(A93,[1]allpride!$C$2:$V$215,20,FALSE)</f>
        <v>0</v>
      </c>
      <c r="W93" s="137">
        <f>VLOOKUP(B93,'[2]pride covariates'!$A$2:$B$33,2,FALSE)</f>
        <v>1</v>
      </c>
      <c r="X93" s="137">
        <v>1</v>
      </c>
      <c r="Y93" s="137">
        <v>0</v>
      </c>
      <c r="Z93" s="117" t="str">
        <f t="shared" si="4"/>
        <v>/* ELI-369 */ 00111110 1 1 1 0 0 0 1;</v>
      </c>
      <c r="AA93" s="137" t="str">
        <f t="shared" si="5"/>
        <v>00111110</v>
      </c>
      <c r="AB93" s="137" t="str">
        <f t="shared" si="6"/>
        <v>/*ELI-369*/ 00111110 1;</v>
      </c>
    </row>
    <row r="94" spans="1:28" x14ac:dyDescent="0.3">
      <c r="A94" s="137" t="s">
        <v>202</v>
      </c>
      <c r="B94" s="137" t="s">
        <v>518</v>
      </c>
      <c r="C94" s="137" t="s">
        <v>201</v>
      </c>
      <c r="D94" s="162">
        <v>1</v>
      </c>
      <c r="E94" s="138">
        <v>0</v>
      </c>
      <c r="F94" s="162">
        <v>1</v>
      </c>
      <c r="G94" s="138">
        <v>0</v>
      </c>
      <c r="H94" s="140">
        <v>1</v>
      </c>
      <c r="I94" s="140">
        <v>1</v>
      </c>
      <c r="J94" s="138">
        <v>1</v>
      </c>
      <c r="K94" s="138">
        <v>1</v>
      </c>
      <c r="L94" s="138">
        <v>1</v>
      </c>
      <c r="M94" s="138">
        <v>1</v>
      </c>
      <c r="N94" s="138">
        <v>1</v>
      </c>
      <c r="O94" s="153">
        <v>1</v>
      </c>
      <c r="P94" s="137">
        <f>VLOOKUP(A94,[1]allpride!$C$2:$V$215,14,FALSE)</f>
        <v>1</v>
      </c>
      <c r="Q94" s="137">
        <f>VLOOKUP(A94,[1]allpride!$C$2:$V$215,15,FALSE)</f>
        <v>0</v>
      </c>
      <c r="R94" s="137">
        <f>VLOOKUP(A94,[1]allpride!$C$2:$V$215,16,FALSE)</f>
        <v>0</v>
      </c>
      <c r="S94" s="137">
        <f>VLOOKUP(A94,[1]allpride!$C$2:$V$215,17,FALSE)</f>
        <v>1</v>
      </c>
      <c r="T94" s="137">
        <f>VLOOKUP(A94,[1]allpride!$C$2:$V$215,18,FALSE)</f>
        <v>2008</v>
      </c>
      <c r="U94" s="137">
        <f>VLOOKUP(A94,[1]allpride!$C$2:$V$215,19,FALSE)</f>
        <v>6</v>
      </c>
      <c r="V94" s="137">
        <f>VLOOKUP(A94,[1]allpride!$C$2:$V$215,20,FALSE)</f>
        <v>0</v>
      </c>
      <c r="W94" s="137">
        <f>VLOOKUP(B94,'[2]pride covariates'!$A$2:$B$33,2,FALSE)</f>
        <v>1</v>
      </c>
      <c r="X94" s="137">
        <v>1</v>
      </c>
      <c r="Y94" s="137">
        <v>0</v>
      </c>
      <c r="Z94" s="117" t="str">
        <f t="shared" si="4"/>
        <v>/* ELI-159 */ 01111111 1 1 1 0 0 0 1;</v>
      </c>
      <c r="AA94" s="137" t="str">
        <f t="shared" si="5"/>
        <v>01111111</v>
      </c>
      <c r="AB94" s="137" t="str">
        <f t="shared" si="6"/>
        <v>/*ELI-159*/ 01111111 1;</v>
      </c>
    </row>
    <row r="95" spans="1:28" x14ac:dyDescent="0.3">
      <c r="A95" s="137" t="s">
        <v>377</v>
      </c>
      <c r="B95" s="137" t="s">
        <v>518</v>
      </c>
      <c r="C95" s="137" t="s">
        <v>554</v>
      </c>
      <c r="D95" s="138">
        <v>0</v>
      </c>
      <c r="E95" s="138">
        <v>0</v>
      </c>
      <c r="F95" s="138">
        <v>0</v>
      </c>
      <c r="G95" s="138">
        <v>0</v>
      </c>
      <c r="H95" s="140">
        <v>1</v>
      </c>
      <c r="I95" s="140">
        <v>1</v>
      </c>
      <c r="J95" s="138">
        <v>1</v>
      </c>
      <c r="K95" s="138">
        <v>0</v>
      </c>
      <c r="L95" s="138">
        <v>0</v>
      </c>
      <c r="M95" s="138">
        <v>0</v>
      </c>
      <c r="N95" s="138">
        <v>0</v>
      </c>
      <c r="O95" s="138">
        <v>0</v>
      </c>
      <c r="P95" s="137">
        <v>1</v>
      </c>
      <c r="Q95" s="137">
        <v>0</v>
      </c>
      <c r="R95" s="137">
        <v>1</v>
      </c>
      <c r="S95" s="137">
        <v>1</v>
      </c>
      <c r="T95" s="137">
        <v>2014</v>
      </c>
      <c r="U95" s="137">
        <v>5</v>
      </c>
      <c r="V95" s="137">
        <v>0</v>
      </c>
      <c r="W95" s="137">
        <f>VLOOKUP(B95,'[2]pride covariates'!$A$2:$B$33,2,FALSE)</f>
        <v>1</v>
      </c>
      <c r="X95" s="137">
        <v>1</v>
      </c>
      <c r="Y95" s="137">
        <v>0</v>
      </c>
      <c r="Z95" s="117" t="str">
        <f t="shared" si="4"/>
        <v>/* ELI-720 */ 01110000 1 1 1 1 0 0 1;</v>
      </c>
      <c r="AA95" s="137" t="str">
        <f t="shared" si="5"/>
        <v>01110000</v>
      </c>
      <c r="AB95" s="137" t="str">
        <f t="shared" si="6"/>
        <v>/*ELI-720*/ 01110000 1;</v>
      </c>
    </row>
    <row r="96" spans="1:28" x14ac:dyDescent="0.3">
      <c r="A96" s="137" t="s">
        <v>576</v>
      </c>
      <c r="B96" s="137" t="s">
        <v>518</v>
      </c>
      <c r="C96" s="137" t="s">
        <v>555</v>
      </c>
      <c r="D96" s="138">
        <v>0</v>
      </c>
      <c r="E96" s="138">
        <v>0</v>
      </c>
      <c r="F96" s="138">
        <v>0</v>
      </c>
      <c r="G96" s="138">
        <v>0</v>
      </c>
      <c r="H96" s="140">
        <v>0</v>
      </c>
      <c r="I96" s="140">
        <v>0</v>
      </c>
      <c r="J96" s="138">
        <v>0</v>
      </c>
      <c r="K96" s="138">
        <v>0</v>
      </c>
      <c r="L96" s="138">
        <v>0</v>
      </c>
      <c r="M96" s="138">
        <v>1</v>
      </c>
      <c r="N96" s="138">
        <v>0</v>
      </c>
      <c r="O96" s="138">
        <v>0</v>
      </c>
      <c r="P96" s="137">
        <v>0</v>
      </c>
      <c r="Q96" s="137" t="s">
        <v>580</v>
      </c>
      <c r="R96" s="137">
        <v>1</v>
      </c>
      <c r="S96" s="137">
        <v>1</v>
      </c>
      <c r="T96" s="137">
        <v>2014</v>
      </c>
      <c r="U96" s="137">
        <v>10</v>
      </c>
      <c r="V96" s="137">
        <v>0</v>
      </c>
      <c r="W96" s="137">
        <f>VLOOKUP(B96,'[2]pride covariates'!$A$2:$B$33,2,FALSE)</f>
        <v>1</v>
      </c>
      <c r="X96" s="137">
        <v>1</v>
      </c>
      <c r="Y96" s="137">
        <v>1</v>
      </c>
      <c r="Z96" s="117" t="str">
        <f t="shared" si="4"/>
        <v>/* ELI-750 */ 00000010 1 0 1 1 1 0 1;</v>
      </c>
      <c r="AA96" s="137" t="str">
        <f t="shared" si="5"/>
        <v>00000010</v>
      </c>
      <c r="AB96" s="137" t="str">
        <f t="shared" si="6"/>
        <v>/*ELI-750*/ 00000010 1;</v>
      </c>
    </row>
    <row r="97" spans="1:28" x14ac:dyDescent="0.3">
      <c r="A97" s="137" t="s">
        <v>577</v>
      </c>
      <c r="B97" s="137" t="s">
        <v>518</v>
      </c>
      <c r="C97" s="137" t="s">
        <v>556</v>
      </c>
      <c r="D97" s="138">
        <v>0</v>
      </c>
      <c r="E97" s="138">
        <v>0</v>
      </c>
      <c r="F97" s="138">
        <v>0</v>
      </c>
      <c r="G97" s="138">
        <v>0</v>
      </c>
      <c r="H97" s="140">
        <v>0</v>
      </c>
      <c r="I97" s="140">
        <v>0</v>
      </c>
      <c r="J97" s="138">
        <v>0</v>
      </c>
      <c r="K97" s="138">
        <v>0</v>
      </c>
      <c r="L97" s="138">
        <v>0</v>
      </c>
      <c r="M97" s="138">
        <v>1</v>
      </c>
      <c r="N97" s="138">
        <v>0</v>
      </c>
      <c r="O97" s="138">
        <v>0</v>
      </c>
      <c r="P97" s="137">
        <v>0</v>
      </c>
      <c r="Q97" s="137" t="s">
        <v>580</v>
      </c>
      <c r="R97" s="137">
        <v>1</v>
      </c>
      <c r="S97" s="137">
        <v>1</v>
      </c>
      <c r="T97" s="137">
        <v>2014</v>
      </c>
      <c r="U97" s="137">
        <v>10</v>
      </c>
      <c r="V97" s="137">
        <v>0</v>
      </c>
      <c r="W97" s="137">
        <f>VLOOKUP(B97,'[2]pride covariates'!$A$2:$B$33,2,FALSE)</f>
        <v>1</v>
      </c>
      <c r="X97" s="137">
        <v>1</v>
      </c>
      <c r="Y97" s="137">
        <v>0</v>
      </c>
      <c r="Z97" s="117" t="str">
        <f t="shared" si="4"/>
        <v>/* ELI-751 */ 00000010 1 0 1 1 0 0 1;</v>
      </c>
      <c r="AA97" s="137" t="str">
        <f t="shared" si="5"/>
        <v>00000010</v>
      </c>
      <c r="AB97" s="137" t="str">
        <f t="shared" si="6"/>
        <v>/*ELI-751*/ 00000010 1;</v>
      </c>
    </row>
    <row r="98" spans="1:28" x14ac:dyDescent="0.3">
      <c r="A98" s="137" t="s">
        <v>212</v>
      </c>
      <c r="B98" s="137" t="s">
        <v>521</v>
      </c>
      <c r="C98" s="137" t="s">
        <v>211</v>
      </c>
      <c r="D98" s="138">
        <v>0</v>
      </c>
      <c r="E98" s="138">
        <v>0</v>
      </c>
      <c r="F98" s="138">
        <v>0</v>
      </c>
      <c r="G98" s="138">
        <v>0</v>
      </c>
      <c r="H98" s="140">
        <v>1</v>
      </c>
      <c r="I98" s="140">
        <v>1</v>
      </c>
      <c r="J98" s="138">
        <v>1</v>
      </c>
      <c r="K98" s="138">
        <v>1</v>
      </c>
      <c r="L98" s="138">
        <v>0</v>
      </c>
      <c r="M98" s="138">
        <v>0</v>
      </c>
      <c r="N98" s="153">
        <v>1</v>
      </c>
      <c r="O98" s="138">
        <v>0</v>
      </c>
      <c r="P98" s="137">
        <f>VLOOKUP(A98,[1]allpride!$C$2:$V$215,14,FALSE)</f>
        <v>1</v>
      </c>
      <c r="Q98" s="137">
        <f>VLOOKUP(A98,[1]allpride!$C$2:$V$215,15,FALSE)</f>
        <v>0</v>
      </c>
      <c r="R98" s="137">
        <f>VLOOKUP(A98,[1]allpride!$C$2:$V$215,16,FALSE)</f>
        <v>0</v>
      </c>
      <c r="S98" s="137">
        <f>VLOOKUP(A98,[1]allpride!$C$2:$V$215,17,FALSE)</f>
        <v>1</v>
      </c>
      <c r="T98" s="137">
        <f>VLOOKUP(A98,[1]allpride!$C$2:$V$215,18,FALSE)</f>
        <v>2008</v>
      </c>
      <c r="U98" s="137">
        <f>VLOOKUP(A98,[1]allpride!$C$2:$V$215,19,FALSE)</f>
        <v>9</v>
      </c>
      <c r="V98" s="137">
        <f>VLOOKUP(A98,[1]allpride!$C$2:$V$215,20,FALSE)</f>
        <v>6</v>
      </c>
      <c r="W98" s="137">
        <f>VLOOKUP(B98,'[2]pride covariates'!$A$2:$B$33,2,FALSE)</f>
        <v>1</v>
      </c>
      <c r="X98" s="137">
        <v>1</v>
      </c>
      <c r="Y98" s="137">
        <v>0</v>
      </c>
      <c r="Z98" s="117" t="str">
        <f t="shared" si="4"/>
        <v>/* ELI-124 */ 01111001 1 1 1 0 0 6 1;</v>
      </c>
      <c r="AA98" s="137" t="str">
        <f t="shared" si="5"/>
        <v>01111001</v>
      </c>
      <c r="AB98" s="137" t="str">
        <f t="shared" si="6"/>
        <v>/*ELI-124*/ 01111001 1;</v>
      </c>
    </row>
    <row r="99" spans="1:28" x14ac:dyDescent="0.3">
      <c r="A99" s="137" t="s">
        <v>214</v>
      </c>
      <c r="B99" s="137" t="s">
        <v>521</v>
      </c>
      <c r="C99" s="137" t="s">
        <v>213</v>
      </c>
      <c r="D99" s="138">
        <v>0</v>
      </c>
      <c r="E99" s="138">
        <v>0</v>
      </c>
      <c r="F99" s="138">
        <v>0</v>
      </c>
      <c r="G99" s="138">
        <v>0</v>
      </c>
      <c r="H99" s="140">
        <v>1</v>
      </c>
      <c r="I99" s="140">
        <v>1</v>
      </c>
      <c r="J99" s="138">
        <v>1</v>
      </c>
      <c r="K99" s="138">
        <v>1</v>
      </c>
      <c r="L99" s="138">
        <v>1</v>
      </c>
      <c r="M99" s="138">
        <v>1</v>
      </c>
      <c r="N99" s="138">
        <v>0</v>
      </c>
      <c r="O99" s="138">
        <v>0</v>
      </c>
      <c r="P99" s="137">
        <f>VLOOKUP(A99,[1]allpride!$C$2:$V$215,14,FALSE)</f>
        <v>1</v>
      </c>
      <c r="Q99" s="137">
        <f>VLOOKUP(A99,[1]allpride!$C$2:$V$215,15,FALSE)</f>
        <v>0</v>
      </c>
      <c r="R99" s="137">
        <v>1</v>
      </c>
      <c r="S99" s="137">
        <f>VLOOKUP(A99,[1]allpride!$C$2:$V$215,17,FALSE)</f>
        <v>1</v>
      </c>
      <c r="T99" s="137">
        <f>VLOOKUP(A99,[1]allpride!$C$2:$V$215,18,FALSE)</f>
        <v>2008</v>
      </c>
      <c r="U99" s="137">
        <f>VLOOKUP(A99,[1]allpride!$C$2:$V$215,19,FALSE)</f>
        <v>9</v>
      </c>
      <c r="V99" s="137">
        <f>VLOOKUP(A99,[1]allpride!$C$2:$V$215,20,FALSE)</f>
        <v>7</v>
      </c>
      <c r="W99" s="137">
        <f>VLOOKUP(B99,'[2]pride covariates'!$A$2:$B$33,2,FALSE)</f>
        <v>1</v>
      </c>
      <c r="X99" s="137">
        <v>1</v>
      </c>
      <c r="Y99" s="137">
        <v>0</v>
      </c>
      <c r="Z99" s="117" t="str">
        <f t="shared" ref="Z99:Z130" si="7">CONCATENATE("/* ",A99," */ ",G99,H99,I99,J99,K99,L99,M99,N99," 1"," ",P99," ",S99," ",R99," ",Y99," ",V99," ",X99,";")</f>
        <v>/* ELI-125 */ 01111110 1 1 1 1 0 7 1;</v>
      </c>
      <c r="AA99" s="137" t="str">
        <f t="shared" si="5"/>
        <v>01111110</v>
      </c>
      <c r="AB99" s="137" t="str">
        <f t="shared" si="6"/>
        <v>/*ELI-125*/ 01111110 1;</v>
      </c>
    </row>
    <row r="100" spans="1:28" x14ac:dyDescent="0.3">
      <c r="A100" s="137" t="s">
        <v>218</v>
      </c>
      <c r="B100" s="137" t="s">
        <v>521</v>
      </c>
      <c r="C100" s="137" t="s">
        <v>217</v>
      </c>
      <c r="D100" s="162">
        <v>1</v>
      </c>
      <c r="E100" s="162">
        <v>1</v>
      </c>
      <c r="F100" s="162">
        <v>1</v>
      </c>
      <c r="G100" s="138">
        <v>0</v>
      </c>
      <c r="H100" s="140">
        <v>1</v>
      </c>
      <c r="I100" s="140">
        <v>1</v>
      </c>
      <c r="J100" s="138">
        <v>1</v>
      </c>
      <c r="K100" s="138">
        <v>1</v>
      </c>
      <c r="L100" s="138">
        <v>1</v>
      </c>
      <c r="M100" s="138">
        <v>1</v>
      </c>
      <c r="N100" s="138">
        <v>1</v>
      </c>
      <c r="O100" s="138">
        <v>1</v>
      </c>
      <c r="P100" s="137">
        <f>VLOOKUP(A100,[1]allpride!$C$2:$V$215,14,FALSE)</f>
        <v>1</v>
      </c>
      <c r="Q100" s="137">
        <f>VLOOKUP(A100,[1]allpride!$C$2:$V$215,15,FALSE)</f>
        <v>0</v>
      </c>
      <c r="R100" s="137">
        <f>VLOOKUP(A100,[1]allpride!$C$2:$V$215,16,FALSE)</f>
        <v>0</v>
      </c>
      <c r="S100" s="137">
        <f>VLOOKUP(A100,[1]allpride!$C$2:$V$215,17,FALSE)</f>
        <v>1</v>
      </c>
      <c r="T100" s="137">
        <f>VLOOKUP(A100,[1]allpride!$C$2:$V$215,18,FALSE)</f>
        <v>2008</v>
      </c>
      <c r="U100" s="137">
        <f>VLOOKUP(A100,[1]allpride!$C$2:$V$215,19,FALSE)</f>
        <v>9</v>
      </c>
      <c r="V100" s="137">
        <f>VLOOKUP(A100,[1]allpride!$C$2:$V$215,20,FALSE)</f>
        <v>3</v>
      </c>
      <c r="W100" s="137">
        <f>VLOOKUP(B100,'[2]pride covariates'!$A$2:$B$33,2,FALSE)</f>
        <v>1</v>
      </c>
      <c r="X100" s="137">
        <v>1</v>
      </c>
      <c r="Y100" s="137">
        <v>0</v>
      </c>
      <c r="Z100" s="117" t="str">
        <f t="shared" si="7"/>
        <v>/* ELI-126 */ 01111111 1 1 1 0 0 3 1;</v>
      </c>
      <c r="AA100" s="137" t="str">
        <f t="shared" si="5"/>
        <v>01111111</v>
      </c>
      <c r="AB100" s="137" t="str">
        <f t="shared" si="6"/>
        <v>/*ELI-126*/ 01111111 1;</v>
      </c>
    </row>
    <row r="101" spans="1:28" x14ac:dyDescent="0.3">
      <c r="A101" s="137" t="s">
        <v>220</v>
      </c>
      <c r="B101" s="137" t="s">
        <v>521</v>
      </c>
      <c r="C101" s="137" t="s">
        <v>219</v>
      </c>
      <c r="D101" s="138">
        <v>0</v>
      </c>
      <c r="E101" s="138">
        <v>0</v>
      </c>
      <c r="F101" s="138">
        <v>0</v>
      </c>
      <c r="G101" s="138">
        <v>0</v>
      </c>
      <c r="H101" s="140">
        <v>1</v>
      </c>
      <c r="I101" s="140">
        <v>0</v>
      </c>
      <c r="J101" s="138">
        <v>1</v>
      </c>
      <c r="K101" s="138">
        <v>1</v>
      </c>
      <c r="L101" s="138">
        <v>1</v>
      </c>
      <c r="M101" s="138">
        <v>1</v>
      </c>
      <c r="N101" s="138">
        <v>1</v>
      </c>
      <c r="O101" s="138">
        <v>1</v>
      </c>
      <c r="P101" s="137">
        <f>VLOOKUP(A101,[1]allpride!$C$2:$V$215,14,FALSE)</f>
        <v>1</v>
      </c>
      <c r="Q101" s="137">
        <f>VLOOKUP(A101,[1]allpride!$C$2:$V$215,15,FALSE)</f>
        <v>0</v>
      </c>
      <c r="R101" s="137">
        <f>VLOOKUP(A101,[1]allpride!$C$2:$V$215,16,FALSE)</f>
        <v>0</v>
      </c>
      <c r="S101" s="137">
        <f>VLOOKUP(A101,[1]allpride!$C$2:$V$215,17,FALSE)</f>
        <v>1</v>
      </c>
      <c r="T101" s="137">
        <f>VLOOKUP(A101,[1]allpride!$C$2:$V$215,18,FALSE)</f>
        <v>2008</v>
      </c>
      <c r="U101" s="137">
        <f>VLOOKUP(A101,[1]allpride!$C$2:$V$215,19,FALSE)</f>
        <v>9</v>
      </c>
      <c r="V101" s="137">
        <f>VLOOKUP(A101,[1]allpride!$C$2:$V$215,20,FALSE)</f>
        <v>2</v>
      </c>
      <c r="W101" s="137">
        <f>VLOOKUP(B101,'[2]pride covariates'!$A$2:$B$33,2,FALSE)</f>
        <v>1</v>
      </c>
      <c r="X101" s="137">
        <v>1</v>
      </c>
      <c r="Y101" s="137">
        <v>0</v>
      </c>
      <c r="Z101" s="117" t="str">
        <f t="shared" si="7"/>
        <v>/* ELI-127 */ 01011111 1 1 1 0 0 2 1;</v>
      </c>
      <c r="AA101" s="137" t="str">
        <f t="shared" si="5"/>
        <v>01011111</v>
      </c>
      <c r="AB101" s="137" t="str">
        <f t="shared" si="6"/>
        <v>/*ELI-127*/ 01011111 1;</v>
      </c>
    </row>
    <row r="102" spans="1:28" x14ac:dyDescent="0.3">
      <c r="A102" s="137" t="s">
        <v>230</v>
      </c>
      <c r="B102" s="137" t="s">
        <v>521</v>
      </c>
      <c r="C102" s="137" t="s">
        <v>519</v>
      </c>
      <c r="D102" s="138">
        <v>0</v>
      </c>
      <c r="E102" s="138">
        <v>0</v>
      </c>
      <c r="F102" s="138">
        <v>0</v>
      </c>
      <c r="G102" s="138">
        <v>0</v>
      </c>
      <c r="H102" s="140">
        <v>1</v>
      </c>
      <c r="I102" s="140">
        <v>0</v>
      </c>
      <c r="J102" s="138">
        <v>1</v>
      </c>
      <c r="K102" s="138">
        <v>1</v>
      </c>
      <c r="L102" s="138">
        <v>1</v>
      </c>
      <c r="M102" s="138">
        <v>1</v>
      </c>
      <c r="N102" s="138">
        <v>1</v>
      </c>
      <c r="O102" s="138">
        <v>1</v>
      </c>
      <c r="P102" s="137">
        <f>VLOOKUP(A102,[1]allpride!$C$2:$V$215,14,FALSE)</f>
        <v>1</v>
      </c>
      <c r="Q102" s="137">
        <f>VLOOKUP(A102,[1]allpride!$C$2:$V$215,15,FALSE)</f>
        <v>0</v>
      </c>
      <c r="R102" s="137">
        <f>VLOOKUP(A102,[1]allpride!$C$2:$V$215,16,FALSE)</f>
        <v>0</v>
      </c>
      <c r="S102" s="137">
        <f>VLOOKUP(A102,[1]allpride!$C$2:$V$215,17,FALSE)</f>
        <v>1</v>
      </c>
      <c r="T102" s="137">
        <f>VLOOKUP(A102,[1]allpride!$C$2:$V$215,18,FALSE)</f>
        <v>2008</v>
      </c>
      <c r="U102" s="137">
        <f>VLOOKUP(A102,[1]allpride!$C$2:$V$215,19,FALSE)</f>
        <v>10</v>
      </c>
      <c r="V102" s="137">
        <f>VLOOKUP(A102,[1]allpride!$C$2:$V$215,20,FALSE)</f>
        <v>5</v>
      </c>
      <c r="W102" s="137">
        <f>VLOOKUP(B102,'[2]pride covariates'!$A$2:$B$33,2,FALSE)</f>
        <v>1</v>
      </c>
      <c r="X102" s="137">
        <v>1</v>
      </c>
      <c r="Y102" s="137">
        <v>0</v>
      </c>
      <c r="Z102" s="117" t="str">
        <f t="shared" si="7"/>
        <v>/* ELI-138 */ 01011111 1 1 1 0 0 5 1;</v>
      </c>
      <c r="AA102" s="137" t="str">
        <f t="shared" si="5"/>
        <v>01011111</v>
      </c>
      <c r="AB102" s="137" t="str">
        <f t="shared" si="6"/>
        <v>/*ELI-138*/ 01011111 1;</v>
      </c>
    </row>
    <row r="103" spans="1:28" x14ac:dyDescent="0.3">
      <c r="A103" s="137" t="s">
        <v>363</v>
      </c>
      <c r="B103" s="137" t="s">
        <v>521</v>
      </c>
      <c r="C103" s="137" t="s">
        <v>520</v>
      </c>
      <c r="D103" s="138">
        <v>0</v>
      </c>
      <c r="E103" s="138">
        <v>0</v>
      </c>
      <c r="F103" s="138">
        <v>0</v>
      </c>
      <c r="G103" s="138">
        <v>0</v>
      </c>
      <c r="H103" s="140">
        <v>1</v>
      </c>
      <c r="I103" s="140">
        <v>0</v>
      </c>
      <c r="J103" s="138">
        <v>1</v>
      </c>
      <c r="K103" s="138">
        <v>1</v>
      </c>
      <c r="L103" s="138">
        <v>1</v>
      </c>
      <c r="M103" s="138">
        <v>1</v>
      </c>
      <c r="N103" s="138">
        <v>1</v>
      </c>
      <c r="O103" s="138">
        <v>1</v>
      </c>
      <c r="P103" s="137">
        <v>1</v>
      </c>
      <c r="Q103" s="137">
        <v>0</v>
      </c>
      <c r="R103" s="137">
        <v>0</v>
      </c>
      <c r="S103" s="137">
        <v>1</v>
      </c>
      <c r="T103" s="137">
        <v>2014</v>
      </c>
      <c r="U103" s="137">
        <v>7</v>
      </c>
      <c r="V103" s="137">
        <v>6</v>
      </c>
      <c r="W103" s="137">
        <f>VLOOKUP(B103,'[2]pride covariates'!$A$2:$B$33,2,FALSE)</f>
        <v>1</v>
      </c>
      <c r="X103" s="137">
        <v>1</v>
      </c>
      <c r="Y103" s="137">
        <v>0</v>
      </c>
      <c r="Z103" s="117" t="str">
        <f t="shared" si="7"/>
        <v>/* ELI-469 */ 01011111 1 1 1 0 0 6 1;</v>
      </c>
      <c r="AA103" s="137" t="str">
        <f t="shared" si="5"/>
        <v>01011111</v>
      </c>
      <c r="AB103" s="137" t="str">
        <f t="shared" si="6"/>
        <v>/*ELI-469*/ 01011111 1;</v>
      </c>
    </row>
    <row r="104" spans="1:28" x14ac:dyDescent="0.3">
      <c r="A104" s="137" t="s">
        <v>365</v>
      </c>
      <c r="B104" s="137" t="s">
        <v>521</v>
      </c>
      <c r="C104" s="137" t="s">
        <v>521</v>
      </c>
      <c r="D104" s="138">
        <v>0</v>
      </c>
      <c r="E104" s="138">
        <v>0</v>
      </c>
      <c r="F104" s="138">
        <v>0</v>
      </c>
      <c r="G104" s="138">
        <v>0</v>
      </c>
      <c r="H104" s="140">
        <v>1</v>
      </c>
      <c r="I104" s="140">
        <v>0</v>
      </c>
      <c r="J104" s="138">
        <v>1</v>
      </c>
      <c r="K104" s="138">
        <v>1</v>
      </c>
      <c r="L104" s="138">
        <v>1</v>
      </c>
      <c r="M104" s="138">
        <v>1</v>
      </c>
      <c r="N104" s="138">
        <v>1</v>
      </c>
      <c r="O104" s="138">
        <v>1</v>
      </c>
      <c r="P104" s="137">
        <f>VLOOKUP(A104,[1]allpride!$C$2:$V$215,14,FALSE)</f>
        <v>1</v>
      </c>
      <c r="Q104" s="137">
        <f>VLOOKUP(A104,[1]allpride!$C$2:$V$215,15,FALSE)</f>
        <v>1</v>
      </c>
      <c r="R104" s="137">
        <f>VLOOKUP(A104,[1]allpride!$C$2:$V$215,16,FALSE)</f>
        <v>0</v>
      </c>
      <c r="S104" s="137">
        <f>VLOOKUP(A104,[1]allpride!$C$2:$V$215,17,FALSE)</f>
        <v>1</v>
      </c>
      <c r="T104" s="137">
        <f>VLOOKUP(A104,[1]allpride!$C$2:$V$215,18,FALSE)</f>
        <v>2013</v>
      </c>
      <c r="U104" s="137">
        <f>VLOOKUP(A104,[1]allpride!$C$2:$V$215,19,FALSE)</f>
        <v>8</v>
      </c>
      <c r="V104" s="137">
        <f>VLOOKUP(A104,[1]allpride!$C$2:$V$215,20,FALSE)</f>
        <v>0</v>
      </c>
      <c r="W104" s="137">
        <f>VLOOKUP(B104,'[2]pride covariates'!$A$2:$B$33,2,FALSE)</f>
        <v>1</v>
      </c>
      <c r="X104" s="137">
        <v>1</v>
      </c>
      <c r="Y104" s="137">
        <v>1</v>
      </c>
      <c r="Z104" s="117" t="str">
        <f t="shared" si="7"/>
        <v>/* ELI-657 */ 01011111 1 1 1 0 1 0 1;</v>
      </c>
      <c r="AA104" s="137" t="str">
        <f t="shared" si="5"/>
        <v>01011111</v>
      </c>
      <c r="AB104" s="137" t="str">
        <f t="shared" si="6"/>
        <v>/*ELI-657*/ 01011111 1;</v>
      </c>
    </row>
    <row r="105" spans="1:28" x14ac:dyDescent="0.3">
      <c r="A105" s="137" t="s">
        <v>366</v>
      </c>
      <c r="B105" s="137" t="s">
        <v>521</v>
      </c>
      <c r="C105" s="137" t="s">
        <v>521</v>
      </c>
      <c r="D105" s="138">
        <v>0</v>
      </c>
      <c r="E105" s="138">
        <v>0</v>
      </c>
      <c r="F105" s="138">
        <v>0</v>
      </c>
      <c r="G105" s="138">
        <v>0</v>
      </c>
      <c r="H105" s="140">
        <v>1</v>
      </c>
      <c r="I105" s="140">
        <v>0</v>
      </c>
      <c r="J105" s="138">
        <v>1</v>
      </c>
      <c r="K105" s="138">
        <v>1</v>
      </c>
      <c r="L105" s="138">
        <v>1</v>
      </c>
      <c r="M105" s="138">
        <v>1</v>
      </c>
      <c r="N105" s="138">
        <v>1</v>
      </c>
      <c r="O105" s="138">
        <v>1</v>
      </c>
      <c r="P105" s="137">
        <f>VLOOKUP(A105,[1]allpride!$C$2:$V$215,14,FALSE)</f>
        <v>1</v>
      </c>
      <c r="Q105" s="137">
        <f>VLOOKUP(A105,[1]allpride!$C$2:$V$215,15,FALSE)</f>
        <v>0</v>
      </c>
      <c r="R105" s="137">
        <f>VLOOKUP(A105,[1]allpride!$C$2:$V$215,16,FALSE)</f>
        <v>0</v>
      </c>
      <c r="S105" s="137">
        <f>VLOOKUP(A105,[1]allpride!$C$2:$V$215,17,FALSE)</f>
        <v>1</v>
      </c>
      <c r="T105" s="137">
        <f>VLOOKUP(A105,[1]allpride!$C$2:$V$215,18,FALSE)</f>
        <v>2013</v>
      </c>
      <c r="U105" s="137">
        <f>VLOOKUP(A105,[1]allpride!$C$2:$V$215,19,FALSE)</f>
        <v>11</v>
      </c>
      <c r="V105" s="137">
        <f>VLOOKUP(A105,[1]allpride!$C$2:$V$215,20,FALSE)</f>
        <v>1</v>
      </c>
      <c r="W105" s="137">
        <f>VLOOKUP(B105,'[2]pride covariates'!$A$2:$B$33,2,FALSE)</f>
        <v>1</v>
      </c>
      <c r="X105" s="137">
        <v>1</v>
      </c>
      <c r="Y105" s="137">
        <v>0</v>
      </c>
      <c r="Z105" s="117" t="str">
        <f t="shared" si="7"/>
        <v>/* ELI-658 */ 01011111 1 1 1 0 0 1 1;</v>
      </c>
      <c r="AA105" s="137" t="str">
        <f t="shared" si="5"/>
        <v>01011111</v>
      </c>
      <c r="AB105" s="137" t="str">
        <f t="shared" si="6"/>
        <v>/*ELI-658*/ 01011111 1;</v>
      </c>
    </row>
    <row r="106" spans="1:28" x14ac:dyDescent="0.3">
      <c r="A106" s="137" t="s">
        <v>367</v>
      </c>
      <c r="B106" s="137" t="s">
        <v>521</v>
      </c>
      <c r="C106" s="137" t="s">
        <v>521</v>
      </c>
      <c r="D106" s="138">
        <v>0</v>
      </c>
      <c r="E106" s="138">
        <v>0</v>
      </c>
      <c r="F106" s="138">
        <v>0</v>
      </c>
      <c r="G106" s="138">
        <v>0</v>
      </c>
      <c r="H106" s="140">
        <v>1</v>
      </c>
      <c r="I106" s="140">
        <v>0</v>
      </c>
      <c r="J106" s="138">
        <v>1</v>
      </c>
      <c r="K106" s="138">
        <v>1</v>
      </c>
      <c r="L106" s="138">
        <v>1</v>
      </c>
      <c r="M106" s="138">
        <v>1</v>
      </c>
      <c r="N106" s="138">
        <v>1</v>
      </c>
      <c r="O106" s="138">
        <v>1</v>
      </c>
      <c r="P106" s="137">
        <f>VLOOKUP(A106,[1]allpride!$C$2:$V$215,14,FALSE)</f>
        <v>1</v>
      </c>
      <c r="Q106" s="137">
        <f>VLOOKUP(A106,[1]allpride!$C$2:$V$215,15,FALSE)</f>
        <v>0</v>
      </c>
      <c r="R106" s="137">
        <f>VLOOKUP(A106,[1]allpride!$C$2:$V$215,16,FALSE)</f>
        <v>0</v>
      </c>
      <c r="S106" s="137">
        <f>VLOOKUP(A106,[1]allpride!$C$2:$V$215,17,FALSE)</f>
        <v>1</v>
      </c>
      <c r="T106" s="137">
        <f>VLOOKUP(A106,[1]allpride!$C$2:$V$215,18,FALSE)</f>
        <v>2013</v>
      </c>
      <c r="U106" s="137">
        <f>VLOOKUP(A106,[1]allpride!$C$2:$V$215,19,FALSE)</f>
        <v>8</v>
      </c>
      <c r="V106" s="137">
        <f>VLOOKUP(A106,[1]allpride!$C$2:$V$215,20,FALSE)</f>
        <v>0</v>
      </c>
      <c r="W106" s="137">
        <f>VLOOKUP(B106,'[2]pride covariates'!$A$2:$B$33,2,FALSE)</f>
        <v>1</v>
      </c>
      <c r="X106" s="137">
        <v>1</v>
      </c>
      <c r="Y106" s="137">
        <v>0</v>
      </c>
      <c r="Z106" s="117" t="str">
        <f t="shared" si="7"/>
        <v>/* ELI-659 */ 01011111 1 1 1 0 0 0 1;</v>
      </c>
      <c r="AA106" s="137" t="str">
        <f t="shared" si="5"/>
        <v>01011111</v>
      </c>
      <c r="AB106" s="137" t="str">
        <f t="shared" si="6"/>
        <v>/*ELI-659*/ 01011111 1;</v>
      </c>
    </row>
    <row r="107" spans="1:28" x14ac:dyDescent="0.3">
      <c r="A107" s="137" t="s">
        <v>368</v>
      </c>
      <c r="B107" s="137" t="s">
        <v>521</v>
      </c>
      <c r="C107" s="137" t="s">
        <v>521</v>
      </c>
      <c r="D107" s="138">
        <v>0</v>
      </c>
      <c r="E107" s="138">
        <v>0</v>
      </c>
      <c r="F107" s="138">
        <v>0</v>
      </c>
      <c r="G107" s="138">
        <v>0</v>
      </c>
      <c r="H107" s="140">
        <v>1</v>
      </c>
      <c r="I107" s="140">
        <v>1</v>
      </c>
      <c r="J107" s="138">
        <v>1</v>
      </c>
      <c r="K107" s="138">
        <v>1</v>
      </c>
      <c r="L107" s="138">
        <v>1</v>
      </c>
      <c r="M107" s="138">
        <v>1</v>
      </c>
      <c r="N107" s="138">
        <v>1</v>
      </c>
      <c r="O107" s="138">
        <v>1</v>
      </c>
      <c r="P107" s="137">
        <f>VLOOKUP(A107,[1]allpride!$C$2:$V$215,14,FALSE)</f>
        <v>1</v>
      </c>
      <c r="Q107" s="137">
        <f>VLOOKUP(A107,[1]allpride!$C$2:$V$215,15,FALSE)</f>
        <v>0</v>
      </c>
      <c r="R107" s="137">
        <f>VLOOKUP(A107,[1]allpride!$C$2:$V$215,16,FALSE)</f>
        <v>0</v>
      </c>
      <c r="S107" s="137">
        <f>VLOOKUP(A107,[1]allpride!$C$2:$V$215,17,FALSE)</f>
        <v>1</v>
      </c>
      <c r="T107" s="137">
        <f>VLOOKUP(A107,[1]allpride!$C$2:$V$215,18,FALSE)</f>
        <v>2013</v>
      </c>
      <c r="U107" s="137">
        <f>VLOOKUP(A107,[1]allpride!$C$2:$V$215,19,FALSE)</f>
        <v>8</v>
      </c>
      <c r="V107" s="137">
        <f>VLOOKUP(A107,[1]allpride!$C$2:$V$215,20,FALSE)</f>
        <v>0</v>
      </c>
      <c r="W107" s="137">
        <f>VLOOKUP(B107,'[2]pride covariates'!$A$2:$B$33,2,FALSE)</f>
        <v>1</v>
      </c>
      <c r="X107" s="137">
        <v>1</v>
      </c>
      <c r="Y107" s="137">
        <v>0</v>
      </c>
      <c r="Z107" s="117" t="str">
        <f t="shared" si="7"/>
        <v>/* ELI-660 */ 01111111 1 1 1 0 0 0 1;</v>
      </c>
      <c r="AA107" s="137" t="str">
        <f t="shared" si="5"/>
        <v>01111111</v>
      </c>
      <c r="AB107" s="137" t="str">
        <f t="shared" si="6"/>
        <v>/*ELI-660*/ 01111111 1;</v>
      </c>
    </row>
    <row r="108" spans="1:28" x14ac:dyDescent="0.3">
      <c r="A108" s="137" t="s">
        <v>369</v>
      </c>
      <c r="B108" s="137" t="s">
        <v>521</v>
      </c>
      <c r="C108" s="137" t="s">
        <v>521</v>
      </c>
      <c r="D108" s="138">
        <v>0</v>
      </c>
      <c r="E108" s="138">
        <v>0</v>
      </c>
      <c r="F108" s="138">
        <v>0</v>
      </c>
      <c r="G108" s="138">
        <v>0</v>
      </c>
      <c r="H108" s="140">
        <v>1</v>
      </c>
      <c r="I108" s="140">
        <v>0</v>
      </c>
      <c r="J108" s="138">
        <v>1</v>
      </c>
      <c r="K108" s="138">
        <v>1</v>
      </c>
      <c r="L108" s="138">
        <v>0</v>
      </c>
      <c r="M108" s="138">
        <v>1</v>
      </c>
      <c r="N108" s="138">
        <v>1</v>
      </c>
      <c r="O108" s="138">
        <v>1</v>
      </c>
      <c r="P108" s="137">
        <f>VLOOKUP(A108,[1]allpride!$C$2:$V$215,14,FALSE)</f>
        <v>1</v>
      </c>
      <c r="Q108" s="137">
        <f>VLOOKUP(A108,[1]allpride!$C$2:$V$215,15,FALSE)</f>
        <v>0</v>
      </c>
      <c r="R108" s="137">
        <f>VLOOKUP(A108,[1]allpride!$C$2:$V$215,16,FALSE)</f>
        <v>0</v>
      </c>
      <c r="S108" s="137">
        <f>VLOOKUP(A108,[1]allpride!$C$2:$V$215,17,FALSE)</f>
        <v>1</v>
      </c>
      <c r="T108" s="137">
        <f>VLOOKUP(A108,[1]allpride!$C$2:$V$215,18,FALSE)</f>
        <v>2013</v>
      </c>
      <c r="U108" s="137">
        <f>VLOOKUP(A108,[1]allpride!$C$2:$V$215,19,FALSE)</f>
        <v>8</v>
      </c>
      <c r="V108" s="137">
        <f>VLOOKUP(A108,[1]allpride!$C$2:$V$215,20,FALSE)</f>
        <v>0</v>
      </c>
      <c r="W108" s="137">
        <f>VLOOKUP(B108,'[2]pride covariates'!$A$2:$B$33,2,FALSE)</f>
        <v>1</v>
      </c>
      <c r="X108" s="137">
        <v>1</v>
      </c>
      <c r="Y108" s="137">
        <v>0</v>
      </c>
      <c r="Z108" s="117" t="str">
        <f t="shared" si="7"/>
        <v>/* ELI-661 */ 01011011 1 1 1 0 0 0 1;</v>
      </c>
      <c r="AA108" s="137" t="str">
        <f t="shared" si="5"/>
        <v>01011011</v>
      </c>
      <c r="AB108" s="137" t="str">
        <f t="shared" si="6"/>
        <v>/*ELI-661*/ 01011011 1;</v>
      </c>
    </row>
    <row r="109" spans="1:28" x14ac:dyDescent="0.3">
      <c r="A109" s="137" t="s">
        <v>370</v>
      </c>
      <c r="B109" s="137" t="s">
        <v>521</v>
      </c>
      <c r="C109" s="137" t="s">
        <v>521</v>
      </c>
      <c r="D109" s="138">
        <v>0</v>
      </c>
      <c r="E109" s="138">
        <v>0</v>
      </c>
      <c r="F109" s="138">
        <v>0</v>
      </c>
      <c r="G109" s="138">
        <v>0</v>
      </c>
      <c r="H109" s="140">
        <v>0</v>
      </c>
      <c r="I109" s="140">
        <v>1</v>
      </c>
      <c r="J109" s="138">
        <v>1</v>
      </c>
      <c r="K109" s="138">
        <v>1</v>
      </c>
      <c r="L109" s="138">
        <v>1</v>
      </c>
      <c r="M109" s="138">
        <v>1</v>
      </c>
      <c r="N109" s="138">
        <v>1</v>
      </c>
      <c r="O109" s="138">
        <v>1</v>
      </c>
      <c r="P109" s="137">
        <f>VLOOKUP(A109,[1]allpride!$C$2:$V$215,14,FALSE)</f>
        <v>1</v>
      </c>
      <c r="Q109" s="137">
        <f>VLOOKUP(A109,[1]allpride!$C$2:$V$215,15,FALSE)</f>
        <v>0</v>
      </c>
      <c r="R109" s="137">
        <f>VLOOKUP(A109,[1]allpride!$C$2:$V$215,16,FALSE)</f>
        <v>0</v>
      </c>
      <c r="S109" s="137">
        <f>VLOOKUP(A109,[1]allpride!$C$2:$V$215,17,FALSE)</f>
        <v>1</v>
      </c>
      <c r="T109" s="137">
        <f>VLOOKUP(A109,[1]allpride!$C$2:$V$215,18,FALSE)</f>
        <v>2013</v>
      </c>
      <c r="U109" s="137">
        <f>VLOOKUP(A109,[1]allpride!$C$2:$V$215,19,FALSE)</f>
        <v>8</v>
      </c>
      <c r="V109" s="137">
        <f>VLOOKUP(A109,[1]allpride!$C$2:$V$215,20,FALSE)</f>
        <v>0</v>
      </c>
      <c r="W109" s="137">
        <f>VLOOKUP(B109,'[2]pride covariates'!$A$2:$B$33,2,FALSE)</f>
        <v>1</v>
      </c>
      <c r="X109" s="137">
        <v>1</v>
      </c>
      <c r="Y109" s="137">
        <v>0</v>
      </c>
      <c r="Z109" s="117" t="str">
        <f t="shared" si="7"/>
        <v>/* ELI-662 */ 00111111 1 1 1 0 0 0 1;</v>
      </c>
      <c r="AA109" s="137" t="str">
        <f t="shared" si="5"/>
        <v>00111111</v>
      </c>
      <c r="AB109" s="137" t="str">
        <f t="shared" si="6"/>
        <v>/*ELI-662*/ 00111111 1;</v>
      </c>
    </row>
    <row r="110" spans="1:28" x14ac:dyDescent="0.3">
      <c r="A110" s="137" t="s">
        <v>371</v>
      </c>
      <c r="B110" s="137" t="s">
        <v>521</v>
      </c>
      <c r="C110" s="137" t="s">
        <v>521</v>
      </c>
      <c r="D110" s="138">
        <v>0</v>
      </c>
      <c r="E110" s="138">
        <v>0</v>
      </c>
      <c r="F110" s="138">
        <v>0</v>
      </c>
      <c r="G110" s="138">
        <v>0</v>
      </c>
      <c r="H110" s="140">
        <v>1</v>
      </c>
      <c r="I110" s="140">
        <v>1</v>
      </c>
      <c r="J110" s="138">
        <v>1</v>
      </c>
      <c r="K110" s="138">
        <v>1</v>
      </c>
      <c r="L110" s="138">
        <v>1</v>
      </c>
      <c r="M110" s="138">
        <v>1</v>
      </c>
      <c r="N110" s="138">
        <v>1</v>
      </c>
      <c r="O110" s="138">
        <v>0</v>
      </c>
      <c r="P110" s="137">
        <f>VLOOKUP(A110,[1]allpride!$C$2:$V$215,14,FALSE)</f>
        <v>1</v>
      </c>
      <c r="Q110" s="137">
        <f>VLOOKUP(A110,[1]allpride!$C$2:$V$215,15,FALSE)</f>
        <v>1</v>
      </c>
      <c r="R110" s="137">
        <f>VLOOKUP(A110,[1]allpride!$C$2:$V$215,16,FALSE)</f>
        <v>0</v>
      </c>
      <c r="S110" s="137">
        <f>VLOOKUP(A110,[1]allpride!$C$2:$V$215,17,FALSE)</f>
        <v>1</v>
      </c>
      <c r="T110" s="137">
        <f>VLOOKUP(A110,[1]allpride!$C$2:$V$215,18,FALSE)</f>
        <v>2013</v>
      </c>
      <c r="U110" s="137">
        <f>VLOOKUP(A110,[1]allpride!$C$2:$V$215,19,FALSE)</f>
        <v>8</v>
      </c>
      <c r="V110" s="137">
        <f>VLOOKUP(A110,[1]allpride!$C$2:$V$215,20,FALSE)</f>
        <v>2</v>
      </c>
      <c r="W110" s="137">
        <f>VLOOKUP(B110,'[2]pride covariates'!$A$2:$B$33,2,FALSE)</f>
        <v>1</v>
      </c>
      <c r="X110" s="137">
        <v>1</v>
      </c>
      <c r="Y110" s="137">
        <v>1</v>
      </c>
      <c r="Z110" s="117" t="str">
        <f t="shared" si="7"/>
        <v>/* ELI-663 */ 01111111 1 1 1 0 1 2 1;</v>
      </c>
      <c r="AA110" s="137" t="str">
        <f t="shared" si="5"/>
        <v>01111111</v>
      </c>
      <c r="AB110" s="137" t="str">
        <f t="shared" si="6"/>
        <v>/*ELI-663*/ 01111111 1;</v>
      </c>
    </row>
    <row r="111" spans="1:28" x14ac:dyDescent="0.3">
      <c r="A111" s="137" t="s">
        <v>372</v>
      </c>
      <c r="B111" s="137" t="s">
        <v>521</v>
      </c>
      <c r="C111" s="137" t="s">
        <v>521</v>
      </c>
      <c r="D111" s="138">
        <v>0</v>
      </c>
      <c r="E111" s="138">
        <v>0</v>
      </c>
      <c r="F111" s="138">
        <v>0</v>
      </c>
      <c r="G111" s="138">
        <v>0</v>
      </c>
      <c r="H111" s="140">
        <v>1</v>
      </c>
      <c r="I111" s="140">
        <v>1</v>
      </c>
      <c r="J111" s="138">
        <v>1</v>
      </c>
      <c r="K111" s="138">
        <v>1</v>
      </c>
      <c r="L111" s="138">
        <v>1</v>
      </c>
      <c r="M111" s="138">
        <v>1</v>
      </c>
      <c r="N111" s="138">
        <v>1</v>
      </c>
      <c r="O111" s="138">
        <v>0</v>
      </c>
      <c r="P111" s="137">
        <f>VLOOKUP(A111,[1]allpride!$C$2:$V$215,14,FALSE)</f>
        <v>1</v>
      </c>
      <c r="Q111" s="137">
        <f>VLOOKUP(A111,[1]allpride!$C$2:$V$215,15,FALSE)</f>
        <v>1</v>
      </c>
      <c r="R111" s="137">
        <f>VLOOKUP(A111,[1]allpride!$C$2:$V$215,16,FALSE)</f>
        <v>0</v>
      </c>
      <c r="S111" s="137">
        <f>VLOOKUP(A111,[1]allpride!$C$2:$V$215,17,FALSE)</f>
        <v>1</v>
      </c>
      <c r="T111" s="137">
        <f>VLOOKUP(A111,[1]allpride!$C$2:$V$215,18,FALSE)</f>
        <v>2013</v>
      </c>
      <c r="U111" s="137">
        <f>VLOOKUP(A111,[1]allpride!$C$2:$V$215,19,FALSE)</f>
        <v>8</v>
      </c>
      <c r="V111" s="137">
        <f>VLOOKUP(A111,[1]allpride!$C$2:$V$215,20,FALSE)</f>
        <v>1</v>
      </c>
      <c r="W111" s="137">
        <f>VLOOKUP(B111,'[2]pride covariates'!$A$2:$B$33,2,FALSE)</f>
        <v>1</v>
      </c>
      <c r="X111" s="137">
        <v>1</v>
      </c>
      <c r="Y111" s="137">
        <v>1</v>
      </c>
      <c r="Z111" s="117" t="str">
        <f t="shared" si="7"/>
        <v>/* ELI-664 */ 01111111 1 1 1 0 1 1 1;</v>
      </c>
      <c r="AA111" s="137" t="str">
        <f t="shared" si="5"/>
        <v>01111111</v>
      </c>
      <c r="AB111" s="137" t="str">
        <f t="shared" si="6"/>
        <v>/*ELI-664*/ 01111111 1;</v>
      </c>
    </row>
    <row r="112" spans="1:28" x14ac:dyDescent="0.3">
      <c r="A112" s="137" t="s">
        <v>373</v>
      </c>
      <c r="B112" s="137" t="s">
        <v>521</v>
      </c>
      <c r="C112" s="137" t="s">
        <v>521</v>
      </c>
      <c r="D112" s="144">
        <v>0</v>
      </c>
      <c r="E112" s="144">
        <v>0</v>
      </c>
      <c r="F112" s="144">
        <v>0</v>
      </c>
      <c r="G112" s="144">
        <v>0</v>
      </c>
      <c r="H112" s="147">
        <v>1</v>
      </c>
      <c r="I112" s="147">
        <v>1</v>
      </c>
      <c r="J112" s="144">
        <v>1</v>
      </c>
      <c r="K112" s="144">
        <v>1</v>
      </c>
      <c r="L112" s="144">
        <v>1</v>
      </c>
      <c r="M112" s="144">
        <v>1</v>
      </c>
      <c r="N112" s="144">
        <v>1</v>
      </c>
      <c r="O112" s="144">
        <v>0</v>
      </c>
      <c r="P112" s="137">
        <f>VLOOKUP(A112,[1]allpride!$C$2:$V$215,14,FALSE)</f>
        <v>1</v>
      </c>
      <c r="Q112" s="137">
        <f>VLOOKUP(A112,[1]allpride!$C$2:$V$215,15,FALSE)</f>
        <v>1</v>
      </c>
      <c r="R112" s="137">
        <f>VLOOKUP(A112,[1]allpride!$C$2:$V$215,16,FALSE)</f>
        <v>0</v>
      </c>
      <c r="S112" s="137">
        <f>VLOOKUP(A112,[1]allpride!$C$2:$V$215,17,FALSE)</f>
        <v>1</v>
      </c>
      <c r="T112" s="137">
        <f>VLOOKUP(A112,[1]allpride!$C$2:$V$215,18,FALSE)</f>
        <v>2013</v>
      </c>
      <c r="U112" s="137">
        <f>VLOOKUP(A112,[1]allpride!$C$2:$V$215,19,FALSE)</f>
        <v>8</v>
      </c>
      <c r="V112" s="137">
        <f>VLOOKUP(A112,[1]allpride!$C$2:$V$215,20,FALSE)</f>
        <v>2</v>
      </c>
      <c r="W112" s="137">
        <f>VLOOKUP(B112,'[2]pride covariates'!$A$2:$B$33,2,FALSE)</f>
        <v>1</v>
      </c>
      <c r="X112" s="137">
        <v>1</v>
      </c>
      <c r="Y112" s="137">
        <v>1</v>
      </c>
      <c r="Z112" s="117" t="str">
        <f t="shared" si="7"/>
        <v>/* ELI-665 */ 01111111 1 1 1 0 1 2 1;</v>
      </c>
      <c r="AA112" s="137" t="str">
        <f t="shared" si="5"/>
        <v>01111111</v>
      </c>
      <c r="AB112" s="137" t="str">
        <f t="shared" si="6"/>
        <v>/*ELI-665*/ 01111111 1;</v>
      </c>
    </row>
    <row r="113" spans="1:28" x14ac:dyDescent="0.3">
      <c r="A113" s="137" t="s">
        <v>374</v>
      </c>
      <c r="B113" s="137" t="s">
        <v>521</v>
      </c>
      <c r="C113" s="137" t="s">
        <v>521</v>
      </c>
      <c r="D113" s="144">
        <v>0</v>
      </c>
      <c r="E113" s="144">
        <v>0</v>
      </c>
      <c r="F113" s="144">
        <v>0</v>
      </c>
      <c r="G113" s="144">
        <v>0</v>
      </c>
      <c r="H113" s="147">
        <v>1</v>
      </c>
      <c r="I113" s="147">
        <v>0</v>
      </c>
      <c r="J113" s="144">
        <v>1</v>
      </c>
      <c r="K113" s="144">
        <v>1</v>
      </c>
      <c r="L113" s="144">
        <v>1</v>
      </c>
      <c r="M113" s="144">
        <v>1</v>
      </c>
      <c r="N113" s="144">
        <v>1</v>
      </c>
      <c r="O113" s="144">
        <v>1</v>
      </c>
      <c r="P113" s="137">
        <f>VLOOKUP(A113,[1]allpride!$C$2:$V$215,14,FALSE)</f>
        <v>1</v>
      </c>
      <c r="Q113" s="137">
        <f>VLOOKUP(A113,[1]allpride!$C$2:$V$215,15,FALSE)</f>
        <v>1</v>
      </c>
      <c r="R113" s="137">
        <f>VLOOKUP(A113,[1]allpride!$C$2:$V$215,16,FALSE)</f>
        <v>0</v>
      </c>
      <c r="S113" s="137">
        <f>VLOOKUP(A113,[1]allpride!$C$2:$V$215,17,FALSE)</f>
        <v>1</v>
      </c>
      <c r="T113" s="137">
        <f>VLOOKUP(A113,[1]allpride!$C$2:$V$215,18,FALSE)</f>
        <v>2013</v>
      </c>
      <c r="U113" s="137">
        <f>VLOOKUP(A113,[1]allpride!$C$2:$V$215,19,FALSE)</f>
        <v>11</v>
      </c>
      <c r="V113" s="137">
        <f>VLOOKUP(A113,[1]allpride!$C$2:$V$215,20,FALSE)</f>
        <v>1</v>
      </c>
      <c r="W113" s="137">
        <f>VLOOKUP(B113,'[2]pride covariates'!$A$2:$B$33,2,FALSE)</f>
        <v>1</v>
      </c>
      <c r="X113" s="137">
        <v>1</v>
      </c>
      <c r="Y113" s="137">
        <v>1</v>
      </c>
      <c r="Z113" s="117" t="str">
        <f t="shared" si="7"/>
        <v>/* ELI-666 */ 01011111 1 1 1 0 1 1 1;</v>
      </c>
      <c r="AA113" s="137" t="str">
        <f t="shared" si="5"/>
        <v>01011111</v>
      </c>
      <c r="AB113" s="137" t="str">
        <f t="shared" si="6"/>
        <v>/*ELI-666*/ 01011111 1;</v>
      </c>
    </row>
    <row r="114" spans="1:28" x14ac:dyDescent="0.3">
      <c r="A114" s="137" t="s">
        <v>364</v>
      </c>
      <c r="B114" s="137" t="s">
        <v>521</v>
      </c>
      <c r="C114" s="137" t="s">
        <v>521</v>
      </c>
      <c r="D114" s="144">
        <v>0</v>
      </c>
      <c r="E114" s="144">
        <v>0</v>
      </c>
      <c r="F114" s="144">
        <v>0</v>
      </c>
      <c r="G114" s="144">
        <v>0</v>
      </c>
      <c r="H114" s="147">
        <v>1</v>
      </c>
      <c r="I114" s="147">
        <v>1</v>
      </c>
      <c r="J114" s="144">
        <v>1</v>
      </c>
      <c r="K114" s="144">
        <v>1</v>
      </c>
      <c r="L114" s="144">
        <v>1</v>
      </c>
      <c r="M114" s="144">
        <v>1</v>
      </c>
      <c r="N114" s="144">
        <v>1</v>
      </c>
      <c r="O114" s="144">
        <v>0</v>
      </c>
      <c r="P114" s="137">
        <f>VLOOKUP(A114,[1]allpride!$C$2:$V$215,14,FALSE)</f>
        <v>1</v>
      </c>
      <c r="Q114" s="137">
        <f>VLOOKUP(A114,[1]allpride!$C$2:$V$215,15,FALSE)</f>
        <v>0</v>
      </c>
      <c r="R114" s="137">
        <f>VLOOKUP(A114,[1]allpride!$C$2:$V$215,16,FALSE)</f>
        <v>1</v>
      </c>
      <c r="S114" s="137">
        <f>VLOOKUP(A114,[1]allpride!$C$2:$V$215,17,FALSE)</f>
        <v>1</v>
      </c>
      <c r="T114" s="137">
        <f>VLOOKUP(A114,[1]allpride!$C$2:$V$215,18,FALSE)</f>
        <v>2013</v>
      </c>
      <c r="U114" s="137">
        <f>VLOOKUP(A114,[1]allpride!$C$2:$V$215,19,FALSE)</f>
        <v>11</v>
      </c>
      <c r="V114" s="137">
        <f>VLOOKUP(A114,[1]allpride!$C$2:$V$215,20,FALSE)</f>
        <v>12</v>
      </c>
      <c r="W114" s="137">
        <f>VLOOKUP(B114,'[2]pride covariates'!$A$2:$B$33,2,FALSE)</f>
        <v>1</v>
      </c>
      <c r="X114" s="137">
        <v>1</v>
      </c>
      <c r="Y114" s="137">
        <v>0</v>
      </c>
      <c r="Z114" s="117" t="str">
        <f t="shared" si="7"/>
        <v>/* ELI-697 */ 01111111 1 1 1 1 0 12 1;</v>
      </c>
      <c r="AA114" s="137" t="str">
        <f t="shared" si="5"/>
        <v>01111111</v>
      </c>
      <c r="AB114" s="137" t="str">
        <f t="shared" si="6"/>
        <v>/*ELI-697*/ 01111111 1;</v>
      </c>
    </row>
    <row r="115" spans="1:28" x14ac:dyDescent="0.3">
      <c r="A115" s="137" t="s">
        <v>375</v>
      </c>
      <c r="B115" s="137" t="s">
        <v>521</v>
      </c>
      <c r="C115" s="137" t="s">
        <v>521</v>
      </c>
      <c r="D115" s="144">
        <v>0</v>
      </c>
      <c r="E115" s="144">
        <v>0</v>
      </c>
      <c r="F115" s="144">
        <v>0</v>
      </c>
      <c r="G115" s="144">
        <v>0</v>
      </c>
      <c r="H115" s="147">
        <v>0</v>
      </c>
      <c r="I115" s="147">
        <v>0</v>
      </c>
      <c r="J115" s="144">
        <v>1</v>
      </c>
      <c r="K115" s="144">
        <v>1</v>
      </c>
      <c r="L115" s="144">
        <v>1</v>
      </c>
      <c r="M115" s="144">
        <v>1</v>
      </c>
      <c r="N115" s="144">
        <v>0</v>
      </c>
      <c r="O115" s="144">
        <v>0</v>
      </c>
      <c r="P115" s="137">
        <v>0</v>
      </c>
      <c r="Q115" s="137" t="s">
        <v>580</v>
      </c>
      <c r="R115" s="137">
        <v>1</v>
      </c>
      <c r="S115" s="137">
        <v>1</v>
      </c>
      <c r="T115" s="137">
        <v>2014</v>
      </c>
      <c r="U115" s="137">
        <v>7</v>
      </c>
      <c r="V115" s="137">
        <v>0</v>
      </c>
      <c r="W115" s="137">
        <f>VLOOKUP(B115,'[2]pride covariates'!$A$2:$B$33,2,FALSE)</f>
        <v>1</v>
      </c>
      <c r="X115" s="137">
        <v>1</v>
      </c>
      <c r="Y115" s="137">
        <v>0</v>
      </c>
      <c r="Z115" s="117" t="str">
        <f t="shared" si="7"/>
        <v>/* ELI-721 */ 00011110 1 0 1 1 0 0 1;</v>
      </c>
      <c r="AA115" s="137" t="str">
        <f t="shared" si="5"/>
        <v>00011110</v>
      </c>
      <c r="AB115" s="137" t="str">
        <f t="shared" si="6"/>
        <v>/*ELI-721*/ 00011110 1;</v>
      </c>
    </row>
    <row r="116" spans="1:28" x14ac:dyDescent="0.3">
      <c r="A116" s="137" t="s">
        <v>376</v>
      </c>
      <c r="B116" s="137" t="s">
        <v>521</v>
      </c>
      <c r="C116" s="137" t="s">
        <v>521</v>
      </c>
      <c r="D116" s="144">
        <v>0</v>
      </c>
      <c r="E116" s="144">
        <v>0</v>
      </c>
      <c r="F116" s="144">
        <v>0</v>
      </c>
      <c r="G116" s="144">
        <v>0</v>
      </c>
      <c r="H116" s="147">
        <v>0</v>
      </c>
      <c r="I116" s="147">
        <v>0</v>
      </c>
      <c r="J116" s="144">
        <v>1</v>
      </c>
      <c r="K116" s="144">
        <v>0</v>
      </c>
      <c r="L116" s="144">
        <v>0</v>
      </c>
      <c r="M116" s="144">
        <v>0</v>
      </c>
      <c r="N116" s="144">
        <v>0</v>
      </c>
      <c r="O116" s="144">
        <v>0</v>
      </c>
      <c r="P116" s="137">
        <v>0</v>
      </c>
      <c r="Q116" s="137" t="s">
        <v>580</v>
      </c>
      <c r="R116" s="137">
        <v>1</v>
      </c>
      <c r="S116" s="137">
        <v>1</v>
      </c>
      <c r="T116" s="137">
        <v>2014</v>
      </c>
      <c r="U116" s="137">
        <v>7</v>
      </c>
      <c r="V116" s="137">
        <v>0</v>
      </c>
      <c r="W116" s="137">
        <f>VLOOKUP(B116,'[2]pride covariates'!$A$2:$B$33,2,FALSE)</f>
        <v>1</v>
      </c>
      <c r="X116" s="137">
        <v>1</v>
      </c>
      <c r="Y116" s="137">
        <v>1</v>
      </c>
      <c r="Z116" s="117" t="str">
        <f t="shared" si="7"/>
        <v>/* ELI-722 */ 00010000 1 0 1 1 1 0 1;</v>
      </c>
      <c r="AA116" s="137" t="str">
        <f t="shared" si="5"/>
        <v>00010000</v>
      </c>
      <c r="AB116" s="137" t="str">
        <f t="shared" si="6"/>
        <v>/*ELI-722*/ 00010000 1;</v>
      </c>
    </row>
    <row r="117" spans="1:28" ht="13.95" customHeight="1" x14ac:dyDescent="0.3">
      <c r="A117" s="137" t="s">
        <v>438</v>
      </c>
      <c r="B117" s="137" t="s">
        <v>522</v>
      </c>
      <c r="C117" s="137" t="s">
        <v>522</v>
      </c>
      <c r="D117" s="144">
        <v>0</v>
      </c>
      <c r="E117" s="144">
        <v>0</v>
      </c>
      <c r="F117" s="144">
        <v>0</v>
      </c>
      <c r="G117" s="144">
        <v>0</v>
      </c>
      <c r="H117" s="147">
        <v>0</v>
      </c>
      <c r="I117" s="147">
        <v>1</v>
      </c>
      <c r="J117" s="144">
        <v>1</v>
      </c>
      <c r="K117" s="144">
        <v>1</v>
      </c>
      <c r="L117" s="144">
        <v>1</v>
      </c>
      <c r="M117" s="144">
        <v>1</v>
      </c>
      <c r="N117" s="144">
        <v>0</v>
      </c>
      <c r="O117" s="144">
        <v>0</v>
      </c>
      <c r="P117" s="137">
        <f>VLOOKUP(A117,[1]allpride!$C$2:$V$215,14,FALSE)</f>
        <v>1</v>
      </c>
      <c r="Q117" s="137">
        <f>VLOOKUP(A117,[1]allpride!$C$2:$V$215,15,FALSE)</f>
        <v>0</v>
      </c>
      <c r="R117" s="137">
        <f>VLOOKUP(A117,[1]allpride!$C$2:$V$215,16,FALSE)</f>
        <v>0</v>
      </c>
      <c r="S117" s="137">
        <f>VLOOKUP(A117,[1]allpride!$C$2:$V$215,17,FALSE)</f>
        <v>1</v>
      </c>
      <c r="T117" s="137">
        <f>VLOOKUP(A117,[1]allpride!$C$2:$V$215,18,FALSE)</f>
        <v>2013</v>
      </c>
      <c r="U117" s="137">
        <f>VLOOKUP(A117,[1]allpride!$C$2:$V$215,19,FALSE)</f>
        <v>4</v>
      </c>
      <c r="V117" s="137">
        <f>VLOOKUP(A117,[1]allpride!$C$2:$V$215,20,FALSE)</f>
        <v>6</v>
      </c>
      <c r="W117" s="137">
        <f>VLOOKUP(B117,'[2]pride covariates'!$A$2:$B$33,2,FALSE)</f>
        <v>1</v>
      </c>
      <c r="X117" s="137">
        <v>1</v>
      </c>
      <c r="Y117" s="137">
        <v>0</v>
      </c>
      <c r="Z117" s="117" t="str">
        <f t="shared" si="7"/>
        <v>/* ELI-700 */ 00111110 1 1 1 0 0 6 1;</v>
      </c>
      <c r="AA117" s="137" t="str">
        <f t="shared" si="5"/>
        <v>00111110</v>
      </c>
      <c r="AB117" s="137" t="str">
        <f t="shared" si="6"/>
        <v>/*ELI-700*/ 00111110 1;</v>
      </c>
    </row>
    <row r="118" spans="1:28" ht="13.95" customHeight="1" x14ac:dyDescent="0.3">
      <c r="A118" s="137" t="s">
        <v>439</v>
      </c>
      <c r="B118" s="137" t="s">
        <v>522</v>
      </c>
      <c r="C118" s="137" t="s">
        <v>522</v>
      </c>
      <c r="D118" s="164">
        <v>1</v>
      </c>
      <c r="E118" s="164">
        <v>1</v>
      </c>
      <c r="F118" s="164">
        <v>1</v>
      </c>
      <c r="G118" s="144">
        <v>0</v>
      </c>
      <c r="H118" s="165">
        <v>1</v>
      </c>
      <c r="I118" s="147">
        <v>1</v>
      </c>
      <c r="J118" s="144">
        <v>1</v>
      </c>
      <c r="K118" s="144">
        <v>1</v>
      </c>
      <c r="L118" s="144">
        <v>1</v>
      </c>
      <c r="M118" s="144">
        <v>1</v>
      </c>
      <c r="N118" s="144">
        <v>0</v>
      </c>
      <c r="O118" s="159">
        <v>1</v>
      </c>
      <c r="P118" s="137">
        <f>VLOOKUP(A118,[1]allpride!$C$2:$V$215,14,FALSE)</f>
        <v>1</v>
      </c>
      <c r="Q118" s="137">
        <f>VLOOKUP(A118,[1]allpride!$C$2:$V$215,15,FALSE)</f>
        <v>0</v>
      </c>
      <c r="R118" s="137">
        <f>VLOOKUP(A118,[1]allpride!$C$2:$V$215,16,FALSE)</f>
        <v>0</v>
      </c>
      <c r="S118" s="137">
        <f>VLOOKUP(A118,[1]allpride!$C$2:$V$215,17,FALSE)</f>
        <v>1</v>
      </c>
      <c r="T118" s="137">
        <f>VLOOKUP(A118,[1]allpride!$C$2:$V$215,18,FALSE)</f>
        <v>2013</v>
      </c>
      <c r="U118" s="137">
        <f>VLOOKUP(A118,[1]allpride!$C$2:$V$215,19,FALSE)</f>
        <v>4</v>
      </c>
      <c r="V118" s="137">
        <f>VLOOKUP(A118,[1]allpride!$C$2:$V$215,20,FALSE)</f>
        <v>4</v>
      </c>
      <c r="W118" s="137">
        <f>VLOOKUP(B118,'[2]pride covariates'!$A$2:$B$33,2,FALSE)</f>
        <v>1</v>
      </c>
      <c r="X118" s="137">
        <v>1</v>
      </c>
      <c r="Y118" s="137">
        <v>0</v>
      </c>
      <c r="Z118" s="117" t="str">
        <f t="shared" si="7"/>
        <v>/* ELI-701 */ 01111110 1 1 1 0 0 4 1;</v>
      </c>
      <c r="AA118" s="137" t="str">
        <f t="shared" si="5"/>
        <v>01111110</v>
      </c>
      <c r="AB118" s="137" t="str">
        <f t="shared" si="6"/>
        <v>/*ELI-701*/ 01111110 1;</v>
      </c>
    </row>
    <row r="119" spans="1:28" x14ac:dyDescent="0.3">
      <c r="A119" s="137" t="s">
        <v>523</v>
      </c>
      <c r="B119" s="137" t="s">
        <v>522</v>
      </c>
      <c r="C119" s="137" t="s">
        <v>522</v>
      </c>
      <c r="D119" s="144">
        <v>0</v>
      </c>
      <c r="E119" s="144">
        <v>0</v>
      </c>
      <c r="F119" s="144">
        <v>0</v>
      </c>
      <c r="G119" s="144">
        <v>0</v>
      </c>
      <c r="H119" s="147">
        <v>0</v>
      </c>
      <c r="I119" s="147">
        <v>1</v>
      </c>
      <c r="J119" s="144">
        <v>1</v>
      </c>
      <c r="K119" s="144">
        <v>1</v>
      </c>
      <c r="L119" s="144">
        <v>1</v>
      </c>
      <c r="M119" s="144">
        <v>1</v>
      </c>
      <c r="N119" s="144">
        <v>0</v>
      </c>
      <c r="O119" s="144">
        <v>0</v>
      </c>
      <c r="P119" s="137">
        <f>VLOOKUP(A119,[1]allpride!$C$2:$V$215,14,FALSE)</f>
        <v>1</v>
      </c>
      <c r="Q119" s="137">
        <f>VLOOKUP(A119,[1]allpride!$C$2:$V$215,15,FALSE)</f>
        <v>0</v>
      </c>
      <c r="R119" s="137">
        <f>VLOOKUP(A119,[1]allpride!$C$2:$V$215,16,FALSE)</f>
        <v>0</v>
      </c>
      <c r="S119" s="137">
        <f>VLOOKUP(A119,[1]allpride!$C$2:$V$215,17,FALSE)</f>
        <v>1</v>
      </c>
      <c r="T119" s="137">
        <f>VLOOKUP(A119,[1]allpride!$C$2:$V$215,18,FALSE)</f>
        <v>2013</v>
      </c>
      <c r="U119" s="137">
        <f>VLOOKUP(A119,[1]allpride!$C$2:$V$215,19,FALSE)</f>
        <v>4</v>
      </c>
      <c r="V119" s="137">
        <f>VLOOKUP(A119,[1]allpride!$C$2:$V$215,20,FALSE)</f>
        <v>5</v>
      </c>
      <c r="W119" s="137">
        <f>VLOOKUP(B119,'[2]pride covariates'!$A$2:$B$33,2,FALSE)</f>
        <v>1</v>
      </c>
      <c r="X119" s="137">
        <v>1</v>
      </c>
      <c r="Y119" s="137">
        <v>0</v>
      </c>
      <c r="Z119" s="117" t="str">
        <f t="shared" si="7"/>
        <v>/* ELI-702 */ 00111110 1 1 1 0 0 5 1;</v>
      </c>
      <c r="AA119" s="137" t="str">
        <f t="shared" si="5"/>
        <v>00111110</v>
      </c>
      <c r="AB119" s="137" t="str">
        <f t="shared" si="6"/>
        <v>/*ELI-702*/ 00111110 1;</v>
      </c>
    </row>
    <row r="120" spans="1:28" x14ac:dyDescent="0.3">
      <c r="A120" s="137" t="s">
        <v>524</v>
      </c>
      <c r="B120" s="137" t="s">
        <v>522</v>
      </c>
      <c r="C120" s="137" t="s">
        <v>522</v>
      </c>
      <c r="D120" s="144">
        <v>0</v>
      </c>
      <c r="E120" s="144">
        <v>0</v>
      </c>
      <c r="F120" s="144">
        <v>0</v>
      </c>
      <c r="G120" s="144">
        <v>0</v>
      </c>
      <c r="H120" s="147">
        <v>0</v>
      </c>
      <c r="I120" s="147">
        <v>1</v>
      </c>
      <c r="J120" s="144">
        <v>0</v>
      </c>
      <c r="K120" s="144">
        <v>1</v>
      </c>
      <c r="L120" s="144">
        <v>0</v>
      </c>
      <c r="M120" s="144">
        <v>1</v>
      </c>
      <c r="N120" s="144">
        <v>0</v>
      </c>
      <c r="O120" s="144">
        <v>0</v>
      </c>
      <c r="P120" s="137">
        <v>1</v>
      </c>
      <c r="Q120" s="137">
        <v>0</v>
      </c>
      <c r="R120" s="137">
        <v>0</v>
      </c>
      <c r="S120" s="137">
        <v>1</v>
      </c>
      <c r="T120" s="137">
        <v>2014</v>
      </c>
      <c r="U120" s="137">
        <v>6</v>
      </c>
      <c r="V120" s="137">
        <v>0</v>
      </c>
      <c r="W120" s="137">
        <f>VLOOKUP(B120,'[2]pride covariates'!$A$2:$B$33,2,FALSE)</f>
        <v>1</v>
      </c>
      <c r="X120" s="137">
        <v>1</v>
      </c>
      <c r="Y120" s="137">
        <v>0</v>
      </c>
      <c r="Z120" s="117" t="str">
        <f t="shared" si="7"/>
        <v>/* ELI-708 */ 00101010 1 1 1 0 0 0 1;</v>
      </c>
      <c r="AA120" s="137" t="str">
        <f t="shared" si="5"/>
        <v>00101010</v>
      </c>
      <c r="AB120" s="137" t="str">
        <f t="shared" si="6"/>
        <v>/*ELI-708*/ 00101010 1;</v>
      </c>
    </row>
    <row r="121" spans="1:28" x14ac:dyDescent="0.3">
      <c r="A121" s="137" t="s">
        <v>525</v>
      </c>
      <c r="B121" s="137" t="s">
        <v>522</v>
      </c>
      <c r="C121" s="137" t="s">
        <v>522</v>
      </c>
      <c r="D121" s="144">
        <v>0</v>
      </c>
      <c r="E121" s="144">
        <v>0</v>
      </c>
      <c r="F121" s="144">
        <v>0</v>
      </c>
      <c r="G121" s="144">
        <v>0</v>
      </c>
      <c r="H121" s="147">
        <v>0</v>
      </c>
      <c r="I121" s="147">
        <v>1</v>
      </c>
      <c r="J121" s="144">
        <v>0</v>
      </c>
      <c r="K121" s="144">
        <v>1</v>
      </c>
      <c r="L121" s="144">
        <v>0</v>
      </c>
      <c r="M121" s="144">
        <v>1</v>
      </c>
      <c r="N121" s="144">
        <v>0</v>
      </c>
      <c r="O121" s="144">
        <v>0</v>
      </c>
      <c r="P121" s="137">
        <v>1</v>
      </c>
      <c r="Q121" s="137">
        <v>0</v>
      </c>
      <c r="R121" s="137">
        <v>0</v>
      </c>
      <c r="S121" s="137">
        <v>1</v>
      </c>
      <c r="T121" s="137">
        <v>2014</v>
      </c>
      <c r="U121" s="137">
        <v>6</v>
      </c>
      <c r="V121" s="137">
        <v>0</v>
      </c>
      <c r="W121" s="137">
        <f>VLOOKUP(B121,'[2]pride covariates'!$A$2:$B$33,2,FALSE)</f>
        <v>1</v>
      </c>
      <c r="X121" s="137">
        <v>1</v>
      </c>
      <c r="Y121" s="137">
        <v>0</v>
      </c>
      <c r="Z121" s="117" t="str">
        <f t="shared" si="7"/>
        <v>/* ELI-709 */ 00101010 1 1 1 0 0 0 1;</v>
      </c>
      <c r="AA121" s="137" t="str">
        <f t="shared" si="5"/>
        <v>00101010</v>
      </c>
      <c r="AB121" s="137" t="str">
        <f t="shared" si="6"/>
        <v>/*ELI-709*/ 00101010 1;</v>
      </c>
    </row>
    <row r="122" spans="1:28" x14ac:dyDescent="0.3">
      <c r="A122" s="137" t="s">
        <v>526</v>
      </c>
      <c r="B122" s="137" t="s">
        <v>522</v>
      </c>
      <c r="C122" s="137" t="s">
        <v>522</v>
      </c>
      <c r="D122" s="144">
        <v>0</v>
      </c>
      <c r="E122" s="144">
        <v>0</v>
      </c>
      <c r="F122" s="144">
        <v>0</v>
      </c>
      <c r="G122" s="144">
        <v>0</v>
      </c>
      <c r="H122" s="147">
        <v>0</v>
      </c>
      <c r="I122" s="147">
        <v>1</v>
      </c>
      <c r="J122" s="144">
        <v>0</v>
      </c>
      <c r="K122" s="144">
        <v>1</v>
      </c>
      <c r="L122" s="144">
        <v>0</v>
      </c>
      <c r="M122" s="144">
        <v>1</v>
      </c>
      <c r="N122" s="144">
        <v>0</v>
      </c>
      <c r="O122" s="144">
        <v>0</v>
      </c>
      <c r="P122" s="137">
        <v>1</v>
      </c>
      <c r="Q122" s="137">
        <v>0</v>
      </c>
      <c r="R122" s="137">
        <v>0</v>
      </c>
      <c r="S122" s="137">
        <v>1</v>
      </c>
      <c r="T122" s="137">
        <v>2014</v>
      </c>
      <c r="U122" s="137">
        <v>6</v>
      </c>
      <c r="V122" s="137">
        <v>0</v>
      </c>
      <c r="W122" s="137">
        <f>VLOOKUP(B122,'[2]pride covariates'!$A$2:$B$33,2,FALSE)</f>
        <v>1</v>
      </c>
      <c r="X122" s="137">
        <v>1</v>
      </c>
      <c r="Y122" s="137">
        <v>0</v>
      </c>
      <c r="Z122" s="117" t="str">
        <f t="shared" si="7"/>
        <v>/* ELI-710 */ 00101010 1 1 1 0 0 0 1;</v>
      </c>
      <c r="AA122" s="137" t="str">
        <f t="shared" si="5"/>
        <v>00101010</v>
      </c>
      <c r="AB122" s="137" t="str">
        <f t="shared" si="6"/>
        <v>/*ELI-710*/ 00101010 1;</v>
      </c>
    </row>
    <row r="123" spans="1:28" x14ac:dyDescent="0.3">
      <c r="A123" s="137" t="s">
        <v>527</v>
      </c>
      <c r="B123" s="137" t="s">
        <v>522</v>
      </c>
      <c r="C123" s="137" t="s">
        <v>522</v>
      </c>
      <c r="D123" s="144">
        <v>0</v>
      </c>
      <c r="E123" s="144">
        <v>0</v>
      </c>
      <c r="F123" s="144">
        <v>0</v>
      </c>
      <c r="G123" s="144">
        <v>0</v>
      </c>
      <c r="H123" s="147">
        <v>0</v>
      </c>
      <c r="I123" s="147">
        <v>1</v>
      </c>
      <c r="J123" s="144">
        <v>0</v>
      </c>
      <c r="K123" s="144">
        <v>1</v>
      </c>
      <c r="L123" s="144">
        <v>0</v>
      </c>
      <c r="M123" s="144">
        <v>1</v>
      </c>
      <c r="N123" s="144">
        <v>0</v>
      </c>
      <c r="O123" s="144">
        <v>0</v>
      </c>
      <c r="P123" s="137">
        <v>1</v>
      </c>
      <c r="Q123" s="137">
        <v>0</v>
      </c>
      <c r="R123" s="137">
        <v>0</v>
      </c>
      <c r="S123" s="137">
        <v>1</v>
      </c>
      <c r="T123" s="137">
        <v>2014</v>
      </c>
      <c r="U123" s="137">
        <v>6</v>
      </c>
      <c r="V123" s="137">
        <v>0</v>
      </c>
      <c r="W123" s="137">
        <f>VLOOKUP(B123,'[2]pride covariates'!$A$2:$B$33,2,FALSE)</f>
        <v>1</v>
      </c>
      <c r="X123" s="137">
        <v>1</v>
      </c>
      <c r="Y123" s="137">
        <v>0</v>
      </c>
      <c r="Z123" s="117" t="str">
        <f t="shared" si="7"/>
        <v>/* ELI-711 */ 00101010 1 1 1 0 0 0 1;</v>
      </c>
      <c r="AA123" s="137" t="str">
        <f t="shared" si="5"/>
        <v>00101010</v>
      </c>
      <c r="AB123" s="137" t="str">
        <f t="shared" si="6"/>
        <v>/*ELI-711*/ 00101010 1;</v>
      </c>
    </row>
    <row r="124" spans="1:28" x14ac:dyDescent="0.3">
      <c r="A124" s="137" t="s">
        <v>260</v>
      </c>
      <c r="B124" s="137" t="s">
        <v>531</v>
      </c>
      <c r="C124" s="137" t="s">
        <v>259</v>
      </c>
      <c r="D124" s="138">
        <v>0</v>
      </c>
      <c r="E124" s="138">
        <v>0</v>
      </c>
      <c r="F124" s="138">
        <v>0</v>
      </c>
      <c r="G124" s="138">
        <v>0</v>
      </c>
      <c r="H124" s="140">
        <v>0</v>
      </c>
      <c r="I124" s="140">
        <v>0</v>
      </c>
      <c r="J124" s="138">
        <v>0</v>
      </c>
      <c r="K124" s="138">
        <v>0</v>
      </c>
      <c r="L124" s="138">
        <v>1</v>
      </c>
      <c r="M124" s="138">
        <v>1</v>
      </c>
      <c r="N124" s="138">
        <v>0</v>
      </c>
      <c r="O124" s="138">
        <v>0</v>
      </c>
      <c r="P124" s="137">
        <f>VLOOKUP(A124,[1]allpride!$C$2:$V$215,14,FALSE)</f>
        <v>0</v>
      </c>
      <c r="Q124" s="137" t="str">
        <f>VLOOKUP(A124,[1]allpride!$C$2:$V$215,15,FALSE)</f>
        <v>NA</v>
      </c>
      <c r="R124" s="137">
        <f>VLOOKUP(A124,[1]allpride!$C$2:$V$215,16,FALSE)</f>
        <v>0</v>
      </c>
      <c r="S124" s="137">
        <f>VLOOKUP(A124,[1]allpride!$C$2:$V$215,17,FALSE)</f>
        <v>1</v>
      </c>
      <c r="T124" s="137">
        <f>VLOOKUP(A124,[1]allpride!$C$2:$V$215,18,FALSE)</f>
        <v>2011</v>
      </c>
      <c r="U124" s="137">
        <f>VLOOKUP(A124,[1]allpride!$C$2:$V$215,19,FALSE)</f>
        <v>10</v>
      </c>
      <c r="V124" s="137">
        <f>VLOOKUP(A124,[1]allpride!$C$2:$V$215,20,FALSE)</f>
        <v>0</v>
      </c>
      <c r="W124" s="137">
        <f>VLOOKUP(B124,'[2]pride covariates'!$A$2:$B$33,2,FALSE)</f>
        <v>0</v>
      </c>
      <c r="X124" s="137">
        <v>0</v>
      </c>
      <c r="Y124" s="137">
        <v>0</v>
      </c>
      <c r="Z124" s="117" t="str">
        <f t="shared" si="7"/>
        <v>/* ELI-468 */ 00000110 1 0 1 0 0 0 0;</v>
      </c>
      <c r="AA124" s="137" t="str">
        <f t="shared" si="5"/>
        <v>00000110</v>
      </c>
      <c r="AB124" s="137" t="str">
        <f t="shared" si="6"/>
        <v>/*ELI-468*/ 00000110 1;</v>
      </c>
    </row>
    <row r="125" spans="1:28" x14ac:dyDescent="0.3">
      <c r="A125" s="137" t="s">
        <v>264</v>
      </c>
      <c r="B125" s="137" t="s">
        <v>531</v>
      </c>
      <c r="C125" s="137" t="s">
        <v>263</v>
      </c>
      <c r="D125" s="138">
        <v>0</v>
      </c>
      <c r="E125" s="138">
        <v>0</v>
      </c>
      <c r="F125" s="138">
        <v>0</v>
      </c>
      <c r="G125" s="138">
        <v>0</v>
      </c>
      <c r="H125" s="140">
        <v>0</v>
      </c>
      <c r="I125" s="140">
        <v>0</v>
      </c>
      <c r="J125" s="138">
        <v>0</v>
      </c>
      <c r="K125" s="138">
        <v>0</v>
      </c>
      <c r="L125" s="138">
        <v>0</v>
      </c>
      <c r="M125" s="138">
        <v>1</v>
      </c>
      <c r="N125" s="138">
        <v>0</v>
      </c>
      <c r="O125" s="138">
        <v>0</v>
      </c>
      <c r="P125" s="137">
        <f>VLOOKUP(A125,[1]allpride!$C$2:$V$215,14,FALSE)</f>
        <v>1</v>
      </c>
      <c r="Q125" s="137">
        <f>VLOOKUP(A125,[1]allpride!$C$2:$V$215,15,FALSE)</f>
        <v>0</v>
      </c>
      <c r="R125" s="137">
        <f>VLOOKUP(A125,[1]allpride!$C$2:$V$215,16,FALSE)</f>
        <v>0</v>
      </c>
      <c r="S125" s="137">
        <f>VLOOKUP(A125,[1]allpride!$C$2:$V$215,17,FALSE)</f>
        <v>1</v>
      </c>
      <c r="T125" s="137">
        <f>VLOOKUP(A125,[1]allpride!$C$2:$V$215,18,FALSE)</f>
        <v>2008</v>
      </c>
      <c r="U125" s="137">
        <f>VLOOKUP(A125,[1]allpride!$C$2:$V$215,19,FALSE)</f>
        <v>8</v>
      </c>
      <c r="V125" s="137">
        <f>VLOOKUP(A125,[1]allpride!$C$2:$V$215,20,FALSE)</f>
        <v>0</v>
      </c>
      <c r="W125" s="137">
        <f>VLOOKUP(B125,'[2]pride covariates'!$A$2:$B$33,2,FALSE)</f>
        <v>0</v>
      </c>
      <c r="X125" s="137">
        <v>0</v>
      </c>
      <c r="Y125" s="137">
        <v>0</v>
      </c>
      <c r="Z125" s="117" t="str">
        <f t="shared" si="7"/>
        <v>/* ELI-261 */ 00000010 1 1 1 0 0 0 0;</v>
      </c>
      <c r="AA125" s="137" t="str">
        <f t="shared" si="5"/>
        <v>00000010</v>
      </c>
      <c r="AB125" s="137" t="str">
        <f t="shared" si="6"/>
        <v>/*ELI-261*/ 00000010 1;</v>
      </c>
    </row>
    <row r="126" spans="1:28" x14ac:dyDescent="0.3">
      <c r="A126" s="137" t="s">
        <v>268</v>
      </c>
      <c r="B126" s="137" t="s">
        <v>531</v>
      </c>
      <c r="C126" s="137" t="s">
        <v>267</v>
      </c>
      <c r="D126" s="138">
        <v>0</v>
      </c>
      <c r="E126" s="138">
        <v>0</v>
      </c>
      <c r="F126" s="138">
        <v>0</v>
      </c>
      <c r="G126" s="138">
        <v>0</v>
      </c>
      <c r="H126" s="140">
        <v>0</v>
      </c>
      <c r="I126" s="140">
        <v>0</v>
      </c>
      <c r="J126" s="138">
        <v>0</v>
      </c>
      <c r="K126" s="138">
        <v>0</v>
      </c>
      <c r="L126" s="138">
        <v>1</v>
      </c>
      <c r="M126" s="138">
        <v>1</v>
      </c>
      <c r="N126" s="138">
        <v>0</v>
      </c>
      <c r="O126" s="138">
        <v>0</v>
      </c>
      <c r="P126" s="137">
        <f>VLOOKUP(A126,[1]allpride!$C$2:$V$215,14,FALSE)</f>
        <v>1</v>
      </c>
      <c r="Q126" s="137">
        <f>VLOOKUP(A126,[1]allpride!$C$2:$V$215,15,FALSE)</f>
        <v>0</v>
      </c>
      <c r="R126" s="137">
        <f>VLOOKUP(A126,[1]allpride!$C$2:$V$215,16,FALSE)</f>
        <v>0</v>
      </c>
      <c r="S126" s="137">
        <f>VLOOKUP(A126,[1]allpride!$C$2:$V$215,17,FALSE)</f>
        <v>1</v>
      </c>
      <c r="T126" s="137">
        <f>VLOOKUP(A126,[1]allpride!$C$2:$V$215,18,FALSE)</f>
        <v>2009</v>
      </c>
      <c r="U126" s="137">
        <f>VLOOKUP(A126,[1]allpride!$C$2:$V$215,19,FALSE)</f>
        <v>11</v>
      </c>
      <c r="V126" s="137">
        <f>VLOOKUP(A126,[1]allpride!$C$2:$V$215,20,FALSE)</f>
        <v>1</v>
      </c>
      <c r="W126" s="137">
        <f>VLOOKUP(B126,'[2]pride covariates'!$A$2:$B$33,2,FALSE)</f>
        <v>0</v>
      </c>
      <c r="X126" s="137">
        <v>0</v>
      </c>
      <c r="Y126" s="137">
        <v>0</v>
      </c>
      <c r="Z126" s="117" t="str">
        <f t="shared" si="7"/>
        <v>/* ELI-257 */ 00000110 1 1 1 0 0 1 0;</v>
      </c>
      <c r="AA126" s="137" t="str">
        <f t="shared" si="5"/>
        <v>00000110</v>
      </c>
      <c r="AB126" s="137" t="str">
        <f t="shared" si="6"/>
        <v>/*ELI-257*/ 00000110 1;</v>
      </c>
    </row>
    <row r="127" spans="1:28" x14ac:dyDescent="0.3">
      <c r="A127" s="137" t="s">
        <v>270</v>
      </c>
      <c r="B127" s="137" t="s">
        <v>531</v>
      </c>
      <c r="C127" s="137" t="s">
        <v>269</v>
      </c>
      <c r="D127" s="138">
        <v>0</v>
      </c>
      <c r="E127" s="138">
        <v>0</v>
      </c>
      <c r="F127" s="138">
        <v>0</v>
      </c>
      <c r="G127" s="138">
        <v>0</v>
      </c>
      <c r="H127" s="140">
        <v>0</v>
      </c>
      <c r="I127" s="140">
        <v>0</v>
      </c>
      <c r="J127" s="138">
        <v>0</v>
      </c>
      <c r="K127" s="138">
        <v>0</v>
      </c>
      <c r="L127" s="138">
        <v>1</v>
      </c>
      <c r="M127" s="138">
        <v>1</v>
      </c>
      <c r="N127" s="138">
        <v>0</v>
      </c>
      <c r="O127" s="138">
        <v>0</v>
      </c>
      <c r="P127" s="137">
        <f>VLOOKUP(A127,[1]allpride!$C$2:$V$215,14,FALSE)</f>
        <v>1</v>
      </c>
      <c r="Q127" s="137">
        <f>VLOOKUP(A127,[1]allpride!$C$2:$V$215,15,FALSE)</f>
        <v>0</v>
      </c>
      <c r="R127" s="137">
        <f>VLOOKUP(A127,[1]allpride!$C$2:$V$215,16,FALSE)</f>
        <v>0</v>
      </c>
      <c r="S127" s="137">
        <f>VLOOKUP(A127,[1]allpride!$C$2:$V$215,17,FALSE)</f>
        <v>1</v>
      </c>
      <c r="T127" s="137">
        <f>VLOOKUP(A127,[1]allpride!$C$2:$V$215,18,FALSE)</f>
        <v>2009</v>
      </c>
      <c r="U127" s="137">
        <f>VLOOKUP(A127,[1]allpride!$C$2:$V$215,19,FALSE)</f>
        <v>9</v>
      </c>
      <c r="V127" s="137">
        <f>VLOOKUP(A127,[1]allpride!$C$2:$V$215,20,FALSE)</f>
        <v>7</v>
      </c>
      <c r="W127" s="137">
        <f>VLOOKUP(B127,'[2]pride covariates'!$A$2:$B$33,2,FALSE)</f>
        <v>0</v>
      </c>
      <c r="X127" s="137">
        <v>0</v>
      </c>
      <c r="Y127" s="137">
        <v>0</v>
      </c>
      <c r="Z127" s="117" t="str">
        <f t="shared" si="7"/>
        <v>/* ELI-183 */ 00000110 1 1 1 0 0 7 0;</v>
      </c>
      <c r="AA127" s="137" t="str">
        <f t="shared" si="5"/>
        <v>00000110</v>
      </c>
      <c r="AB127" s="137" t="str">
        <f t="shared" si="6"/>
        <v>/*ELI-183*/ 00000110 1;</v>
      </c>
    </row>
    <row r="128" spans="1:28" x14ac:dyDescent="0.3">
      <c r="A128" s="137" t="s">
        <v>272</v>
      </c>
      <c r="B128" s="137" t="s">
        <v>531</v>
      </c>
      <c r="C128" s="137" t="s">
        <v>271</v>
      </c>
      <c r="D128" s="138">
        <v>0</v>
      </c>
      <c r="E128" s="138">
        <v>0</v>
      </c>
      <c r="F128" s="138">
        <v>0</v>
      </c>
      <c r="G128" s="138">
        <v>0</v>
      </c>
      <c r="H128" s="140">
        <v>0</v>
      </c>
      <c r="I128" s="140">
        <v>0</v>
      </c>
      <c r="J128" s="138">
        <v>0</v>
      </c>
      <c r="K128" s="138">
        <v>0</v>
      </c>
      <c r="L128" s="138">
        <v>1</v>
      </c>
      <c r="M128" s="138">
        <v>0</v>
      </c>
      <c r="N128" s="138">
        <v>0</v>
      </c>
      <c r="O128" s="138">
        <v>0</v>
      </c>
      <c r="P128" s="137">
        <f>VLOOKUP(A128,[1]allpride!$C$2:$V$215,14,FALSE)</f>
        <v>1</v>
      </c>
      <c r="Q128" s="137">
        <f>VLOOKUP(A128,[1]allpride!$C$2:$V$215,15,FALSE)</f>
        <v>0</v>
      </c>
      <c r="R128" s="137">
        <f>VLOOKUP(A128,[1]allpride!$C$2:$V$215,16,FALSE)</f>
        <v>0</v>
      </c>
      <c r="S128" s="137">
        <f>VLOOKUP(A128,[1]allpride!$C$2:$V$215,17,FALSE)</f>
        <v>1</v>
      </c>
      <c r="T128" s="137">
        <f>VLOOKUP(A128,[1]allpride!$C$2:$V$215,18,FALSE)</f>
        <v>2008</v>
      </c>
      <c r="U128" s="137">
        <f>VLOOKUP(A128,[1]allpride!$C$2:$V$215,19,FALSE)</f>
        <v>8</v>
      </c>
      <c r="V128" s="137">
        <f>VLOOKUP(A128,[1]allpride!$C$2:$V$215,20,FALSE)</f>
        <v>1</v>
      </c>
      <c r="W128" s="137">
        <f>VLOOKUP(B128,'[2]pride covariates'!$A$2:$B$33,2,FALSE)</f>
        <v>0</v>
      </c>
      <c r="X128" s="137">
        <v>0</v>
      </c>
      <c r="Y128" s="137">
        <v>0</v>
      </c>
      <c r="Z128" s="117" t="str">
        <f t="shared" si="7"/>
        <v>/* ELI-189 */ 00000100 1 1 1 0 0 1 0;</v>
      </c>
      <c r="AA128" s="137" t="str">
        <f t="shared" si="5"/>
        <v>00000100</v>
      </c>
      <c r="AB128" s="137" t="str">
        <f t="shared" si="6"/>
        <v>/*ELI-189*/ 00000100 1;</v>
      </c>
    </row>
    <row r="129" spans="1:28" x14ac:dyDescent="0.3">
      <c r="A129" s="137" t="s">
        <v>274</v>
      </c>
      <c r="B129" s="137" t="s">
        <v>531</v>
      </c>
      <c r="C129" s="137" t="s">
        <v>273</v>
      </c>
      <c r="D129" s="138">
        <v>0</v>
      </c>
      <c r="E129" s="138">
        <v>0</v>
      </c>
      <c r="F129" s="138">
        <v>0</v>
      </c>
      <c r="G129" s="138">
        <v>0</v>
      </c>
      <c r="H129" s="140">
        <v>0</v>
      </c>
      <c r="I129" s="140">
        <v>0</v>
      </c>
      <c r="J129" s="138">
        <v>0</v>
      </c>
      <c r="K129" s="138">
        <v>0</v>
      </c>
      <c r="L129" s="138">
        <v>0</v>
      </c>
      <c r="M129" s="138">
        <v>1</v>
      </c>
      <c r="N129" s="138">
        <v>0</v>
      </c>
      <c r="O129" s="138">
        <v>0</v>
      </c>
      <c r="P129" s="137">
        <f>VLOOKUP(A129,[1]allpride!$C$2:$V$215,14,FALSE)</f>
        <v>1</v>
      </c>
      <c r="Q129" s="137">
        <f>VLOOKUP(A129,[1]allpride!$C$2:$V$215,15,FALSE)</f>
        <v>0</v>
      </c>
      <c r="R129" s="137">
        <f>VLOOKUP(A129,[1]allpride!$C$2:$V$215,16,FALSE)</f>
        <v>0</v>
      </c>
      <c r="S129" s="137">
        <f>VLOOKUP(A129,[1]allpride!$C$2:$V$215,17,FALSE)</f>
        <v>1</v>
      </c>
      <c r="T129" s="137">
        <f>VLOOKUP(A129,[1]allpride!$C$2:$V$215,18,FALSE)</f>
        <v>2011</v>
      </c>
      <c r="U129" s="137">
        <f>VLOOKUP(A129,[1]allpride!$C$2:$V$215,19,FALSE)</f>
        <v>10</v>
      </c>
      <c r="V129" s="137">
        <f>VLOOKUP(A129,[1]allpride!$C$2:$V$215,20,FALSE)</f>
        <v>8</v>
      </c>
      <c r="W129" s="137">
        <f>VLOOKUP(B129,'[2]pride covariates'!$A$2:$B$33,2,FALSE)</f>
        <v>0</v>
      </c>
      <c r="X129" s="137">
        <v>0</v>
      </c>
      <c r="Y129" s="137">
        <v>0</v>
      </c>
      <c r="Z129" s="117" t="str">
        <f t="shared" si="7"/>
        <v>/* ELI-465 */ 00000010 1 1 1 0 0 8 0;</v>
      </c>
      <c r="AA129" s="137" t="str">
        <f t="shared" si="5"/>
        <v>00000010</v>
      </c>
      <c r="AB129" s="137" t="str">
        <f t="shared" si="6"/>
        <v>/*ELI-465*/ 00000010 1;</v>
      </c>
    </row>
    <row r="130" spans="1:28" x14ac:dyDescent="0.3">
      <c r="A130" s="137" t="s">
        <v>276</v>
      </c>
      <c r="B130" s="137" t="s">
        <v>531</v>
      </c>
      <c r="C130" s="137" t="s">
        <v>275</v>
      </c>
      <c r="D130" s="138">
        <v>0</v>
      </c>
      <c r="E130" s="138">
        <v>0</v>
      </c>
      <c r="F130" s="138">
        <v>0</v>
      </c>
      <c r="G130" s="138">
        <v>0</v>
      </c>
      <c r="H130" s="140">
        <v>0</v>
      </c>
      <c r="I130" s="140">
        <v>0</v>
      </c>
      <c r="J130" s="138">
        <v>0</v>
      </c>
      <c r="K130" s="138">
        <v>0</v>
      </c>
      <c r="L130" s="138">
        <v>1</v>
      </c>
      <c r="M130" s="138">
        <v>1</v>
      </c>
      <c r="N130" s="138">
        <v>0</v>
      </c>
      <c r="O130" s="138">
        <v>0</v>
      </c>
      <c r="P130" s="137">
        <f>VLOOKUP(A130,[1]allpride!$C$2:$V$215,14,FALSE)</f>
        <v>1</v>
      </c>
      <c r="Q130" s="137">
        <f>VLOOKUP(A130,[1]allpride!$C$2:$V$215,15,FALSE)</f>
        <v>0</v>
      </c>
      <c r="R130" s="137">
        <f>VLOOKUP(A130,[1]allpride!$C$2:$V$215,16,FALSE)</f>
        <v>0</v>
      </c>
      <c r="S130" s="137">
        <f>VLOOKUP(A130,[1]allpride!$C$2:$V$215,17,FALSE)</f>
        <v>1</v>
      </c>
      <c r="T130" s="137">
        <f>VLOOKUP(A130,[1]allpride!$C$2:$V$215,18,FALSE)</f>
        <v>2011</v>
      </c>
      <c r="U130" s="137">
        <f>VLOOKUP(A130,[1]allpride!$C$2:$V$215,19,FALSE)</f>
        <v>10</v>
      </c>
      <c r="V130" s="137">
        <f>VLOOKUP(A130,[1]allpride!$C$2:$V$215,20,FALSE)</f>
        <v>0</v>
      </c>
      <c r="W130" s="137">
        <f>VLOOKUP(B130,'[2]pride covariates'!$A$2:$B$33,2,FALSE)</f>
        <v>0</v>
      </c>
      <c r="X130" s="137">
        <v>0</v>
      </c>
      <c r="Y130" s="137">
        <v>0</v>
      </c>
      <c r="Z130" s="117" t="str">
        <f t="shared" si="7"/>
        <v>/* ELI-467 */ 00000110 1 1 1 0 0 0 0;</v>
      </c>
      <c r="AA130" s="137" t="str">
        <f t="shared" si="5"/>
        <v>00000110</v>
      </c>
      <c r="AB130" s="137" t="str">
        <f t="shared" si="6"/>
        <v>/*ELI-467*/ 00000110 1;</v>
      </c>
    </row>
    <row r="131" spans="1:28" s="139" customFormat="1" x14ac:dyDescent="0.3">
      <c r="A131" s="139" t="s">
        <v>445</v>
      </c>
      <c r="B131" s="137" t="s">
        <v>531</v>
      </c>
      <c r="C131" s="139" t="s">
        <v>548</v>
      </c>
      <c r="D131" s="147">
        <v>0</v>
      </c>
      <c r="E131" s="147">
        <v>0</v>
      </c>
      <c r="F131" s="147">
        <v>0</v>
      </c>
      <c r="G131" s="147">
        <v>0</v>
      </c>
      <c r="H131" s="147">
        <v>0</v>
      </c>
      <c r="I131" s="147">
        <v>0</v>
      </c>
      <c r="J131" s="147">
        <v>0</v>
      </c>
      <c r="K131" s="147">
        <v>0</v>
      </c>
      <c r="L131" s="147">
        <v>0</v>
      </c>
      <c r="M131" s="147">
        <v>1</v>
      </c>
      <c r="N131" s="147">
        <v>0</v>
      </c>
      <c r="O131" s="147">
        <v>0</v>
      </c>
      <c r="P131" s="137">
        <v>1</v>
      </c>
      <c r="Q131" s="137">
        <v>0</v>
      </c>
      <c r="R131" s="137">
        <v>0</v>
      </c>
      <c r="S131" s="137">
        <v>1</v>
      </c>
      <c r="T131" s="137">
        <v>2014</v>
      </c>
      <c r="U131" s="137">
        <v>10</v>
      </c>
      <c r="V131" s="137">
        <v>1</v>
      </c>
      <c r="W131" s="137">
        <f>VLOOKUP(B131,'[2]pride covariates'!$A$2:$B$33,2,FALSE)</f>
        <v>0</v>
      </c>
      <c r="X131" s="137">
        <v>0</v>
      </c>
      <c r="Y131" s="139">
        <v>0</v>
      </c>
      <c r="Z131" s="117" t="str">
        <f t="shared" ref="Z131:Z162" si="8">CONCATENATE("/* ",A131," */ ",G131,H131,I131,J131,K131,L131,M131,N131," 1"," ",P131," ",S131," ",R131," ",Y131," ",V131," ",X131,";")</f>
        <v>/* ELI-770 */ 00000010 1 1 1 0 0 1 0;</v>
      </c>
      <c r="AA131" s="137" t="str">
        <f t="shared" si="5"/>
        <v>00000010</v>
      </c>
      <c r="AB131" s="137" t="str">
        <f t="shared" si="6"/>
        <v>/*ELI-770*/ 00000010 1;</v>
      </c>
    </row>
    <row r="132" spans="1:28" s="139" customFormat="1" x14ac:dyDescent="0.3">
      <c r="A132" s="139" t="s">
        <v>446</v>
      </c>
      <c r="B132" s="137" t="s">
        <v>531</v>
      </c>
      <c r="C132" s="139" t="s">
        <v>549</v>
      </c>
      <c r="D132" s="147">
        <v>0</v>
      </c>
      <c r="E132" s="147">
        <v>0</v>
      </c>
      <c r="F132" s="147">
        <v>0</v>
      </c>
      <c r="G132" s="147">
        <v>0</v>
      </c>
      <c r="H132" s="147">
        <v>0</v>
      </c>
      <c r="I132" s="147">
        <v>0</v>
      </c>
      <c r="J132" s="147">
        <v>0</v>
      </c>
      <c r="K132" s="147">
        <v>0</v>
      </c>
      <c r="L132" s="147">
        <v>0</v>
      </c>
      <c r="M132" s="147">
        <v>1</v>
      </c>
      <c r="N132" s="147">
        <v>0</v>
      </c>
      <c r="O132" s="147">
        <v>0</v>
      </c>
      <c r="P132" s="137">
        <v>1</v>
      </c>
      <c r="Q132" s="137">
        <v>0</v>
      </c>
      <c r="R132" s="137">
        <v>0</v>
      </c>
      <c r="S132" s="137">
        <v>1</v>
      </c>
      <c r="T132" s="137">
        <v>2014</v>
      </c>
      <c r="U132" s="137">
        <v>10</v>
      </c>
      <c r="V132" s="137">
        <v>0</v>
      </c>
      <c r="W132" s="137">
        <f>VLOOKUP(B132,'[2]pride covariates'!$A$2:$B$33,2,FALSE)</f>
        <v>0</v>
      </c>
      <c r="X132" s="137">
        <v>0</v>
      </c>
      <c r="Y132" s="139">
        <v>0</v>
      </c>
      <c r="Z132" s="117" t="str">
        <f t="shared" si="8"/>
        <v>/* ELI-771 */ 00000010 1 1 1 0 0 0 0;</v>
      </c>
      <c r="AA132" s="137" t="str">
        <f t="shared" ref="AA132:AA171" si="9">CONCATENATE(G132,H132,I132,J132,K132,L132,M132,N132)</f>
        <v>00000010</v>
      </c>
      <c r="AB132" s="137" t="str">
        <f t="shared" ref="AB132:AB171" si="10">CONCATENATE("/*",A132,"*/ ",G132,H132,I132,J132,K132,L132,M132,N132," 1;")</f>
        <v>/*ELI-771*/ 00000010 1;</v>
      </c>
    </row>
    <row r="133" spans="1:28" s="139" customFormat="1" x14ac:dyDescent="0.3">
      <c r="A133" s="139" t="s">
        <v>447</v>
      </c>
      <c r="B133" s="137" t="s">
        <v>531</v>
      </c>
      <c r="C133" s="139" t="s">
        <v>550</v>
      </c>
      <c r="D133" s="147">
        <v>0</v>
      </c>
      <c r="E133" s="147">
        <v>0</v>
      </c>
      <c r="F133" s="147">
        <v>0</v>
      </c>
      <c r="G133" s="147">
        <v>0</v>
      </c>
      <c r="H133" s="147">
        <v>0</v>
      </c>
      <c r="I133" s="147">
        <v>0</v>
      </c>
      <c r="J133" s="147">
        <v>0</v>
      </c>
      <c r="K133" s="147">
        <v>0</v>
      </c>
      <c r="L133" s="147">
        <v>0</v>
      </c>
      <c r="M133" s="147">
        <v>1</v>
      </c>
      <c r="N133" s="147">
        <v>0</v>
      </c>
      <c r="O133" s="147">
        <v>0</v>
      </c>
      <c r="P133" s="137">
        <v>0</v>
      </c>
      <c r="Q133" s="137" t="s">
        <v>580</v>
      </c>
      <c r="R133" s="137">
        <v>0</v>
      </c>
      <c r="S133" s="137">
        <v>1</v>
      </c>
      <c r="T133" s="137">
        <v>2014</v>
      </c>
      <c r="U133" s="137">
        <v>10</v>
      </c>
      <c r="V133" s="137">
        <v>0</v>
      </c>
      <c r="W133" s="137">
        <f>VLOOKUP(B133,'[2]pride covariates'!$A$2:$B$33,2,FALSE)</f>
        <v>0</v>
      </c>
      <c r="X133" s="137">
        <v>0</v>
      </c>
      <c r="Y133" s="139">
        <v>1</v>
      </c>
      <c r="Z133" s="117" t="str">
        <f t="shared" si="8"/>
        <v>/* ELI-772 */ 00000010 1 0 1 0 1 0 0;</v>
      </c>
      <c r="AA133" s="137" t="str">
        <f t="shared" si="9"/>
        <v>00000010</v>
      </c>
      <c r="AB133" s="137" t="str">
        <f t="shared" si="10"/>
        <v>/*ELI-772*/ 00000010 1;</v>
      </c>
    </row>
    <row r="134" spans="1:28" s="139" customFormat="1" x14ac:dyDescent="0.3">
      <c r="A134" s="139" t="s">
        <v>448</v>
      </c>
      <c r="B134" s="137" t="s">
        <v>531</v>
      </c>
      <c r="C134" s="139" t="s">
        <v>551</v>
      </c>
      <c r="D134" s="147">
        <v>0</v>
      </c>
      <c r="E134" s="147">
        <v>0</v>
      </c>
      <c r="F134" s="147">
        <v>0</v>
      </c>
      <c r="G134" s="147">
        <v>0</v>
      </c>
      <c r="H134" s="147">
        <v>0</v>
      </c>
      <c r="I134" s="147">
        <v>0</v>
      </c>
      <c r="J134" s="147">
        <v>0</v>
      </c>
      <c r="K134" s="147">
        <v>0</v>
      </c>
      <c r="L134" s="147">
        <v>0</v>
      </c>
      <c r="M134" s="147">
        <v>1</v>
      </c>
      <c r="N134" s="147">
        <v>0</v>
      </c>
      <c r="O134" s="147">
        <v>0</v>
      </c>
      <c r="P134" s="137">
        <v>0</v>
      </c>
      <c r="Q134" s="137" t="s">
        <v>580</v>
      </c>
      <c r="R134" s="137">
        <v>0</v>
      </c>
      <c r="S134" s="137">
        <v>1</v>
      </c>
      <c r="T134" s="137">
        <v>2014</v>
      </c>
      <c r="U134" s="137">
        <v>10</v>
      </c>
      <c r="V134" s="137">
        <v>0</v>
      </c>
      <c r="W134" s="137">
        <f>VLOOKUP(B134,'[2]pride covariates'!$A$2:$B$33,2,FALSE)</f>
        <v>0</v>
      </c>
      <c r="X134" s="137">
        <v>0</v>
      </c>
      <c r="Y134" s="139">
        <v>0</v>
      </c>
      <c r="Z134" s="117" t="str">
        <f t="shared" si="8"/>
        <v>/* ELI-773 */ 00000010 1 0 1 0 0 0 0;</v>
      </c>
      <c r="AA134" s="137" t="str">
        <f t="shared" si="9"/>
        <v>00000010</v>
      </c>
      <c r="AB134" s="137" t="str">
        <f t="shared" si="10"/>
        <v>/*ELI-773*/ 00000010 1;</v>
      </c>
    </row>
    <row r="135" spans="1:28" s="139" customFormat="1" x14ac:dyDescent="0.3">
      <c r="A135" s="139" t="s">
        <v>449</v>
      </c>
      <c r="B135" s="137" t="s">
        <v>531</v>
      </c>
      <c r="C135" s="139" t="s">
        <v>552</v>
      </c>
      <c r="D135" s="147">
        <v>0</v>
      </c>
      <c r="E135" s="147">
        <v>0</v>
      </c>
      <c r="F135" s="147">
        <v>0</v>
      </c>
      <c r="G135" s="147">
        <v>0</v>
      </c>
      <c r="H135" s="147">
        <v>0</v>
      </c>
      <c r="I135" s="147">
        <v>0</v>
      </c>
      <c r="J135" s="147">
        <v>0</v>
      </c>
      <c r="K135" s="147">
        <v>0</v>
      </c>
      <c r="L135" s="147">
        <v>0</v>
      </c>
      <c r="M135" s="147">
        <v>1</v>
      </c>
      <c r="N135" s="147">
        <v>0</v>
      </c>
      <c r="O135" s="147">
        <v>0</v>
      </c>
      <c r="P135" s="137">
        <v>0</v>
      </c>
      <c r="Q135" s="137" t="s">
        <v>580</v>
      </c>
      <c r="R135" s="137">
        <v>0</v>
      </c>
      <c r="S135" s="137">
        <v>1</v>
      </c>
      <c r="T135" s="137">
        <v>2014</v>
      </c>
      <c r="U135" s="137">
        <v>10</v>
      </c>
      <c r="V135" s="137">
        <v>0</v>
      </c>
      <c r="W135" s="137">
        <f>VLOOKUP(B135,'[2]pride covariates'!$A$2:$B$33,2,FALSE)</f>
        <v>0</v>
      </c>
      <c r="X135" s="137">
        <v>0</v>
      </c>
      <c r="Y135" s="139">
        <v>1</v>
      </c>
      <c r="Z135" s="117" t="str">
        <f t="shared" si="8"/>
        <v>/* ELI-774 */ 00000010 1 0 1 0 1 0 0;</v>
      </c>
      <c r="AA135" s="137" t="str">
        <f t="shared" si="9"/>
        <v>00000010</v>
      </c>
      <c r="AB135" s="137" t="str">
        <f t="shared" si="10"/>
        <v>/*ELI-774*/ 00000010 1;</v>
      </c>
    </row>
    <row r="136" spans="1:28" x14ac:dyDescent="0.3">
      <c r="A136" s="137" t="s">
        <v>451</v>
      </c>
      <c r="B136" s="137" t="s">
        <v>530</v>
      </c>
      <c r="C136" s="137" t="s">
        <v>530</v>
      </c>
      <c r="D136" s="144">
        <v>0</v>
      </c>
      <c r="E136" s="144">
        <v>0</v>
      </c>
      <c r="F136" s="144">
        <v>0</v>
      </c>
      <c r="G136" s="144">
        <v>0</v>
      </c>
      <c r="H136" s="147">
        <v>0</v>
      </c>
      <c r="I136" s="147">
        <v>0</v>
      </c>
      <c r="J136" s="144">
        <v>0</v>
      </c>
      <c r="K136" s="144">
        <v>0</v>
      </c>
      <c r="L136" s="144">
        <v>1</v>
      </c>
      <c r="M136" s="144">
        <v>0</v>
      </c>
      <c r="N136" s="144">
        <v>0</v>
      </c>
      <c r="O136" s="144">
        <v>0</v>
      </c>
      <c r="P136" s="137">
        <v>1</v>
      </c>
      <c r="Q136" s="137">
        <v>0</v>
      </c>
      <c r="R136" s="137">
        <v>0</v>
      </c>
      <c r="S136" s="137">
        <v>1</v>
      </c>
      <c r="T136" s="137">
        <v>2014</v>
      </c>
      <c r="U136" s="137">
        <v>9</v>
      </c>
      <c r="V136" s="137">
        <v>1</v>
      </c>
      <c r="W136" s="137">
        <v>1</v>
      </c>
      <c r="X136" s="137">
        <v>0</v>
      </c>
      <c r="Y136" s="137">
        <v>0</v>
      </c>
      <c r="Z136" s="117" t="str">
        <f t="shared" si="8"/>
        <v>/* ELI-775 */ 00000100 1 1 1 0 0 1 0;</v>
      </c>
      <c r="AA136" s="137" t="str">
        <f t="shared" si="9"/>
        <v>00000100</v>
      </c>
      <c r="AB136" s="137" t="str">
        <f t="shared" si="10"/>
        <v>/*ELI-775*/ 00000100 1;</v>
      </c>
    </row>
    <row r="137" spans="1:28" x14ac:dyDescent="0.3">
      <c r="A137" s="137" t="s">
        <v>450</v>
      </c>
      <c r="B137" s="137" t="s">
        <v>530</v>
      </c>
      <c r="C137" s="137" t="s">
        <v>530</v>
      </c>
      <c r="D137" s="144">
        <v>0</v>
      </c>
      <c r="E137" s="144">
        <v>0</v>
      </c>
      <c r="F137" s="144">
        <v>0</v>
      </c>
      <c r="G137" s="144">
        <v>0</v>
      </c>
      <c r="H137" s="147">
        <v>0</v>
      </c>
      <c r="I137" s="147">
        <v>0</v>
      </c>
      <c r="J137" s="144">
        <v>0</v>
      </c>
      <c r="K137" s="144">
        <v>0</v>
      </c>
      <c r="L137" s="144">
        <v>1</v>
      </c>
      <c r="M137" s="144">
        <v>0</v>
      </c>
      <c r="N137" s="144">
        <v>0</v>
      </c>
      <c r="O137" s="144">
        <v>0</v>
      </c>
      <c r="P137" s="137">
        <v>1</v>
      </c>
      <c r="Q137" s="137">
        <v>0</v>
      </c>
      <c r="R137" s="137">
        <v>0</v>
      </c>
      <c r="S137" s="137">
        <v>1</v>
      </c>
      <c r="T137" s="137">
        <v>2014</v>
      </c>
      <c r="U137" s="137">
        <v>9</v>
      </c>
      <c r="V137" s="137">
        <v>1</v>
      </c>
      <c r="W137" s="137">
        <v>1</v>
      </c>
      <c r="X137" s="137">
        <v>0</v>
      </c>
      <c r="Y137" s="137">
        <v>0</v>
      </c>
      <c r="Z137" s="117" t="str">
        <f t="shared" si="8"/>
        <v>/* ELI-776 */ 00000100 1 1 1 0 0 1 0;</v>
      </c>
      <c r="AA137" s="137" t="str">
        <f t="shared" si="9"/>
        <v>00000100</v>
      </c>
      <c r="AB137" s="137" t="str">
        <f t="shared" si="10"/>
        <v>/*ELI-776*/ 00000100 1;</v>
      </c>
    </row>
    <row r="138" spans="1:28" x14ac:dyDescent="0.3">
      <c r="A138" s="137" t="s">
        <v>452</v>
      </c>
      <c r="B138" s="137" t="s">
        <v>530</v>
      </c>
      <c r="C138" s="137" t="s">
        <v>530</v>
      </c>
      <c r="D138" s="144">
        <v>0</v>
      </c>
      <c r="E138" s="144">
        <v>0</v>
      </c>
      <c r="F138" s="144">
        <v>0</v>
      </c>
      <c r="G138" s="144">
        <v>0</v>
      </c>
      <c r="H138" s="147">
        <v>0</v>
      </c>
      <c r="I138" s="147">
        <v>0</v>
      </c>
      <c r="J138" s="144">
        <v>0</v>
      </c>
      <c r="K138" s="144">
        <v>0</v>
      </c>
      <c r="L138" s="144">
        <v>1</v>
      </c>
      <c r="M138" s="144">
        <v>0</v>
      </c>
      <c r="N138" s="144">
        <v>0</v>
      </c>
      <c r="O138" s="144">
        <v>0</v>
      </c>
      <c r="P138" s="137">
        <v>1</v>
      </c>
      <c r="Q138" s="137">
        <v>0</v>
      </c>
      <c r="R138" s="137">
        <v>0</v>
      </c>
      <c r="S138" s="137">
        <v>1</v>
      </c>
      <c r="T138" s="137">
        <v>2014</v>
      </c>
      <c r="U138" s="137">
        <v>9</v>
      </c>
      <c r="V138" s="137">
        <v>1</v>
      </c>
      <c r="W138" s="137">
        <v>1</v>
      </c>
      <c r="X138" s="137">
        <v>0</v>
      </c>
      <c r="Y138" s="137">
        <v>0</v>
      </c>
      <c r="Z138" s="117" t="str">
        <f t="shared" si="8"/>
        <v>/* ELI-777 */ 00000100 1 1 1 0 0 1 0;</v>
      </c>
      <c r="AA138" s="137" t="str">
        <f t="shared" si="9"/>
        <v>00000100</v>
      </c>
      <c r="AB138" s="137" t="str">
        <f t="shared" si="10"/>
        <v>/*ELI-777*/ 00000100 1;</v>
      </c>
    </row>
    <row r="139" spans="1:28" x14ac:dyDescent="0.3">
      <c r="A139" s="137" t="s">
        <v>453</v>
      </c>
      <c r="B139" s="137" t="s">
        <v>530</v>
      </c>
      <c r="C139" s="137" t="s">
        <v>530</v>
      </c>
      <c r="D139" s="144">
        <v>0</v>
      </c>
      <c r="E139" s="144">
        <v>0</v>
      </c>
      <c r="F139" s="144">
        <v>0</v>
      </c>
      <c r="G139" s="144">
        <v>0</v>
      </c>
      <c r="H139" s="147">
        <v>0</v>
      </c>
      <c r="I139" s="147">
        <v>0</v>
      </c>
      <c r="J139" s="144">
        <v>0</v>
      </c>
      <c r="K139" s="144">
        <v>0</v>
      </c>
      <c r="L139" s="144">
        <v>1</v>
      </c>
      <c r="M139" s="144">
        <v>0</v>
      </c>
      <c r="N139" s="144">
        <v>0</v>
      </c>
      <c r="O139" s="144">
        <v>0</v>
      </c>
      <c r="P139" s="137">
        <v>1</v>
      </c>
      <c r="Q139" s="137">
        <v>0</v>
      </c>
      <c r="R139" s="137">
        <v>0</v>
      </c>
      <c r="S139" s="137">
        <v>1</v>
      </c>
      <c r="T139" s="137">
        <v>2014</v>
      </c>
      <c r="U139" s="137">
        <v>9</v>
      </c>
      <c r="V139" s="137">
        <v>1</v>
      </c>
      <c r="W139" s="137">
        <v>1</v>
      </c>
      <c r="X139" s="137">
        <v>0</v>
      </c>
      <c r="Y139" s="137">
        <v>0</v>
      </c>
      <c r="Z139" s="117" t="str">
        <f t="shared" si="8"/>
        <v>/* ELI-778 */ 00000100 1 1 1 0 0 1 0;</v>
      </c>
      <c r="AA139" s="137" t="str">
        <f t="shared" si="9"/>
        <v>00000100</v>
      </c>
      <c r="AB139" s="137" t="str">
        <f t="shared" si="10"/>
        <v>/*ELI-778*/ 00000100 1;</v>
      </c>
    </row>
    <row r="140" spans="1:28" x14ac:dyDescent="0.3">
      <c r="A140" s="137" t="s">
        <v>454</v>
      </c>
      <c r="B140" s="137" t="s">
        <v>530</v>
      </c>
      <c r="C140" s="137" t="s">
        <v>530</v>
      </c>
      <c r="D140" s="144">
        <v>0</v>
      </c>
      <c r="E140" s="144">
        <v>0</v>
      </c>
      <c r="F140" s="144">
        <v>0</v>
      </c>
      <c r="G140" s="144">
        <v>0</v>
      </c>
      <c r="H140" s="147">
        <v>0</v>
      </c>
      <c r="I140" s="147">
        <v>0</v>
      </c>
      <c r="J140" s="144">
        <v>0</v>
      </c>
      <c r="K140" s="144">
        <v>0</v>
      </c>
      <c r="L140" s="144">
        <v>1</v>
      </c>
      <c r="M140" s="164">
        <v>1</v>
      </c>
      <c r="N140" s="144">
        <v>0</v>
      </c>
      <c r="O140" s="144">
        <v>0</v>
      </c>
      <c r="P140" s="137">
        <v>1</v>
      </c>
      <c r="Q140" s="137">
        <v>0</v>
      </c>
      <c r="R140" s="137">
        <v>0</v>
      </c>
      <c r="S140" s="137">
        <v>1</v>
      </c>
      <c r="T140" s="137">
        <v>2014</v>
      </c>
      <c r="U140" s="137">
        <v>9</v>
      </c>
      <c r="V140" s="137">
        <v>5</v>
      </c>
      <c r="W140" s="137">
        <v>1</v>
      </c>
      <c r="X140" s="137">
        <v>0</v>
      </c>
      <c r="Y140" s="137">
        <v>0</v>
      </c>
      <c r="Z140" s="117" t="str">
        <f t="shared" si="8"/>
        <v>/* ELI-786 */ 00000110 1 1 1 0 0 5 0;</v>
      </c>
      <c r="AA140" s="137" t="str">
        <f t="shared" si="9"/>
        <v>00000110</v>
      </c>
      <c r="AB140" s="137" t="str">
        <f t="shared" si="10"/>
        <v>/*ELI-786*/ 00000110 1;</v>
      </c>
    </row>
    <row r="141" spans="1:28" x14ac:dyDescent="0.3">
      <c r="A141" s="137" t="s">
        <v>747</v>
      </c>
      <c r="B141" s="137" t="s">
        <v>530</v>
      </c>
      <c r="C141" s="137" t="s">
        <v>530</v>
      </c>
      <c r="D141" s="144">
        <v>0</v>
      </c>
      <c r="E141" s="144">
        <v>0</v>
      </c>
      <c r="F141" s="144">
        <v>0</v>
      </c>
      <c r="G141" s="144">
        <v>0</v>
      </c>
      <c r="H141" s="147">
        <v>0</v>
      </c>
      <c r="I141" s="147">
        <v>0</v>
      </c>
      <c r="J141" s="144">
        <v>0</v>
      </c>
      <c r="K141" s="144">
        <v>0</v>
      </c>
      <c r="L141" s="144">
        <v>1</v>
      </c>
      <c r="M141" s="144">
        <v>0</v>
      </c>
      <c r="N141" s="144">
        <v>0</v>
      </c>
      <c r="O141" s="144">
        <v>0</v>
      </c>
      <c r="P141" s="137">
        <v>1</v>
      </c>
      <c r="Q141" s="137">
        <v>0</v>
      </c>
      <c r="R141" s="137">
        <v>0</v>
      </c>
      <c r="S141" s="137">
        <v>1</v>
      </c>
      <c r="T141" s="137">
        <v>2014</v>
      </c>
      <c r="U141" s="137">
        <v>9</v>
      </c>
      <c r="V141" s="137">
        <v>6</v>
      </c>
      <c r="W141" s="137">
        <v>1</v>
      </c>
      <c r="X141" s="137">
        <v>0</v>
      </c>
      <c r="Y141" s="137">
        <v>0</v>
      </c>
      <c r="Z141" s="117" t="str">
        <f t="shared" si="8"/>
        <v>/* ELI-990 */ 00000100 1 1 1 0 0 6 0;</v>
      </c>
      <c r="AA141" s="137" t="str">
        <f t="shared" si="9"/>
        <v>00000100</v>
      </c>
      <c r="AB141" s="137" t="str">
        <f t="shared" si="10"/>
        <v>/*ELI-990*/ 00000100 1;</v>
      </c>
    </row>
    <row r="142" spans="1:28" x14ac:dyDescent="0.3">
      <c r="A142" s="137" t="s">
        <v>579</v>
      </c>
      <c r="B142" s="137" t="s">
        <v>557</v>
      </c>
      <c r="C142" s="137" t="s">
        <v>558</v>
      </c>
      <c r="D142" s="144">
        <v>0</v>
      </c>
      <c r="E142" s="144">
        <v>0</v>
      </c>
      <c r="F142" s="144">
        <v>0</v>
      </c>
      <c r="G142" s="144">
        <v>0</v>
      </c>
      <c r="H142" s="147">
        <v>0</v>
      </c>
      <c r="I142" s="147">
        <v>1</v>
      </c>
      <c r="J142" s="144">
        <v>0</v>
      </c>
      <c r="K142" s="144">
        <v>0</v>
      </c>
      <c r="L142" s="144">
        <v>0</v>
      </c>
      <c r="M142" s="144">
        <v>0</v>
      </c>
      <c r="N142" s="144">
        <v>0</v>
      </c>
      <c r="O142" s="144">
        <v>0</v>
      </c>
      <c r="P142" s="137">
        <v>1</v>
      </c>
      <c r="Q142" s="137">
        <v>0</v>
      </c>
      <c r="R142" s="137">
        <v>0</v>
      </c>
      <c r="S142" s="137">
        <v>1</v>
      </c>
      <c r="T142" s="137">
        <v>2008</v>
      </c>
      <c r="U142" s="137">
        <v>6</v>
      </c>
      <c r="V142" s="137">
        <v>1</v>
      </c>
      <c r="W142" s="137">
        <v>0</v>
      </c>
      <c r="X142" s="137">
        <v>0</v>
      </c>
      <c r="Y142" s="137">
        <v>0</v>
      </c>
      <c r="Z142" s="117" t="str">
        <f t="shared" si="8"/>
        <v>/* ELI-260 */ 00100000 1 1 1 0 0 1 0;</v>
      </c>
      <c r="AA142" s="137" t="str">
        <f t="shared" si="9"/>
        <v>00100000</v>
      </c>
      <c r="AB142" s="137" t="str">
        <f t="shared" si="10"/>
        <v>/*ELI-260*/ 00100000 1;</v>
      </c>
    </row>
    <row r="143" spans="1:28" x14ac:dyDescent="0.3">
      <c r="A143" s="137" t="s">
        <v>581</v>
      </c>
      <c r="B143" s="137" t="s">
        <v>557</v>
      </c>
      <c r="C143" s="137" t="s">
        <v>559</v>
      </c>
      <c r="D143" s="144">
        <v>0</v>
      </c>
      <c r="E143" s="144">
        <v>0</v>
      </c>
      <c r="F143" s="144">
        <v>0</v>
      </c>
      <c r="G143" s="144">
        <v>0</v>
      </c>
      <c r="H143" s="147">
        <v>0</v>
      </c>
      <c r="I143" s="147">
        <v>1</v>
      </c>
      <c r="J143" s="144">
        <v>0</v>
      </c>
      <c r="K143" s="144">
        <v>0</v>
      </c>
      <c r="L143" s="144">
        <v>0</v>
      </c>
      <c r="M143" s="144">
        <v>0</v>
      </c>
      <c r="N143" s="144">
        <v>0</v>
      </c>
      <c r="O143" s="144">
        <v>0</v>
      </c>
      <c r="P143" s="137">
        <v>1</v>
      </c>
      <c r="Q143" s="137">
        <v>0</v>
      </c>
      <c r="R143" s="137">
        <v>0</v>
      </c>
      <c r="S143" s="137">
        <v>1</v>
      </c>
      <c r="T143" s="137">
        <v>2008</v>
      </c>
      <c r="U143" s="137">
        <v>6</v>
      </c>
      <c r="V143" s="137">
        <v>2</v>
      </c>
      <c r="W143" s="137">
        <v>0</v>
      </c>
      <c r="X143" s="137">
        <v>0</v>
      </c>
      <c r="Y143" s="137">
        <v>0</v>
      </c>
      <c r="Z143" s="117" t="str">
        <f t="shared" si="8"/>
        <v>/* ELI-262 */ 00100000 1 1 1 0 0 2 0;</v>
      </c>
      <c r="AA143" s="137" t="str">
        <f t="shared" si="9"/>
        <v>00100000</v>
      </c>
      <c r="AB143" s="137" t="str">
        <f t="shared" si="10"/>
        <v>/*ELI-262*/ 00100000 1;</v>
      </c>
    </row>
    <row r="144" spans="1:28" x14ac:dyDescent="0.3">
      <c r="A144" s="137" t="s">
        <v>568</v>
      </c>
      <c r="B144" s="137" t="s">
        <v>557</v>
      </c>
      <c r="C144" s="137" t="s">
        <v>560</v>
      </c>
      <c r="D144" s="144">
        <v>0</v>
      </c>
      <c r="E144" s="144">
        <v>0</v>
      </c>
      <c r="F144" s="144">
        <v>0</v>
      </c>
      <c r="G144" s="144">
        <v>0</v>
      </c>
      <c r="H144" s="147">
        <v>0</v>
      </c>
      <c r="I144" s="147">
        <v>1</v>
      </c>
      <c r="J144" s="144">
        <v>0</v>
      </c>
      <c r="K144" s="144">
        <v>0</v>
      </c>
      <c r="L144" s="144">
        <v>0</v>
      </c>
      <c r="M144" s="144">
        <v>0</v>
      </c>
      <c r="N144" s="144">
        <v>0</v>
      </c>
      <c r="O144" s="144">
        <v>0</v>
      </c>
      <c r="P144" s="137">
        <v>1</v>
      </c>
      <c r="Q144" s="137">
        <v>1</v>
      </c>
      <c r="R144" s="137">
        <v>0</v>
      </c>
      <c r="S144" s="137">
        <v>1</v>
      </c>
      <c r="T144" s="137">
        <v>2014</v>
      </c>
      <c r="U144" s="137">
        <v>6</v>
      </c>
      <c r="V144" s="137">
        <v>0</v>
      </c>
      <c r="W144" s="137">
        <v>0</v>
      </c>
      <c r="X144" s="137">
        <v>0</v>
      </c>
      <c r="Y144" s="137">
        <v>0</v>
      </c>
      <c r="Z144" s="117" t="str">
        <f t="shared" si="8"/>
        <v>/* ELI-752 */ 00100000 1 1 1 0 0 0 0;</v>
      </c>
      <c r="AA144" s="137" t="str">
        <f t="shared" si="9"/>
        <v>00100000</v>
      </c>
      <c r="AB144" s="137" t="str">
        <f t="shared" si="10"/>
        <v>/*ELI-752*/ 00100000 1;</v>
      </c>
    </row>
    <row r="145" spans="1:28" x14ac:dyDescent="0.3">
      <c r="A145" s="137" t="s">
        <v>569</v>
      </c>
      <c r="B145" s="137" t="s">
        <v>557</v>
      </c>
      <c r="C145" s="137" t="s">
        <v>561</v>
      </c>
      <c r="D145" s="144">
        <v>0</v>
      </c>
      <c r="E145" s="144">
        <v>0</v>
      </c>
      <c r="F145" s="144">
        <v>0</v>
      </c>
      <c r="G145" s="144">
        <v>0</v>
      </c>
      <c r="H145" s="147">
        <v>0</v>
      </c>
      <c r="I145" s="147">
        <v>1</v>
      </c>
      <c r="J145" s="144">
        <v>0</v>
      </c>
      <c r="K145" s="144">
        <v>0</v>
      </c>
      <c r="L145" s="144">
        <v>0</v>
      </c>
      <c r="M145" s="144">
        <v>0</v>
      </c>
      <c r="N145" s="144">
        <v>0</v>
      </c>
      <c r="O145" s="144">
        <v>0</v>
      </c>
      <c r="P145" s="137">
        <v>1</v>
      </c>
      <c r="Q145" s="137">
        <v>0</v>
      </c>
      <c r="R145" s="137">
        <v>0</v>
      </c>
      <c r="S145" s="137">
        <v>1</v>
      </c>
      <c r="T145" s="137">
        <v>2014</v>
      </c>
      <c r="U145" s="137">
        <v>6</v>
      </c>
      <c r="V145" s="137">
        <v>0</v>
      </c>
      <c r="W145" s="137">
        <v>0</v>
      </c>
      <c r="X145" s="137">
        <v>0</v>
      </c>
      <c r="Y145" s="137">
        <v>1</v>
      </c>
      <c r="Z145" s="117" t="str">
        <f t="shared" si="8"/>
        <v>/* ELI-753 */ 00100000 1 1 1 0 1 0 0;</v>
      </c>
      <c r="AA145" s="137" t="str">
        <f t="shared" si="9"/>
        <v>00100000</v>
      </c>
      <c r="AB145" s="137" t="str">
        <f t="shared" si="10"/>
        <v>/*ELI-753*/ 00100000 1;</v>
      </c>
    </row>
    <row r="146" spans="1:28" x14ac:dyDescent="0.3">
      <c r="A146" s="137" t="s">
        <v>570</v>
      </c>
      <c r="B146" s="137" t="s">
        <v>557</v>
      </c>
      <c r="C146" s="137" t="s">
        <v>562</v>
      </c>
      <c r="D146" s="144">
        <v>0</v>
      </c>
      <c r="E146" s="144">
        <v>0</v>
      </c>
      <c r="F146" s="144">
        <v>0</v>
      </c>
      <c r="G146" s="144">
        <v>0</v>
      </c>
      <c r="H146" s="147">
        <v>0</v>
      </c>
      <c r="I146" s="147">
        <v>1</v>
      </c>
      <c r="J146" s="144">
        <v>0</v>
      </c>
      <c r="K146" s="144">
        <v>0</v>
      </c>
      <c r="L146" s="144">
        <v>0</v>
      </c>
      <c r="M146" s="144">
        <v>0</v>
      </c>
      <c r="N146" s="144">
        <v>0</v>
      </c>
      <c r="O146" s="144">
        <v>0</v>
      </c>
      <c r="P146" s="137">
        <v>0</v>
      </c>
      <c r="Q146" s="137" t="s">
        <v>580</v>
      </c>
      <c r="R146" s="137">
        <v>0</v>
      </c>
      <c r="S146" s="137">
        <v>1</v>
      </c>
      <c r="T146" s="137">
        <v>2014</v>
      </c>
      <c r="U146" s="137">
        <v>6</v>
      </c>
      <c r="V146" s="137">
        <v>0</v>
      </c>
      <c r="W146" s="137">
        <v>0</v>
      </c>
      <c r="X146" s="137">
        <v>0</v>
      </c>
      <c r="Y146" s="137">
        <v>0</v>
      </c>
      <c r="Z146" s="117" t="str">
        <f t="shared" si="8"/>
        <v>/* ELI-754 */ 00100000 1 0 1 0 0 0 0;</v>
      </c>
      <c r="AA146" s="137" t="str">
        <f t="shared" si="9"/>
        <v>00100000</v>
      </c>
      <c r="AB146" s="137" t="str">
        <f t="shared" si="10"/>
        <v>/*ELI-754*/ 00100000 1;</v>
      </c>
    </row>
    <row r="147" spans="1:28" x14ac:dyDescent="0.3">
      <c r="A147" s="137" t="s">
        <v>571</v>
      </c>
      <c r="B147" s="137" t="s">
        <v>557</v>
      </c>
      <c r="C147" s="137" t="s">
        <v>563</v>
      </c>
      <c r="D147" s="144">
        <v>0</v>
      </c>
      <c r="E147" s="144">
        <v>0</v>
      </c>
      <c r="F147" s="144">
        <v>0</v>
      </c>
      <c r="G147" s="144">
        <v>0</v>
      </c>
      <c r="H147" s="147">
        <v>0</v>
      </c>
      <c r="I147" s="147">
        <v>1</v>
      </c>
      <c r="J147" s="144">
        <v>0</v>
      </c>
      <c r="K147" s="144">
        <v>0</v>
      </c>
      <c r="L147" s="144">
        <v>0</v>
      </c>
      <c r="M147" s="144">
        <v>0</v>
      </c>
      <c r="N147" s="144">
        <v>0</v>
      </c>
      <c r="O147" s="144">
        <v>0</v>
      </c>
      <c r="P147" s="137">
        <v>0</v>
      </c>
      <c r="Q147" s="137" t="s">
        <v>580</v>
      </c>
      <c r="R147" s="137">
        <v>0</v>
      </c>
      <c r="S147" s="137">
        <v>1</v>
      </c>
      <c r="T147" s="137">
        <v>2014</v>
      </c>
      <c r="U147" s="137">
        <v>6</v>
      </c>
      <c r="V147" s="137">
        <v>0</v>
      </c>
      <c r="W147" s="137">
        <v>0</v>
      </c>
      <c r="X147" s="137">
        <v>0</v>
      </c>
      <c r="Y147" s="137">
        <v>1</v>
      </c>
      <c r="Z147" s="117" t="str">
        <f t="shared" si="8"/>
        <v>/* ELI-755 */ 00100000 1 0 1 0 1 0 0;</v>
      </c>
      <c r="AA147" s="137" t="str">
        <f t="shared" si="9"/>
        <v>00100000</v>
      </c>
      <c r="AB147" s="137" t="str">
        <f t="shared" si="10"/>
        <v>/*ELI-755*/ 00100000 1;</v>
      </c>
    </row>
    <row r="148" spans="1:28" x14ac:dyDescent="0.3">
      <c r="A148" s="137" t="s">
        <v>572</v>
      </c>
      <c r="B148" s="137" t="s">
        <v>557</v>
      </c>
      <c r="C148" s="137" t="s">
        <v>564</v>
      </c>
      <c r="D148" s="144">
        <v>0</v>
      </c>
      <c r="E148" s="144">
        <v>0</v>
      </c>
      <c r="F148" s="144">
        <v>0</v>
      </c>
      <c r="G148" s="144">
        <v>0</v>
      </c>
      <c r="H148" s="147">
        <v>0</v>
      </c>
      <c r="I148" s="147">
        <v>1</v>
      </c>
      <c r="J148" s="144">
        <v>0</v>
      </c>
      <c r="K148" s="144">
        <v>0</v>
      </c>
      <c r="L148" s="144">
        <v>0</v>
      </c>
      <c r="M148" s="144">
        <v>0</v>
      </c>
      <c r="N148" s="144">
        <v>0</v>
      </c>
      <c r="O148" s="144">
        <v>0</v>
      </c>
      <c r="P148" s="137">
        <v>0</v>
      </c>
      <c r="Q148" s="137" t="s">
        <v>580</v>
      </c>
      <c r="R148" s="137">
        <v>0</v>
      </c>
      <c r="S148" s="137">
        <v>1</v>
      </c>
      <c r="T148" s="137">
        <v>2014</v>
      </c>
      <c r="U148" s="137">
        <v>6</v>
      </c>
      <c r="V148" s="137">
        <v>0</v>
      </c>
      <c r="W148" s="137">
        <v>0</v>
      </c>
      <c r="X148" s="137">
        <v>0</v>
      </c>
      <c r="Y148" s="137">
        <v>0</v>
      </c>
      <c r="Z148" s="117" t="str">
        <f t="shared" si="8"/>
        <v>/* ELI-756 */ 00100000 1 0 1 0 0 0 0;</v>
      </c>
      <c r="AA148" s="137" t="str">
        <f t="shared" si="9"/>
        <v>00100000</v>
      </c>
      <c r="AB148" s="137" t="str">
        <f t="shared" si="10"/>
        <v>/*ELI-756*/ 00100000 1;</v>
      </c>
    </row>
    <row r="149" spans="1:28" x14ac:dyDescent="0.3">
      <c r="A149" s="137" t="s">
        <v>573</v>
      </c>
      <c r="B149" s="137" t="s">
        <v>557</v>
      </c>
      <c r="C149" s="137" t="s">
        <v>565</v>
      </c>
      <c r="D149" s="144">
        <v>0</v>
      </c>
      <c r="E149" s="144">
        <v>0</v>
      </c>
      <c r="F149" s="144">
        <v>0</v>
      </c>
      <c r="G149" s="144">
        <v>0</v>
      </c>
      <c r="H149" s="147">
        <v>0</v>
      </c>
      <c r="I149" s="147">
        <v>1</v>
      </c>
      <c r="J149" s="144">
        <v>0</v>
      </c>
      <c r="K149" s="144">
        <v>0</v>
      </c>
      <c r="L149" s="144">
        <v>0</v>
      </c>
      <c r="M149" s="144">
        <v>0</v>
      </c>
      <c r="N149" s="144">
        <v>0</v>
      </c>
      <c r="O149" s="144">
        <v>0</v>
      </c>
      <c r="P149" s="137">
        <v>0</v>
      </c>
      <c r="Q149" s="137" t="s">
        <v>580</v>
      </c>
      <c r="R149" s="137">
        <v>0</v>
      </c>
      <c r="S149" s="137">
        <v>1</v>
      </c>
      <c r="T149" s="137">
        <v>2014</v>
      </c>
      <c r="U149" s="137">
        <v>6</v>
      </c>
      <c r="V149" s="137">
        <v>0</v>
      </c>
      <c r="W149" s="137">
        <v>0</v>
      </c>
      <c r="X149" s="137">
        <v>0</v>
      </c>
      <c r="Y149" s="137">
        <v>1</v>
      </c>
      <c r="Z149" s="117" t="str">
        <f t="shared" si="8"/>
        <v>/* ELI-757 */ 00100000 1 0 1 0 1 0 0;</v>
      </c>
      <c r="AA149" s="137" t="str">
        <f t="shared" si="9"/>
        <v>00100000</v>
      </c>
      <c r="AB149" s="137" t="str">
        <f t="shared" si="10"/>
        <v>/*ELI-757*/ 00100000 1;</v>
      </c>
    </row>
    <row r="150" spans="1:28" x14ac:dyDescent="0.3">
      <c r="A150" s="137" t="s">
        <v>574</v>
      </c>
      <c r="B150" s="137" t="s">
        <v>557</v>
      </c>
      <c r="C150" s="137" t="s">
        <v>566</v>
      </c>
      <c r="D150" s="144">
        <v>0</v>
      </c>
      <c r="E150" s="144">
        <v>0</v>
      </c>
      <c r="F150" s="144">
        <v>0</v>
      </c>
      <c r="G150" s="144">
        <v>0</v>
      </c>
      <c r="H150" s="147">
        <v>0</v>
      </c>
      <c r="I150" s="147">
        <v>1</v>
      </c>
      <c r="J150" s="144">
        <v>0</v>
      </c>
      <c r="K150" s="144">
        <v>0</v>
      </c>
      <c r="L150" s="144">
        <v>0</v>
      </c>
      <c r="M150" s="144">
        <v>0</v>
      </c>
      <c r="N150" s="144">
        <v>0</v>
      </c>
      <c r="O150" s="144">
        <v>0</v>
      </c>
      <c r="P150" s="137">
        <v>0</v>
      </c>
      <c r="Q150" s="137" t="s">
        <v>580</v>
      </c>
      <c r="R150" s="137">
        <v>0</v>
      </c>
      <c r="S150" s="137">
        <v>1</v>
      </c>
      <c r="T150" s="137">
        <v>2014</v>
      </c>
      <c r="U150" s="137">
        <v>6</v>
      </c>
      <c r="V150" s="137">
        <v>0</v>
      </c>
      <c r="W150" s="137">
        <v>0</v>
      </c>
      <c r="X150" s="137">
        <v>0</v>
      </c>
      <c r="Y150" s="137">
        <v>0</v>
      </c>
      <c r="Z150" s="117" t="str">
        <f t="shared" si="8"/>
        <v>/* ELI-758 */ 00100000 1 0 1 0 0 0 0;</v>
      </c>
      <c r="AA150" s="137" t="str">
        <f t="shared" si="9"/>
        <v>00100000</v>
      </c>
      <c r="AB150" s="137" t="str">
        <f t="shared" si="10"/>
        <v>/*ELI-758*/ 00100000 1;</v>
      </c>
    </row>
    <row r="151" spans="1:28" x14ac:dyDescent="0.3">
      <c r="A151" s="137" t="s">
        <v>575</v>
      </c>
      <c r="B151" s="137" t="s">
        <v>557</v>
      </c>
      <c r="C151" s="137" t="s">
        <v>567</v>
      </c>
      <c r="D151" s="144">
        <v>0</v>
      </c>
      <c r="E151" s="144">
        <v>0</v>
      </c>
      <c r="F151" s="144">
        <v>0</v>
      </c>
      <c r="G151" s="144">
        <v>0</v>
      </c>
      <c r="H151" s="147">
        <v>0</v>
      </c>
      <c r="I151" s="147">
        <v>1</v>
      </c>
      <c r="J151" s="144">
        <v>0</v>
      </c>
      <c r="K151" s="144">
        <v>0</v>
      </c>
      <c r="L151" s="144">
        <v>0</v>
      </c>
      <c r="M151" s="144">
        <v>0</v>
      </c>
      <c r="N151" s="144">
        <v>0</v>
      </c>
      <c r="O151" s="144">
        <v>0</v>
      </c>
      <c r="P151" s="137">
        <v>0</v>
      </c>
      <c r="Q151" s="137" t="s">
        <v>580</v>
      </c>
      <c r="R151" s="137">
        <v>0</v>
      </c>
      <c r="S151" s="137">
        <v>1</v>
      </c>
      <c r="T151" s="137">
        <v>2014</v>
      </c>
      <c r="U151" s="137">
        <v>6</v>
      </c>
      <c r="V151" s="137">
        <v>0</v>
      </c>
      <c r="W151" s="137">
        <v>0</v>
      </c>
      <c r="X151" s="137">
        <v>0</v>
      </c>
      <c r="Y151" s="137">
        <v>1</v>
      </c>
      <c r="Z151" s="117" t="str">
        <f t="shared" si="8"/>
        <v>/* ELI-759 */ 00100000 1 0 1 0 1 0 0;</v>
      </c>
      <c r="AA151" s="137" t="str">
        <f t="shared" si="9"/>
        <v>00100000</v>
      </c>
      <c r="AB151" s="137" t="str">
        <f t="shared" si="10"/>
        <v>/*ELI-759*/ 00100000 1;</v>
      </c>
    </row>
    <row r="152" spans="1:28" x14ac:dyDescent="0.3">
      <c r="A152" s="137" t="s">
        <v>286</v>
      </c>
      <c r="B152" s="137" t="s">
        <v>537</v>
      </c>
      <c r="C152" s="137" t="s">
        <v>285</v>
      </c>
      <c r="D152" s="138">
        <v>0</v>
      </c>
      <c r="E152" s="138">
        <v>0</v>
      </c>
      <c r="F152" s="138">
        <v>0</v>
      </c>
      <c r="G152" s="138">
        <v>0</v>
      </c>
      <c r="H152" s="140">
        <v>0</v>
      </c>
      <c r="I152" s="140">
        <v>1</v>
      </c>
      <c r="J152" s="138">
        <v>0</v>
      </c>
      <c r="K152" s="138">
        <v>0</v>
      </c>
      <c r="L152" s="138">
        <v>0</v>
      </c>
      <c r="M152" s="138">
        <v>1</v>
      </c>
      <c r="N152" s="138">
        <v>0</v>
      </c>
      <c r="O152" s="138">
        <v>0</v>
      </c>
      <c r="P152" s="137">
        <f>VLOOKUP(A152,[1]allpride!$C$2:$V$215,14,FALSE)</f>
        <v>1</v>
      </c>
      <c r="Q152" s="137">
        <f>VLOOKUP(A152,[1]allpride!$C$2:$V$215,15,FALSE)</f>
        <v>1</v>
      </c>
      <c r="R152" s="137">
        <f>VLOOKUP(A152,[1]allpride!$C$2:$V$215,16,FALSE)</f>
        <v>0</v>
      </c>
      <c r="S152" s="137">
        <f>VLOOKUP(A152,[1]allpride!$C$2:$V$215,17,FALSE)</f>
        <v>1</v>
      </c>
      <c r="T152" s="137">
        <f>VLOOKUP(A152,[1]allpride!$C$2:$V$215,18,FALSE)</f>
        <v>2009</v>
      </c>
      <c r="U152" s="137">
        <f>VLOOKUP(A152,[1]allpride!$C$2:$V$215,19,FALSE)</f>
        <v>4</v>
      </c>
      <c r="V152" s="137">
        <f>VLOOKUP(A152,[1]allpride!$C$2:$V$215,20,FALSE)</f>
        <v>0</v>
      </c>
      <c r="W152" s="137">
        <f>VLOOKUP(B152,'[2]pride covariates'!$A$2:$B$33,2,FALSE)</f>
        <v>0</v>
      </c>
      <c r="X152" s="137">
        <v>0</v>
      </c>
      <c r="Y152" s="137">
        <v>1</v>
      </c>
      <c r="Z152" s="117" t="str">
        <f t="shared" si="8"/>
        <v>/* ELI-168 */ 00100010 1 1 1 0 1 0 0;</v>
      </c>
      <c r="AA152" s="137" t="str">
        <f t="shared" si="9"/>
        <v>00100010</v>
      </c>
      <c r="AB152" s="137" t="str">
        <f t="shared" si="10"/>
        <v>/*ELI-168*/ 00100010 1;</v>
      </c>
    </row>
    <row r="153" spans="1:28" x14ac:dyDescent="0.3">
      <c r="A153" s="137" t="s">
        <v>298</v>
      </c>
      <c r="B153" s="137" t="s">
        <v>532</v>
      </c>
      <c r="C153" s="137" t="s">
        <v>297</v>
      </c>
      <c r="D153" s="138">
        <v>0</v>
      </c>
      <c r="E153" s="138">
        <v>0</v>
      </c>
      <c r="F153" s="138">
        <v>0</v>
      </c>
      <c r="G153" s="138">
        <v>0</v>
      </c>
      <c r="H153" s="140">
        <v>0</v>
      </c>
      <c r="I153" s="140">
        <v>1</v>
      </c>
      <c r="J153" s="138">
        <v>0</v>
      </c>
      <c r="K153" s="138">
        <v>0</v>
      </c>
      <c r="L153" s="138">
        <v>0</v>
      </c>
      <c r="M153" s="138">
        <v>0</v>
      </c>
      <c r="N153" s="138">
        <v>1</v>
      </c>
      <c r="O153" s="138">
        <v>0</v>
      </c>
      <c r="P153" s="137">
        <f>VLOOKUP(A153,[1]allpride!$C$2:$V$215,14,FALSE)</f>
        <v>1</v>
      </c>
      <c r="Q153" s="137">
        <f>VLOOKUP(A153,[1]allpride!$C$2:$V$215,15,FALSE)</f>
        <v>1</v>
      </c>
      <c r="R153" s="137">
        <f>VLOOKUP(A153,[1]allpride!$C$2:$V$215,16,FALSE)</f>
        <v>0</v>
      </c>
      <c r="S153" s="137">
        <f>VLOOKUP(A153,[1]allpride!$C$2:$V$215,17,FALSE)</f>
        <v>1</v>
      </c>
      <c r="T153" s="137">
        <f>VLOOKUP(A153,[1]allpride!$C$2:$V$215,18,FALSE)</f>
        <v>2012</v>
      </c>
      <c r="U153" s="137">
        <f>VLOOKUP(A153,[1]allpride!$C$2:$V$215,19,FALSE)</f>
        <v>10</v>
      </c>
      <c r="V153" s="137">
        <f>VLOOKUP(A153,[1]allpride!$C$2:$V$215,20,FALSE)</f>
        <v>3</v>
      </c>
      <c r="W153" s="137">
        <f>VLOOKUP(B153,'[2]pride covariates'!$A$2:$B$33,2,FALSE)</f>
        <v>0</v>
      </c>
      <c r="X153" s="137">
        <v>0</v>
      </c>
      <c r="Y153" s="137">
        <v>1</v>
      </c>
      <c r="Z153" s="117" t="str">
        <f t="shared" si="8"/>
        <v>/* ELI-564 */ 00100001 1 1 1 0 1 3 0;</v>
      </c>
      <c r="AA153" s="137" t="str">
        <f t="shared" si="9"/>
        <v>00100001</v>
      </c>
      <c r="AB153" s="137" t="str">
        <f t="shared" si="10"/>
        <v>/*ELI-564*/ 00100001 1;</v>
      </c>
    </row>
    <row r="154" spans="1:28" x14ac:dyDescent="0.3">
      <c r="A154" s="137" t="s">
        <v>300</v>
      </c>
      <c r="B154" s="137" t="s">
        <v>532</v>
      </c>
      <c r="C154" s="137" t="s">
        <v>299</v>
      </c>
      <c r="D154" s="138">
        <v>0</v>
      </c>
      <c r="E154" s="138">
        <v>0</v>
      </c>
      <c r="F154" s="138">
        <v>0</v>
      </c>
      <c r="G154" s="138">
        <v>0</v>
      </c>
      <c r="H154" s="140">
        <v>0</v>
      </c>
      <c r="I154" s="140">
        <v>1</v>
      </c>
      <c r="J154" s="138">
        <v>0</v>
      </c>
      <c r="K154" s="138">
        <v>0</v>
      </c>
      <c r="L154" s="138">
        <v>1</v>
      </c>
      <c r="M154" s="138">
        <v>1</v>
      </c>
      <c r="N154" s="138">
        <v>1</v>
      </c>
      <c r="O154" s="138">
        <v>0</v>
      </c>
      <c r="P154" s="137">
        <f>VLOOKUP(A154,[1]allpride!$C$2:$V$215,14,FALSE)</f>
        <v>1</v>
      </c>
      <c r="Q154" s="137">
        <f>VLOOKUP(A154,[1]allpride!$C$2:$V$215,15,FALSE)</f>
        <v>1</v>
      </c>
      <c r="R154" s="137">
        <f>VLOOKUP(A154,[1]allpride!$C$2:$V$215,16,FALSE)</f>
        <v>0</v>
      </c>
      <c r="S154" s="137">
        <f>VLOOKUP(A154,[1]allpride!$C$2:$V$215,17,FALSE)</f>
        <v>1</v>
      </c>
      <c r="T154" s="137">
        <f>VLOOKUP(A154,[1]allpride!$C$2:$V$215,18,FALSE)</f>
        <v>2012</v>
      </c>
      <c r="U154" s="137">
        <f>VLOOKUP(A154,[1]allpride!$C$2:$V$215,19,FALSE)</f>
        <v>10</v>
      </c>
      <c r="V154" s="137">
        <f>VLOOKUP(A154,[1]allpride!$C$2:$V$215,20,FALSE)</f>
        <v>3</v>
      </c>
      <c r="W154" s="137">
        <f>VLOOKUP(B154,'[2]pride covariates'!$A$2:$B$33,2,FALSE)</f>
        <v>0</v>
      </c>
      <c r="X154" s="137">
        <v>0</v>
      </c>
      <c r="Y154" s="137">
        <v>1</v>
      </c>
      <c r="Z154" s="117" t="str">
        <f t="shared" si="8"/>
        <v>/* ELI-565 */ 00100111 1 1 1 0 1 3 0;</v>
      </c>
      <c r="AA154" s="137" t="str">
        <f t="shared" si="9"/>
        <v>00100111</v>
      </c>
      <c r="AB154" s="137" t="str">
        <f t="shared" si="10"/>
        <v>/*ELI-565*/ 00100111 1;</v>
      </c>
    </row>
    <row r="155" spans="1:28" x14ac:dyDescent="0.3">
      <c r="A155" s="137" t="s">
        <v>304</v>
      </c>
      <c r="B155" s="137" t="s">
        <v>533</v>
      </c>
      <c r="C155" s="137" t="s">
        <v>303</v>
      </c>
      <c r="D155" s="138">
        <v>0</v>
      </c>
      <c r="E155" s="138">
        <v>0</v>
      </c>
      <c r="F155" s="138">
        <v>1</v>
      </c>
      <c r="G155" s="138">
        <v>1</v>
      </c>
      <c r="H155" s="140">
        <v>1</v>
      </c>
      <c r="I155" s="140">
        <v>1</v>
      </c>
      <c r="J155" s="138">
        <v>0</v>
      </c>
      <c r="K155" s="138">
        <v>1</v>
      </c>
      <c r="L155" s="138">
        <v>1</v>
      </c>
      <c r="M155" s="138">
        <v>1</v>
      </c>
      <c r="N155" s="138">
        <v>0</v>
      </c>
      <c r="O155" s="153">
        <v>1</v>
      </c>
      <c r="P155" s="137">
        <f>VLOOKUP(A155,[1]allpride!$C$2:$V$215,14,FALSE)</f>
        <v>1</v>
      </c>
      <c r="Q155" s="137">
        <f>VLOOKUP(A155,[1]allpride!$C$2:$V$215,15,FALSE)</f>
        <v>1</v>
      </c>
      <c r="R155" s="137">
        <f>VLOOKUP(A155,[1]allpride!$C$2:$V$215,16,FALSE)</f>
        <v>0</v>
      </c>
      <c r="S155" s="137">
        <f>VLOOKUP(A155,[1]allpride!$C$2:$V$215,17,FALSE)</f>
        <v>1</v>
      </c>
      <c r="T155" s="137">
        <f>VLOOKUP(A155,[1]allpride!$C$2:$V$215,18,FALSE)</f>
        <v>2008</v>
      </c>
      <c r="U155" s="137">
        <f>VLOOKUP(A155,[1]allpride!$C$2:$V$215,19,FALSE)</f>
        <v>10</v>
      </c>
      <c r="V155" s="137">
        <f>VLOOKUP(A155,[1]allpride!$C$2:$V$215,20,FALSE)</f>
        <v>0</v>
      </c>
      <c r="W155" s="137">
        <f>VLOOKUP(B155,'[2]pride covariates'!$A$2:$B$33,2,FALSE)</f>
        <v>0</v>
      </c>
      <c r="X155" s="137">
        <v>0</v>
      </c>
      <c r="Y155" s="137">
        <v>1</v>
      </c>
      <c r="Z155" s="117" t="str">
        <f t="shared" si="8"/>
        <v>/* ELI-213 */ 11101110 1 1 1 0 1 0 0;</v>
      </c>
      <c r="AA155" s="137" t="str">
        <f t="shared" si="9"/>
        <v>11101110</v>
      </c>
      <c r="AB155" s="137" t="str">
        <f t="shared" si="10"/>
        <v>/*ELI-213*/ 11101110 1;</v>
      </c>
    </row>
    <row r="156" spans="1:28" x14ac:dyDescent="0.3">
      <c r="A156" s="137" t="s">
        <v>306</v>
      </c>
      <c r="B156" s="137" t="s">
        <v>533</v>
      </c>
      <c r="C156" s="137" t="s">
        <v>305</v>
      </c>
      <c r="D156" s="138">
        <v>0</v>
      </c>
      <c r="E156" s="138">
        <v>0</v>
      </c>
      <c r="F156" s="138">
        <v>1</v>
      </c>
      <c r="G156" s="138">
        <v>0</v>
      </c>
      <c r="H156" s="140">
        <v>1</v>
      </c>
      <c r="I156" s="140">
        <v>1</v>
      </c>
      <c r="J156" s="138">
        <v>0</v>
      </c>
      <c r="K156" s="138">
        <v>1</v>
      </c>
      <c r="L156" s="138">
        <v>1</v>
      </c>
      <c r="M156" s="138">
        <v>1</v>
      </c>
      <c r="N156" s="138">
        <v>1</v>
      </c>
      <c r="O156" s="138">
        <v>0</v>
      </c>
      <c r="P156" s="137">
        <f>VLOOKUP(A156,[1]allpride!$C$2:$V$215,14,FALSE)</f>
        <v>1</v>
      </c>
      <c r="Q156" s="137">
        <f>VLOOKUP(A156,[1]allpride!$C$2:$V$215,15,FALSE)</f>
        <v>1</v>
      </c>
      <c r="R156" s="137">
        <f>VLOOKUP(A156,[1]allpride!$C$2:$V$215,16,FALSE)</f>
        <v>0</v>
      </c>
      <c r="S156" s="137">
        <f>VLOOKUP(A156,[1]allpride!$C$2:$V$215,17,FALSE)</f>
        <v>1</v>
      </c>
      <c r="T156" s="137">
        <f>VLOOKUP(A156,[1]allpride!$C$2:$V$215,18,FALSE)</f>
        <v>2008</v>
      </c>
      <c r="U156" s="137">
        <f>VLOOKUP(A156,[1]allpride!$C$2:$V$215,19,FALSE)</f>
        <v>10</v>
      </c>
      <c r="V156" s="137">
        <f>VLOOKUP(A156,[1]allpride!$C$2:$V$215,20,FALSE)</f>
        <v>0</v>
      </c>
      <c r="W156" s="137">
        <f>VLOOKUP(B156,'[2]pride covariates'!$A$2:$B$33,2,FALSE)</f>
        <v>0</v>
      </c>
      <c r="X156" s="137">
        <v>0</v>
      </c>
      <c r="Y156" s="137">
        <v>1</v>
      </c>
      <c r="Z156" s="117" t="str">
        <f t="shared" si="8"/>
        <v>/* ELI-214 */ 01101111 1 1 1 0 1 0 0;</v>
      </c>
      <c r="AA156" s="137" t="str">
        <f t="shared" si="9"/>
        <v>01101111</v>
      </c>
      <c r="AB156" s="137" t="str">
        <f t="shared" si="10"/>
        <v>/*ELI-214*/ 01101111 1;</v>
      </c>
    </row>
    <row r="157" spans="1:28" x14ac:dyDescent="0.3">
      <c r="A157" s="137" t="s">
        <v>308</v>
      </c>
      <c r="B157" s="137" t="s">
        <v>533</v>
      </c>
      <c r="C157" s="137" t="s">
        <v>307</v>
      </c>
      <c r="D157" s="138">
        <v>0</v>
      </c>
      <c r="E157" s="138">
        <v>0</v>
      </c>
      <c r="F157" s="138">
        <v>1</v>
      </c>
      <c r="G157" s="138">
        <v>1</v>
      </c>
      <c r="H157" s="140">
        <v>1</v>
      </c>
      <c r="I157" s="140">
        <v>1</v>
      </c>
      <c r="J157" s="138">
        <v>0</v>
      </c>
      <c r="K157" s="138">
        <v>1</v>
      </c>
      <c r="L157" s="138">
        <v>1</v>
      </c>
      <c r="M157" s="138">
        <v>1</v>
      </c>
      <c r="N157" s="138">
        <v>0</v>
      </c>
      <c r="O157" s="138">
        <v>0</v>
      </c>
      <c r="P157" s="137">
        <f>VLOOKUP(A157,[1]allpride!$C$2:$V$215,14,FALSE)</f>
        <v>1</v>
      </c>
      <c r="Q157" s="137">
        <f>VLOOKUP(A157,[1]allpride!$C$2:$V$215,15,FALSE)</f>
        <v>1</v>
      </c>
      <c r="R157" s="137">
        <f>VLOOKUP(A157,[1]allpride!$C$2:$V$215,16,FALSE)</f>
        <v>0</v>
      </c>
      <c r="S157" s="137">
        <f>VLOOKUP(A157,[1]allpride!$C$2:$V$215,17,FALSE)</f>
        <v>1</v>
      </c>
      <c r="T157" s="137">
        <f>VLOOKUP(A157,[1]allpride!$C$2:$V$215,18,FALSE)</f>
        <v>2008</v>
      </c>
      <c r="U157" s="137">
        <f>VLOOKUP(A157,[1]allpride!$C$2:$V$215,19,FALSE)</f>
        <v>10</v>
      </c>
      <c r="V157" s="137">
        <f>VLOOKUP(A157,[1]allpride!$C$2:$V$215,20,FALSE)</f>
        <v>2</v>
      </c>
      <c r="W157" s="137">
        <f>VLOOKUP(B157,'[2]pride covariates'!$A$2:$B$33,2,FALSE)</f>
        <v>0</v>
      </c>
      <c r="X157" s="137">
        <v>0</v>
      </c>
      <c r="Y157" s="137">
        <v>1</v>
      </c>
      <c r="Z157" s="117" t="str">
        <f t="shared" si="8"/>
        <v>/* ELI-216 */ 11101110 1 1 1 0 1 2 0;</v>
      </c>
      <c r="AA157" s="137" t="str">
        <f t="shared" si="9"/>
        <v>11101110</v>
      </c>
      <c r="AB157" s="137" t="str">
        <f t="shared" si="10"/>
        <v>/*ELI-216*/ 11101110 1;</v>
      </c>
    </row>
    <row r="158" spans="1:28" x14ac:dyDescent="0.3">
      <c r="A158" s="137" t="s">
        <v>316</v>
      </c>
      <c r="B158" s="137" t="s">
        <v>534</v>
      </c>
      <c r="C158" s="137" t="s">
        <v>315</v>
      </c>
      <c r="D158" s="138">
        <v>0</v>
      </c>
      <c r="E158" s="138">
        <v>0</v>
      </c>
      <c r="F158" s="138">
        <v>0</v>
      </c>
      <c r="G158" s="138">
        <v>0</v>
      </c>
      <c r="H158" s="140">
        <v>0</v>
      </c>
      <c r="I158" s="140">
        <v>1</v>
      </c>
      <c r="J158" s="138">
        <v>0</v>
      </c>
      <c r="K158" s="138">
        <v>1</v>
      </c>
      <c r="L158" s="138">
        <v>0</v>
      </c>
      <c r="M158" s="138">
        <v>0</v>
      </c>
      <c r="N158" s="138">
        <v>0</v>
      </c>
      <c r="O158" s="138">
        <v>0</v>
      </c>
      <c r="P158" s="137">
        <f>VLOOKUP(A158,[1]allpride!$C$2:$V$215,14,FALSE)</f>
        <v>1</v>
      </c>
      <c r="Q158" s="137">
        <f>VLOOKUP(A158,[1]allpride!$C$2:$V$215,15,FALSE)</f>
        <v>1</v>
      </c>
      <c r="R158" s="137">
        <f>VLOOKUP(A158,[1]allpride!$C$2:$V$215,16,FALSE)</f>
        <v>0</v>
      </c>
      <c r="S158" s="137">
        <f>VLOOKUP(A158,[1]allpride!$C$2:$V$215,17,FALSE)</f>
        <v>1</v>
      </c>
      <c r="T158" s="137">
        <f>VLOOKUP(A158,[1]allpride!$C$2:$V$215,18,FALSE)</f>
        <v>2011</v>
      </c>
      <c r="U158" s="137">
        <f>VLOOKUP(A158,[1]allpride!$C$2:$V$215,19,FALSE)</f>
        <v>7</v>
      </c>
      <c r="V158" s="137">
        <f>VLOOKUP(A158,[1]allpride!$C$2:$V$215,20,FALSE)</f>
        <v>3</v>
      </c>
      <c r="W158" s="137">
        <f>VLOOKUP(B158,'[2]pride covariates'!$A$2:$B$33,2,FALSE)</f>
        <v>0</v>
      </c>
      <c r="X158" s="137">
        <v>0</v>
      </c>
      <c r="Y158" s="137">
        <v>1</v>
      </c>
      <c r="Z158" s="117" t="str">
        <f t="shared" si="8"/>
        <v>/* ELI-420 */ 00101000 1 1 1 0 1 3 0;</v>
      </c>
      <c r="AA158" s="137" t="str">
        <f t="shared" si="9"/>
        <v>00101000</v>
      </c>
      <c r="AB158" s="137" t="str">
        <f t="shared" si="10"/>
        <v>/*ELI-420*/ 00101000 1;</v>
      </c>
    </row>
    <row r="159" spans="1:28" x14ac:dyDescent="0.3">
      <c r="A159" s="137" t="s">
        <v>383</v>
      </c>
      <c r="B159" s="137" t="s">
        <v>534</v>
      </c>
      <c r="C159" s="137" t="s">
        <v>381</v>
      </c>
      <c r="D159" s="138">
        <v>0</v>
      </c>
      <c r="E159" s="138">
        <v>0</v>
      </c>
      <c r="F159" s="138">
        <v>0</v>
      </c>
      <c r="G159" s="138">
        <v>0</v>
      </c>
      <c r="H159" s="140">
        <v>0</v>
      </c>
      <c r="I159" s="140">
        <v>1</v>
      </c>
      <c r="J159" s="138">
        <v>1</v>
      </c>
      <c r="K159" s="138">
        <v>0</v>
      </c>
      <c r="L159" s="138">
        <v>0</v>
      </c>
      <c r="M159" s="138">
        <v>1</v>
      </c>
      <c r="N159" s="138">
        <v>0</v>
      </c>
      <c r="O159" s="138">
        <v>0</v>
      </c>
      <c r="P159" s="137">
        <f>VLOOKUP(A159,[1]allpride!$C$2:$V$215,14,FALSE)</f>
        <v>1</v>
      </c>
      <c r="Q159" s="137">
        <f>VLOOKUP(A159,[1]allpride!$C$2:$V$215,15,FALSE)</f>
        <v>1</v>
      </c>
      <c r="R159" s="137">
        <f>VLOOKUP(A159,[1]allpride!$C$2:$V$215,16,FALSE)</f>
        <v>0</v>
      </c>
      <c r="S159" s="137">
        <f>VLOOKUP(A159,[1]allpride!$C$2:$V$215,17,FALSE)</f>
        <v>1</v>
      </c>
      <c r="T159" s="137">
        <f>VLOOKUP(A159,[1]allpride!$C$2:$V$215,18,FALSE)</f>
        <v>2011</v>
      </c>
      <c r="U159" s="137">
        <f>VLOOKUP(A159,[1]allpride!$C$2:$V$215,19,FALSE)</f>
        <v>8</v>
      </c>
      <c r="V159" s="137">
        <f>VLOOKUP(A159,[1]allpride!$C$2:$V$215,20,FALSE)</f>
        <v>3</v>
      </c>
      <c r="W159" s="137">
        <f>VLOOKUP(B159,'[2]pride covariates'!$A$2:$B$33,2,FALSE)</f>
        <v>0</v>
      </c>
      <c r="X159" s="137">
        <v>0</v>
      </c>
      <c r="Y159" s="137">
        <v>1</v>
      </c>
      <c r="Z159" s="117" t="str">
        <f t="shared" si="8"/>
        <v>/* ELI-421 */ 00110010 1 1 1 0 1 3 0;</v>
      </c>
      <c r="AA159" s="137" t="str">
        <f t="shared" si="9"/>
        <v>00110010</v>
      </c>
      <c r="AB159" s="137" t="str">
        <f t="shared" si="10"/>
        <v>/*ELI-421*/ 00110010 1;</v>
      </c>
    </row>
    <row r="160" spans="1:28" x14ac:dyDescent="0.3">
      <c r="A160" s="137" t="s">
        <v>384</v>
      </c>
      <c r="B160" s="137" t="s">
        <v>534</v>
      </c>
      <c r="C160" s="137" t="s">
        <v>382</v>
      </c>
      <c r="D160" s="138">
        <v>0</v>
      </c>
      <c r="E160" s="138">
        <v>0</v>
      </c>
      <c r="F160" s="138">
        <v>0</v>
      </c>
      <c r="G160" s="138">
        <v>0</v>
      </c>
      <c r="H160" s="140">
        <v>0</v>
      </c>
      <c r="I160" s="140">
        <v>1</v>
      </c>
      <c r="J160" s="138">
        <v>1</v>
      </c>
      <c r="K160" s="138">
        <v>1</v>
      </c>
      <c r="L160" s="138">
        <v>1</v>
      </c>
      <c r="M160" s="138">
        <v>0</v>
      </c>
      <c r="N160" s="138">
        <v>0</v>
      </c>
      <c r="O160" s="138">
        <v>0</v>
      </c>
      <c r="P160" s="137">
        <f>VLOOKUP(A160,[1]allpride!$C$2:$V$215,14,FALSE)</f>
        <v>1</v>
      </c>
      <c r="Q160" s="137">
        <f>VLOOKUP(A160,[1]allpride!$C$2:$V$215,15,FALSE)</f>
        <v>1</v>
      </c>
      <c r="R160" s="137">
        <v>1</v>
      </c>
      <c r="S160" s="137">
        <f>VLOOKUP(A160,[1]allpride!$C$2:$V$215,17,FALSE)</f>
        <v>1</v>
      </c>
      <c r="T160" s="137">
        <f>VLOOKUP(A160,[1]allpride!$C$2:$V$215,18,FALSE)</f>
        <v>2011</v>
      </c>
      <c r="U160" s="137">
        <f>VLOOKUP(A160,[1]allpride!$C$2:$V$215,19,FALSE)</f>
        <v>8</v>
      </c>
      <c r="V160" s="137">
        <f>VLOOKUP(A160,[1]allpride!$C$2:$V$215,20,FALSE)</f>
        <v>3</v>
      </c>
      <c r="W160" s="137">
        <f>VLOOKUP(B160,'[2]pride covariates'!$A$2:$B$33,2,FALSE)</f>
        <v>0</v>
      </c>
      <c r="X160" s="137">
        <v>0</v>
      </c>
      <c r="Y160" s="137">
        <v>1</v>
      </c>
      <c r="Z160" s="117" t="str">
        <f t="shared" si="8"/>
        <v>/* ELI-422 */ 00111100 1 1 1 1 1 3 0;</v>
      </c>
      <c r="AA160" s="137" t="str">
        <f t="shared" si="9"/>
        <v>00111100</v>
      </c>
      <c r="AB160" s="137" t="str">
        <f t="shared" si="10"/>
        <v>/*ELI-422*/ 00111100 1;</v>
      </c>
    </row>
    <row r="161" spans="1:28" x14ac:dyDescent="0.3">
      <c r="A161" s="137" t="s">
        <v>322</v>
      </c>
      <c r="B161" s="137" t="s">
        <v>538</v>
      </c>
      <c r="C161" s="137" t="s">
        <v>321</v>
      </c>
      <c r="D161" s="138">
        <v>0</v>
      </c>
      <c r="E161" s="138">
        <v>0</v>
      </c>
      <c r="F161" s="138">
        <v>0</v>
      </c>
      <c r="G161" s="138">
        <v>0</v>
      </c>
      <c r="H161" s="140">
        <v>0</v>
      </c>
      <c r="I161" s="140">
        <v>0</v>
      </c>
      <c r="J161" s="138">
        <v>1</v>
      </c>
      <c r="K161" s="138">
        <v>0</v>
      </c>
      <c r="L161" s="138">
        <v>0</v>
      </c>
      <c r="M161" s="138">
        <v>0</v>
      </c>
      <c r="N161" s="138">
        <v>0</v>
      </c>
      <c r="O161" s="138">
        <v>0</v>
      </c>
      <c r="P161" s="137">
        <f>VLOOKUP(A161,[1]allpride!$C$2:$V$215,14,FALSE)</f>
        <v>1</v>
      </c>
      <c r="Q161" s="137">
        <f>VLOOKUP(A161,[1]allpride!$C$2:$V$215,15,FALSE)</f>
        <v>1</v>
      </c>
      <c r="R161" s="137">
        <f>VLOOKUP(A161,[1]allpride!$C$2:$V$215,16,FALSE)</f>
        <v>0</v>
      </c>
      <c r="S161" s="137">
        <f>VLOOKUP(A161,[1]allpride!$C$2:$V$215,17,FALSE)</f>
        <v>1</v>
      </c>
      <c r="T161" s="137">
        <f>VLOOKUP(A161,[1]allpride!$C$2:$V$215,18,FALSE)</f>
        <v>2008</v>
      </c>
      <c r="U161" s="137">
        <f>VLOOKUP(A161,[1]allpride!$C$2:$V$215,19,FALSE)</f>
        <v>7</v>
      </c>
      <c r="V161" s="137">
        <f>VLOOKUP(A161,[1]allpride!$C$2:$V$215,20,FALSE)</f>
        <v>2</v>
      </c>
      <c r="W161" s="137">
        <f>VLOOKUP(B161,'[2]pride covariates'!$A$2:$B$33,2,FALSE)</f>
        <v>1</v>
      </c>
      <c r="X161" s="137">
        <v>1</v>
      </c>
      <c r="Y161" s="137">
        <v>1</v>
      </c>
      <c r="Z161" s="117" t="str">
        <f t="shared" si="8"/>
        <v>/* ELI-175 */ 00010000 1 1 1 0 1 2 1;</v>
      </c>
      <c r="AA161" s="137" t="str">
        <f t="shared" si="9"/>
        <v>00010000</v>
      </c>
      <c r="AB161" s="137" t="str">
        <f t="shared" si="10"/>
        <v>/*ELI-175*/ 00010000 1;</v>
      </c>
    </row>
    <row r="162" spans="1:28" x14ac:dyDescent="0.3">
      <c r="A162" s="137" t="s">
        <v>328</v>
      </c>
      <c r="B162" s="137" t="s">
        <v>535</v>
      </c>
      <c r="C162" s="137" t="s">
        <v>327</v>
      </c>
      <c r="D162" s="138">
        <v>0</v>
      </c>
      <c r="E162" s="138">
        <v>0</v>
      </c>
      <c r="F162" s="138">
        <v>1</v>
      </c>
      <c r="G162" s="138">
        <v>0</v>
      </c>
      <c r="H162" s="140">
        <v>1</v>
      </c>
      <c r="I162" s="140">
        <v>0</v>
      </c>
      <c r="J162" s="138">
        <v>0</v>
      </c>
      <c r="K162" s="138">
        <v>0</v>
      </c>
      <c r="L162" s="138">
        <v>1</v>
      </c>
      <c r="M162" s="138">
        <v>0</v>
      </c>
      <c r="N162" s="138">
        <v>0</v>
      </c>
      <c r="O162" s="138">
        <v>0</v>
      </c>
      <c r="P162" s="137">
        <f>VLOOKUP(A162,[1]allpride!$C$2:$V$215,14,FALSE)</f>
        <v>1</v>
      </c>
      <c r="Q162" s="137">
        <f>VLOOKUP(A162,[1]allpride!$C$2:$V$215,15,FALSE)</f>
        <v>1</v>
      </c>
      <c r="R162" s="137">
        <f>VLOOKUP(A162,[1]allpride!$C$2:$V$215,16,FALSE)</f>
        <v>0</v>
      </c>
      <c r="S162" s="137">
        <f>VLOOKUP(A162,[1]allpride!$C$2:$V$215,17,FALSE)</f>
        <v>1</v>
      </c>
      <c r="T162" s="137">
        <f>VLOOKUP(A162,[1]allpride!$C$2:$V$215,18,FALSE)</f>
        <v>2011</v>
      </c>
      <c r="U162" s="137">
        <f>VLOOKUP(A162,[1]allpride!$C$2:$V$215,19,FALSE)</f>
        <v>9</v>
      </c>
      <c r="V162" s="137">
        <f>VLOOKUP(A162,[1]allpride!$C$2:$V$215,20,FALSE)</f>
        <v>3</v>
      </c>
      <c r="W162" s="137">
        <f>VLOOKUP(B162,'[2]pride covariates'!$A$2:$B$33,2,FALSE)</f>
        <v>0</v>
      </c>
      <c r="X162" s="137">
        <v>0</v>
      </c>
      <c r="Y162" s="137">
        <v>1</v>
      </c>
      <c r="Z162" s="117" t="str">
        <f t="shared" si="8"/>
        <v>/* ELI-474 */ 01000100 1 1 1 0 1 3 0;</v>
      </c>
      <c r="AA162" s="137" t="str">
        <f t="shared" si="9"/>
        <v>01000100</v>
      </c>
      <c r="AB162" s="137" t="str">
        <f t="shared" si="10"/>
        <v>/*ELI-474*/ 01000100 1;</v>
      </c>
    </row>
    <row r="163" spans="1:28" x14ac:dyDescent="0.3">
      <c r="A163" s="137" t="s">
        <v>222</v>
      </c>
      <c r="B163" s="137" t="s">
        <v>536</v>
      </c>
      <c r="C163" s="137" t="s">
        <v>349</v>
      </c>
      <c r="D163" s="138">
        <v>0</v>
      </c>
      <c r="E163" s="138">
        <v>0</v>
      </c>
      <c r="F163" s="138">
        <v>0</v>
      </c>
      <c r="G163" s="138">
        <v>0</v>
      </c>
      <c r="H163" s="140">
        <v>0</v>
      </c>
      <c r="I163" s="140">
        <v>1</v>
      </c>
      <c r="J163" s="138">
        <v>0</v>
      </c>
      <c r="K163" s="138">
        <v>0</v>
      </c>
      <c r="L163" s="138">
        <v>0</v>
      </c>
      <c r="M163" s="138">
        <v>0</v>
      </c>
      <c r="N163" s="138">
        <v>0</v>
      </c>
      <c r="O163" s="138">
        <v>0</v>
      </c>
      <c r="P163" s="137">
        <f>VLOOKUP(A163,[1]allpride!$C$2:$V$215,14,FALSE)</f>
        <v>1</v>
      </c>
      <c r="Q163" s="137">
        <f>VLOOKUP(A163,[1]allpride!$C$2:$V$215,15,FALSE)</f>
        <v>1</v>
      </c>
      <c r="R163" s="137">
        <f>VLOOKUP(A163,[1]allpride!$C$2:$V$215,16,FALSE)</f>
        <v>0</v>
      </c>
      <c r="S163" s="137">
        <f>VLOOKUP(A163,[1]allpride!$C$2:$V$215,17,FALSE)</f>
        <v>1</v>
      </c>
      <c r="T163" s="137">
        <f>VLOOKUP(A163,[1]allpride!$C$2:$V$215,18,FALSE)</f>
        <v>2008</v>
      </c>
      <c r="U163" s="137">
        <f>VLOOKUP(A163,[1]allpride!$C$2:$V$215,19,FALSE)</f>
        <v>9</v>
      </c>
      <c r="V163" s="137">
        <f>VLOOKUP(A163,[1]allpride!$C$2:$V$215,20,FALSE)</f>
        <v>0</v>
      </c>
      <c r="W163" s="137">
        <f>VLOOKUP(B163,'[2]pride covariates'!$A$2:$B$33,2,FALSE)</f>
        <v>0</v>
      </c>
      <c r="X163" s="137">
        <v>0</v>
      </c>
      <c r="Y163" s="137">
        <v>1</v>
      </c>
      <c r="Z163" s="117" t="str">
        <f t="shared" ref="Z163:Z171" si="11">CONCATENATE("/* ",A163," */ ",G163,H163,I163,J163,K163,L163,M163,N163," 1"," ",P163," ",S163," ",R163," ",Y163," ",V163," ",X163,";")</f>
        <v>/* ELI-130 */ 00100000 1 1 1 0 1 0 0;</v>
      </c>
      <c r="AA163" s="137" t="str">
        <f t="shared" si="9"/>
        <v>00100000</v>
      </c>
      <c r="AB163" s="137" t="str">
        <f t="shared" si="10"/>
        <v>/*ELI-130*/ 00100000 1;</v>
      </c>
    </row>
    <row r="164" spans="1:28" x14ac:dyDescent="0.3">
      <c r="A164" s="137" t="s">
        <v>351</v>
      </c>
      <c r="B164" s="137" t="s">
        <v>536</v>
      </c>
      <c r="C164" s="137" t="s">
        <v>350</v>
      </c>
      <c r="D164" s="138">
        <v>0</v>
      </c>
      <c r="E164" s="138">
        <v>0</v>
      </c>
      <c r="F164" s="138">
        <v>0</v>
      </c>
      <c r="G164" s="138">
        <v>0</v>
      </c>
      <c r="H164" s="140">
        <v>0</v>
      </c>
      <c r="I164" s="140">
        <v>1</v>
      </c>
      <c r="J164" s="138">
        <v>0</v>
      </c>
      <c r="K164" s="138">
        <v>1</v>
      </c>
      <c r="L164" s="138">
        <v>0</v>
      </c>
      <c r="M164" s="138">
        <v>0</v>
      </c>
      <c r="N164" s="138">
        <v>0</v>
      </c>
      <c r="O164" s="138">
        <v>0</v>
      </c>
      <c r="P164" s="137">
        <f>VLOOKUP(A164,[1]allpride!$C$2:$V$215,14,FALSE)</f>
        <v>1</v>
      </c>
      <c r="Q164" s="137">
        <f>VLOOKUP(A164,[1]allpride!$C$2:$V$215,15,FALSE)</f>
        <v>1</v>
      </c>
      <c r="R164" s="137">
        <f>VLOOKUP(A164,[1]allpride!$C$2:$V$215,16,FALSE)</f>
        <v>0</v>
      </c>
      <c r="S164" s="137">
        <f>VLOOKUP(A164,[1]allpride!$C$2:$V$215,17,FALSE)</f>
        <v>1</v>
      </c>
      <c r="T164" s="137">
        <f>VLOOKUP(A164,[1]allpride!$C$2:$V$215,18,FALSE)</f>
        <v>2013</v>
      </c>
      <c r="U164" s="137">
        <f>VLOOKUP(A164,[1]allpride!$C$2:$V$215,19,FALSE)</f>
        <v>4</v>
      </c>
      <c r="V164" s="137">
        <f>VLOOKUP(A164,[1]allpride!$C$2:$V$215,20,FALSE)</f>
        <v>3</v>
      </c>
      <c r="W164" s="137">
        <f>VLOOKUP(B164,'[2]pride covariates'!$A$2:$B$33,2,FALSE)</f>
        <v>0</v>
      </c>
      <c r="X164" s="137">
        <v>0</v>
      </c>
      <c r="Y164" s="137">
        <v>1</v>
      </c>
      <c r="Z164" s="117" t="str">
        <f t="shared" si="11"/>
        <v>/* ELI-699 */ 00101000 1 1 1 0 1 3 0;</v>
      </c>
      <c r="AA164" s="137" t="str">
        <f t="shared" si="9"/>
        <v>00101000</v>
      </c>
      <c r="AB164" s="137" t="str">
        <f t="shared" si="10"/>
        <v>/*ELI-699*/ 00101000 1;</v>
      </c>
    </row>
    <row r="165" spans="1:28" x14ac:dyDescent="0.3">
      <c r="A165" s="137" t="s">
        <v>361</v>
      </c>
      <c r="B165" t="s">
        <v>583</v>
      </c>
      <c r="C165" s="137" t="s">
        <v>359</v>
      </c>
      <c r="D165" s="144">
        <v>0</v>
      </c>
      <c r="E165" s="144">
        <v>0</v>
      </c>
      <c r="F165" s="144">
        <v>0</v>
      </c>
      <c r="G165" s="144">
        <v>0</v>
      </c>
      <c r="H165" s="147">
        <v>0</v>
      </c>
      <c r="I165" s="147">
        <v>0</v>
      </c>
      <c r="J165" s="144">
        <v>1</v>
      </c>
      <c r="K165" s="144">
        <v>1</v>
      </c>
      <c r="L165" s="144">
        <v>1</v>
      </c>
      <c r="M165" s="144">
        <v>1</v>
      </c>
      <c r="N165" s="144">
        <v>1</v>
      </c>
      <c r="O165" s="159">
        <v>1</v>
      </c>
      <c r="P165" s="137">
        <f>VLOOKUP(A165,[1]allpride!$C$2:$V$215,14,FALSE)</f>
        <v>1</v>
      </c>
      <c r="Q165" s="137">
        <f>VLOOKUP(A165,[1]allpride!$C$2:$V$215,15,FALSE)</f>
        <v>1</v>
      </c>
      <c r="R165" s="137">
        <f>VLOOKUP(A165,[1]allpride!$C$2:$V$215,16,FALSE)</f>
        <v>0</v>
      </c>
      <c r="S165" s="137">
        <f>VLOOKUP(A165,[1]allpride!$C$2:$V$215,17,FALSE)</f>
        <v>1</v>
      </c>
      <c r="T165" s="137">
        <f>VLOOKUP(A165,[1]allpride!$C$2:$V$215,18,FALSE)</f>
        <v>2013</v>
      </c>
      <c r="U165" s="137">
        <f>VLOOKUP(A165,[1]allpride!$C$2:$V$215,19,FALSE)</f>
        <v>8</v>
      </c>
      <c r="V165" s="137">
        <f>VLOOKUP(A165,[1]allpride!$C$2:$V$215,20,FALSE)</f>
        <v>4</v>
      </c>
      <c r="W165" s="137">
        <f>VLOOKUP(B165,'[2]pride covariates'!$A$2:$B$33,2,FALSE)</f>
        <v>0</v>
      </c>
      <c r="X165" s="137">
        <v>0</v>
      </c>
      <c r="Y165" s="137">
        <v>1</v>
      </c>
      <c r="Z165" s="117" t="str">
        <f t="shared" si="11"/>
        <v>/* ELI-628 */ 00011111 1 1 1 0 1 4 0;</v>
      </c>
      <c r="AA165" s="137" t="str">
        <f t="shared" si="9"/>
        <v>00011111</v>
      </c>
      <c r="AB165" s="137" t="str">
        <f t="shared" si="10"/>
        <v>/*ELI-628*/ 00011111 1;</v>
      </c>
    </row>
    <row r="166" spans="1:28" x14ac:dyDescent="0.3">
      <c r="A166" s="137" t="s">
        <v>362</v>
      </c>
      <c r="B166" t="s">
        <v>583</v>
      </c>
      <c r="C166" s="137" t="s">
        <v>360</v>
      </c>
      <c r="D166" s="144">
        <v>0</v>
      </c>
      <c r="E166" s="144">
        <v>0</v>
      </c>
      <c r="F166" s="144">
        <v>0</v>
      </c>
      <c r="G166" s="144">
        <v>0</v>
      </c>
      <c r="H166" s="147">
        <v>0</v>
      </c>
      <c r="I166" s="147">
        <v>0</v>
      </c>
      <c r="J166" s="144">
        <v>1</v>
      </c>
      <c r="K166" s="144">
        <v>1</v>
      </c>
      <c r="L166" s="144">
        <v>1</v>
      </c>
      <c r="M166" s="144">
        <v>1</v>
      </c>
      <c r="N166" s="144">
        <v>1</v>
      </c>
      <c r="O166" s="159">
        <v>1</v>
      </c>
      <c r="P166" s="137">
        <f>VLOOKUP(A166,[1]allpride!$C$2:$V$215,14,FALSE)</f>
        <v>1</v>
      </c>
      <c r="Q166" s="137">
        <f>VLOOKUP(A166,[1]allpride!$C$2:$V$215,15,FALSE)</f>
        <v>1</v>
      </c>
      <c r="R166" s="137">
        <f>VLOOKUP(A166,[1]allpride!$C$2:$V$215,16,FALSE)</f>
        <v>0</v>
      </c>
      <c r="S166" s="137">
        <f>VLOOKUP(A166,[1]allpride!$C$2:$V$215,17,FALSE)</f>
        <v>1</v>
      </c>
      <c r="T166" s="137">
        <f>VLOOKUP(A166,[1]allpride!$C$2:$V$215,18,FALSE)</f>
        <v>2013</v>
      </c>
      <c r="U166" s="137">
        <f>VLOOKUP(A166,[1]allpride!$C$2:$V$215,19,FALSE)</f>
        <v>8</v>
      </c>
      <c r="V166" s="137">
        <f>VLOOKUP(A166,[1]allpride!$C$2:$V$215,20,FALSE)</f>
        <v>4</v>
      </c>
      <c r="W166" s="137">
        <f>VLOOKUP(B166,'[2]pride covariates'!$A$2:$B$33,2,FALSE)</f>
        <v>0</v>
      </c>
      <c r="X166" s="137">
        <v>0</v>
      </c>
      <c r="Y166" s="137">
        <v>1</v>
      </c>
      <c r="Z166" s="117" t="str">
        <f t="shared" si="11"/>
        <v>/* ELI-629 */ 00011111 1 1 1 0 1 4 0;</v>
      </c>
      <c r="AA166" s="137" t="str">
        <f t="shared" si="9"/>
        <v>00011111</v>
      </c>
      <c r="AB166" s="137" t="str">
        <f t="shared" si="10"/>
        <v>/*ELI-629*/ 00011111 1;</v>
      </c>
    </row>
    <row r="167" spans="1:28" x14ac:dyDescent="0.3">
      <c r="A167" s="137" t="s">
        <v>442</v>
      </c>
      <c r="B167" s="137" t="s">
        <v>528</v>
      </c>
      <c r="C167" s="137" t="s">
        <v>529</v>
      </c>
      <c r="D167" s="138">
        <v>0</v>
      </c>
      <c r="E167" s="138">
        <v>0</v>
      </c>
      <c r="F167" s="138">
        <v>0</v>
      </c>
      <c r="G167" s="138">
        <v>0</v>
      </c>
      <c r="H167" s="140">
        <v>0</v>
      </c>
      <c r="I167" s="140">
        <v>1</v>
      </c>
      <c r="J167" s="138">
        <v>1</v>
      </c>
      <c r="K167" s="138">
        <v>1</v>
      </c>
      <c r="L167" s="138">
        <v>1</v>
      </c>
      <c r="M167" s="138">
        <v>0</v>
      </c>
      <c r="N167" s="138">
        <v>0</v>
      </c>
      <c r="O167" s="138">
        <v>0</v>
      </c>
      <c r="P167" s="137">
        <f>VLOOKUP(A167,[1]allpride!$C$2:$V$215,14,FALSE)</f>
        <v>1</v>
      </c>
      <c r="Q167" s="137">
        <f>VLOOKUP(A167,[1]allpride!$C$2:$V$215,15,FALSE)</f>
        <v>1</v>
      </c>
      <c r="R167" s="137">
        <f>VLOOKUP(A167,[1]allpride!$C$2:$V$215,16,FALSE)</f>
        <v>0</v>
      </c>
      <c r="S167" s="137">
        <f>VLOOKUP(A167,[1]allpride!$C$2:$V$215,17,FALSE)</f>
        <v>1</v>
      </c>
      <c r="T167" s="137">
        <f>VLOOKUP(A167,[1]allpride!$C$2:$V$215,18,FALSE)</f>
        <v>2013</v>
      </c>
      <c r="U167" s="137">
        <f>VLOOKUP(A167,[1]allpride!$C$2:$V$215,19,FALSE)</f>
        <v>5</v>
      </c>
      <c r="V167" s="137">
        <f>VLOOKUP(A167,[1]allpride!$C$2:$V$215,20,FALSE)</f>
        <v>4</v>
      </c>
      <c r="W167" s="137">
        <f>VLOOKUP(B167,'[2]pride covariates'!$A$2:$B$33,2,FALSE)</f>
        <v>0</v>
      </c>
      <c r="X167" s="137">
        <v>0</v>
      </c>
      <c r="Y167" s="137">
        <v>1</v>
      </c>
      <c r="Z167" s="117" t="str">
        <f t="shared" si="11"/>
        <v>/* ELI-779 */ 00111100 1 1 1 0 1 4 0;</v>
      </c>
      <c r="AA167" s="137" t="str">
        <f t="shared" si="9"/>
        <v>00111100</v>
      </c>
      <c r="AB167" s="137" t="str">
        <f t="shared" si="10"/>
        <v>/*ELI-779*/ 00111100 1;</v>
      </c>
    </row>
    <row r="168" spans="1:28" x14ac:dyDescent="0.3">
      <c r="A168" s="137" t="s">
        <v>123</v>
      </c>
      <c r="B168" s="137" t="s">
        <v>542</v>
      </c>
      <c r="C168" s="137" t="s">
        <v>543</v>
      </c>
      <c r="D168" s="138">
        <v>0</v>
      </c>
      <c r="E168" s="138">
        <v>0</v>
      </c>
      <c r="F168" s="138">
        <v>0</v>
      </c>
      <c r="G168" s="138">
        <v>0</v>
      </c>
      <c r="H168" s="140">
        <v>0</v>
      </c>
      <c r="I168" s="140">
        <v>0</v>
      </c>
      <c r="J168" s="138">
        <v>0</v>
      </c>
      <c r="K168" s="138">
        <v>1</v>
      </c>
      <c r="L168" s="138">
        <v>1</v>
      </c>
      <c r="M168" s="138">
        <v>1</v>
      </c>
      <c r="N168" s="138">
        <v>0</v>
      </c>
      <c r="O168" s="138">
        <v>0</v>
      </c>
      <c r="P168" s="137">
        <f>VLOOKUP(A168,[1]allpride!$C$2:$V$215,14,FALSE)</f>
        <v>1</v>
      </c>
      <c r="Q168" s="137">
        <f>VLOOKUP(A168,[1]allpride!$C$2:$V$215,15,FALSE)</f>
        <v>1</v>
      </c>
      <c r="R168" s="137">
        <f>VLOOKUP(A168,[1]allpride!$C$2:$V$215,16,FALSE)</f>
        <v>0</v>
      </c>
      <c r="S168" s="137">
        <f>VLOOKUP(A168,[1]allpride!$C$2:$V$215,17,FALSE)</f>
        <v>1</v>
      </c>
      <c r="T168" s="137">
        <f>VLOOKUP(A168,[1]allpride!$C$2:$V$215,18,FALSE)</f>
        <v>2010</v>
      </c>
      <c r="U168" s="137">
        <f>VLOOKUP(A168,[1]allpride!$C$2:$V$215,19,FALSE)</f>
        <v>7</v>
      </c>
      <c r="V168" s="137">
        <f>VLOOKUP(A168,[1]allpride!$C$2:$V$215,20,FALSE)</f>
        <v>0</v>
      </c>
      <c r="W168" s="137">
        <v>0</v>
      </c>
      <c r="X168" s="137">
        <v>0</v>
      </c>
      <c r="Y168" s="137">
        <v>1</v>
      </c>
      <c r="Z168" s="117" t="str">
        <f t="shared" si="11"/>
        <v>/* ELI-373 */ 00001110 1 1 1 0 1 0 0;</v>
      </c>
      <c r="AA168" s="137" t="str">
        <f t="shared" si="9"/>
        <v>00001110</v>
      </c>
      <c r="AB168" s="137" t="str">
        <f t="shared" si="10"/>
        <v>/*ELI-373*/ 00001110 1;</v>
      </c>
    </row>
    <row r="169" spans="1:28" x14ac:dyDescent="0.3">
      <c r="A169" s="137" t="s">
        <v>125</v>
      </c>
      <c r="B169" s="137" t="s">
        <v>542</v>
      </c>
      <c r="C169" s="137" t="s">
        <v>544</v>
      </c>
      <c r="D169" s="138">
        <v>0</v>
      </c>
      <c r="E169" s="138">
        <v>0</v>
      </c>
      <c r="F169" s="138">
        <v>0</v>
      </c>
      <c r="G169" s="138">
        <v>0</v>
      </c>
      <c r="H169" s="140">
        <v>0</v>
      </c>
      <c r="I169" s="140">
        <v>0</v>
      </c>
      <c r="J169" s="138">
        <v>0</v>
      </c>
      <c r="K169" s="138">
        <v>1</v>
      </c>
      <c r="L169" s="144">
        <v>1</v>
      </c>
      <c r="M169" s="138">
        <v>0</v>
      </c>
      <c r="N169" s="138">
        <v>0</v>
      </c>
      <c r="O169" s="138">
        <v>0</v>
      </c>
      <c r="P169" s="137">
        <f>VLOOKUP(A169,[1]allpride!$C$2:$V$215,14,FALSE)</f>
        <v>1</v>
      </c>
      <c r="Q169" s="137">
        <f>VLOOKUP(A169,[1]allpride!$C$2:$V$215,15,FALSE)</f>
        <v>1</v>
      </c>
      <c r="R169" s="137">
        <f>VLOOKUP(A169,[1]allpride!$C$2:$V$215,16,FALSE)</f>
        <v>0</v>
      </c>
      <c r="S169" s="137">
        <f>VLOOKUP(A169,[1]allpride!$C$2:$V$215,17,FALSE)</f>
        <v>1</v>
      </c>
      <c r="T169" s="137">
        <f>VLOOKUP(A169,[1]allpride!$C$2:$V$215,18,FALSE)</f>
        <v>2010</v>
      </c>
      <c r="U169" s="137">
        <f>VLOOKUP(A169,[1]allpride!$C$2:$V$215,19,FALSE)</f>
        <v>10</v>
      </c>
      <c r="V169" s="137">
        <f>VLOOKUP(A169,[1]allpride!$C$2:$V$215,20,FALSE)</f>
        <v>0</v>
      </c>
      <c r="W169" s="137">
        <v>0</v>
      </c>
      <c r="X169" s="137">
        <v>0</v>
      </c>
      <c r="Y169" s="137">
        <v>1</v>
      </c>
      <c r="Z169" s="117" t="str">
        <f t="shared" si="11"/>
        <v>/* ELI-375 */ 00001100 1 1 1 0 1 0 0;</v>
      </c>
      <c r="AA169" s="137" t="str">
        <f t="shared" si="9"/>
        <v>00001100</v>
      </c>
      <c r="AB169" s="137" t="str">
        <f t="shared" si="10"/>
        <v>/*ELI-375*/ 00001100 1;</v>
      </c>
    </row>
    <row r="170" spans="1:28" x14ac:dyDescent="0.3">
      <c r="A170" s="137" t="s">
        <v>127</v>
      </c>
      <c r="B170" s="137" t="s">
        <v>542</v>
      </c>
      <c r="C170" s="137" t="s">
        <v>545</v>
      </c>
      <c r="D170" s="138">
        <v>0</v>
      </c>
      <c r="E170" s="138">
        <v>0</v>
      </c>
      <c r="F170" s="138">
        <v>0</v>
      </c>
      <c r="G170" s="138">
        <v>0</v>
      </c>
      <c r="H170" s="140">
        <v>0</v>
      </c>
      <c r="I170" s="140">
        <v>0</v>
      </c>
      <c r="J170" s="138">
        <v>1</v>
      </c>
      <c r="K170" s="138">
        <v>1</v>
      </c>
      <c r="L170" s="138">
        <v>1</v>
      </c>
      <c r="M170" s="138">
        <v>0</v>
      </c>
      <c r="N170" s="138">
        <v>0</v>
      </c>
      <c r="O170" s="138">
        <v>0</v>
      </c>
      <c r="P170" s="137">
        <f>VLOOKUP(A170,[1]allpride!$C$2:$V$215,14,FALSE)</f>
        <v>1</v>
      </c>
      <c r="Q170" s="137">
        <f>VLOOKUP(A170,[1]allpride!$C$2:$V$215,15,FALSE)</f>
        <v>1</v>
      </c>
      <c r="R170" s="137">
        <f>VLOOKUP(A170,[1]allpride!$C$2:$V$215,16,FALSE)</f>
        <v>0</v>
      </c>
      <c r="S170" s="137">
        <f>VLOOKUP(A170,[1]allpride!$C$2:$V$215,17,FALSE)</f>
        <v>1</v>
      </c>
      <c r="T170" s="137">
        <f>VLOOKUP(A170,[1]allpride!$C$2:$V$215,18,FALSE)</f>
        <v>2010</v>
      </c>
      <c r="U170" s="137">
        <f>VLOOKUP(A170,[1]allpride!$C$2:$V$215,19,FALSE)</f>
        <v>10</v>
      </c>
      <c r="V170" s="137">
        <f>VLOOKUP(A170,[1]allpride!$C$2:$V$215,20,FALSE)</f>
        <v>0</v>
      </c>
      <c r="W170" s="137">
        <v>0</v>
      </c>
      <c r="X170" s="137">
        <v>0</v>
      </c>
      <c r="Y170" s="137">
        <v>1</v>
      </c>
      <c r="Z170" s="117" t="str">
        <f t="shared" si="11"/>
        <v>/* ELI-377 */ 00011100 1 1 1 0 1 0 0;</v>
      </c>
      <c r="AA170" s="137" t="str">
        <f t="shared" si="9"/>
        <v>00011100</v>
      </c>
      <c r="AB170" s="137" t="str">
        <f t="shared" si="10"/>
        <v>/*ELI-377*/ 00011100 1;</v>
      </c>
    </row>
    <row r="171" spans="1:28" x14ac:dyDescent="0.3">
      <c r="A171" s="137" t="s">
        <v>129</v>
      </c>
      <c r="B171" s="137" t="s">
        <v>542</v>
      </c>
      <c r="C171" s="137" t="s">
        <v>546</v>
      </c>
      <c r="D171" s="138">
        <v>0</v>
      </c>
      <c r="E171" s="138">
        <v>0</v>
      </c>
      <c r="F171" s="138">
        <v>0</v>
      </c>
      <c r="G171" s="138">
        <v>0</v>
      </c>
      <c r="H171" s="140">
        <v>0</v>
      </c>
      <c r="I171" s="140">
        <v>0</v>
      </c>
      <c r="J171" s="138">
        <v>1</v>
      </c>
      <c r="K171" s="138">
        <v>1</v>
      </c>
      <c r="L171" s="138">
        <v>1</v>
      </c>
      <c r="M171" s="138">
        <v>0</v>
      </c>
      <c r="N171" s="138">
        <v>0</v>
      </c>
      <c r="O171" s="138">
        <v>0</v>
      </c>
      <c r="P171" s="137">
        <f>VLOOKUP(A171,[1]allpride!$C$2:$V$215,14,FALSE)</f>
        <v>1</v>
      </c>
      <c r="Q171" s="137">
        <f>VLOOKUP(A171,[1]allpride!$C$2:$V$215,15,FALSE)</f>
        <v>1</v>
      </c>
      <c r="R171" s="137">
        <f>VLOOKUP(A171,[1]allpride!$C$2:$V$215,16,FALSE)</f>
        <v>0</v>
      </c>
      <c r="S171" s="137">
        <f>VLOOKUP(A171,[1]allpride!$C$2:$V$215,17,FALSE)</f>
        <v>1</v>
      </c>
      <c r="T171" s="137">
        <f>VLOOKUP(A171,[1]allpride!$C$2:$V$215,18,FALSE)</f>
        <v>2010</v>
      </c>
      <c r="U171" s="137">
        <f>VLOOKUP(A171,[1]allpride!$C$2:$V$215,19,FALSE)</f>
        <v>10</v>
      </c>
      <c r="V171" s="137">
        <f>VLOOKUP(A171,[1]allpride!$C$2:$V$215,20,FALSE)</f>
        <v>0</v>
      </c>
      <c r="W171" s="137">
        <v>0</v>
      </c>
      <c r="X171" s="137">
        <v>0</v>
      </c>
      <c r="Y171" s="137">
        <v>1</v>
      </c>
      <c r="Z171" s="117" t="str">
        <f t="shared" si="11"/>
        <v>/* ELI-376 */ 00011100 1 1 1 0 1 0 0;</v>
      </c>
      <c r="AA171" s="137" t="str">
        <f t="shared" si="9"/>
        <v>00011100</v>
      </c>
      <c r="AB171" s="137" t="str">
        <f t="shared" si="10"/>
        <v>/*ELI-376*/ 00011100 1;</v>
      </c>
    </row>
    <row r="172" spans="1:28" s="152" customFormat="1" x14ac:dyDescent="0.3">
      <c r="A172" s="154" t="s">
        <v>750</v>
      </c>
      <c r="B172" s="154" t="s">
        <v>751</v>
      </c>
      <c r="C172" s="155" t="s">
        <v>752</v>
      </c>
      <c r="D172" s="156">
        <v>0</v>
      </c>
      <c r="E172" s="156">
        <v>0</v>
      </c>
      <c r="F172" s="156">
        <v>0</v>
      </c>
      <c r="G172" s="156">
        <v>0</v>
      </c>
      <c r="H172" s="156">
        <v>0</v>
      </c>
      <c r="I172" s="156">
        <v>0</v>
      </c>
      <c r="J172" s="161">
        <v>0</v>
      </c>
      <c r="K172" s="156">
        <v>0</v>
      </c>
      <c r="L172" s="156">
        <v>1</v>
      </c>
      <c r="M172" s="160">
        <v>0</v>
      </c>
      <c r="N172" s="156">
        <v>0</v>
      </c>
      <c r="O172" s="156">
        <v>0</v>
      </c>
      <c r="P172" s="154">
        <v>1</v>
      </c>
      <c r="Q172" s="154">
        <v>1</v>
      </c>
      <c r="R172" s="154">
        <v>0</v>
      </c>
      <c r="S172" s="154">
        <v>1</v>
      </c>
      <c r="T172" s="154">
        <v>2013</v>
      </c>
      <c r="U172" s="154">
        <v>7</v>
      </c>
      <c r="V172" s="154">
        <v>7</v>
      </c>
      <c r="W172" s="154"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workbookViewId="0">
      <selection sqref="A1:A1048576"/>
    </sheetView>
  </sheetViews>
  <sheetFormatPr defaultRowHeight="14.4" x14ac:dyDescent="0.3"/>
  <sheetData>
    <row r="1" spans="1:1" x14ac:dyDescent="0.3">
      <c r="A1" t="str">
        <f>CONCATENATE("/*",allprides!A2,"*/ ",allprides!G2,allprides!H2,allprides!I2,allprides!J2,allprides!K2,allprides!L2,allprides!M2,allprides!N2," 1;")</f>
        <v>/*ELI-583*/ 11100000 1;</v>
      </c>
    </row>
    <row r="2" spans="1:1" x14ac:dyDescent="0.3">
      <c r="A2" t="str">
        <f>CONCATENATE("/*",allprides!A3,"*/ ",allprides!G3,allprides!H3,allprides!I3,allprides!J3,allprides!K3,allprides!L3,allprides!M3,allprides!N3," 1;")</f>
        <v>/*ELI-584*/ 11111111 1;</v>
      </c>
    </row>
    <row r="3" spans="1:1" x14ac:dyDescent="0.3">
      <c r="A3" t="str">
        <f>CONCATENATE("/*",allprides!A4,"*/ ",allprides!G4,allprides!H4,allprides!I4,allprides!J4,allprides!K4,allprides!L4,allprides!M4,allprides!N4," 1;")</f>
        <v>/*ELI-585*/ 11111111 1;</v>
      </c>
    </row>
    <row r="4" spans="1:1" x14ac:dyDescent="0.3">
      <c r="A4" t="str">
        <f>CONCATENATE("/*",allprides!A5,"*/ ",allprides!G5,allprides!H5,allprides!I5,allprides!J5,allprides!K5,allprides!L5,allprides!M5,allprides!N5," 1;")</f>
        <v>/*ELI-586*/ 11111111 1;</v>
      </c>
    </row>
    <row r="5" spans="1:1" x14ac:dyDescent="0.3">
      <c r="A5" t="str">
        <f>CONCATENATE("/*",allprides!A6,"*/ ",allprides!G6,allprides!H6,allprides!I6,allprides!J6,allprides!K6,allprides!L6,allprides!M6,allprides!N6," 1;")</f>
        <v>/*ELI-587*/ 11111111 1;</v>
      </c>
    </row>
    <row r="6" spans="1:1" x14ac:dyDescent="0.3">
      <c r="A6" t="str">
        <f>CONCATENATE("/*",allprides!A7,"*/ ",allprides!G7,allprides!H7,allprides!I7,allprides!J7,allprides!K7,allprides!L7,allprides!M7,allprides!N7," 1;")</f>
        <v>/*ELI-590*/ 11111111 1;</v>
      </c>
    </row>
    <row r="7" spans="1:1" x14ac:dyDescent="0.3">
      <c r="A7" t="str">
        <f>CONCATENATE("/*",allprides!A8,"*/ ",allprides!G8,allprides!H8,allprides!I8,allprides!J8,allprides!K8,allprides!L8,allprides!M8,allprides!N8," 1;")</f>
        <v>/*ELI-592*/ 11111111 1;</v>
      </c>
    </row>
    <row r="8" spans="1:1" x14ac:dyDescent="0.3">
      <c r="A8" t="str">
        <f>CONCATENATE("/*",allprides!A9,"*/ ",allprides!G9,allprides!H9,allprides!I9,allprides!J9,allprides!K9,allprides!L9,allprides!M9,allprides!N9," 1;")</f>
        <v>/*ELI-593*/ 11111111 1;</v>
      </c>
    </row>
    <row r="9" spans="1:1" x14ac:dyDescent="0.3">
      <c r="A9" t="str">
        <f>CONCATENATE("/*",allprides!A10,"*/ ",allprides!G10,allprides!H10,allprides!I10,allprides!J10,allprides!K10,allprides!L10,allprides!M10,allprides!N10," 1;")</f>
        <v>/*ELI-594*/ 11111111 1;</v>
      </c>
    </row>
    <row r="10" spans="1:1" x14ac:dyDescent="0.3">
      <c r="A10" t="str">
        <f>CONCATENATE("/*",allprides!A11,"*/ ",allprides!G11,allprides!H11,allprides!I11,allprides!J11,allprides!K11,allprides!L11,allprides!M11,allprides!N11," 1;")</f>
        <v>/*ELI-595*/ 11111111 1;</v>
      </c>
    </row>
    <row r="11" spans="1:1" x14ac:dyDescent="0.3">
      <c r="A11" t="str">
        <f>CONCATENATE("/*",allprides!A12,"*/ ",allprides!G12,allprides!H12,allprides!I12,allprides!J12,allprides!K12,allprides!L12,allprides!M12,allprides!N12," 1;")</f>
        <v>/*ELI-243*/ 11111111 1;</v>
      </c>
    </row>
    <row r="12" spans="1:1" x14ac:dyDescent="0.3">
      <c r="A12" t="str">
        <f>CONCATENATE("/*",allprides!A13,"*/ ",allprides!G13,allprides!H13,allprides!I13,allprides!J13,allprides!K13,allprides!L13,allprides!M13,allprides!N13," 1;")</f>
        <v>/*ELI-242*/ 11111011 1;</v>
      </c>
    </row>
    <row r="13" spans="1:1" x14ac:dyDescent="0.3">
      <c r="A13" t="str">
        <f>CONCATENATE("/*",allprides!A14,"*/ ",allprides!G14,allprides!H14,allprides!I14,allprides!J14,allprides!K14,allprides!L14,allprides!M14,allprides!N14," 1;")</f>
        <v>/*ELI-224*/ 11110111 1;</v>
      </c>
    </row>
    <row r="14" spans="1:1" x14ac:dyDescent="0.3">
      <c r="A14" t="str">
        <f>CONCATENATE("/*",allprides!A15,"*/ ",allprides!G15,allprides!H15,allprides!I15,allprides!J15,allprides!K15,allprides!L15,allprides!M15,allprides!N15," 1;")</f>
        <v>/*ELI-245*/ 11110111 1;</v>
      </c>
    </row>
    <row r="15" spans="1:1" x14ac:dyDescent="0.3">
      <c r="A15" t="str">
        <f>CONCATENATE("/*",allprides!A16,"*/ ",allprides!G16,allprides!H16,allprides!I16,allprides!J16,allprides!K16,allprides!L16,allprides!M16,allprides!N16," 1;")</f>
        <v>/*ELI-223*/ 11111111 1;</v>
      </c>
    </row>
    <row r="16" spans="1:1" x14ac:dyDescent="0.3">
      <c r="A16" t="str">
        <f>CONCATENATE("/*",allprides!A17,"*/ ",allprides!G17,allprides!H17,allprides!I17,allprides!J17,allprides!K17,allprides!L17,allprides!M17,allprides!N17," 1;")</f>
        <v>/*ELI-220*/ 11111111 1;</v>
      </c>
    </row>
    <row r="17" spans="1:1" x14ac:dyDescent="0.3">
      <c r="A17" t="str">
        <f>CONCATENATE("/*",allprides!A18,"*/ ",allprides!G18,allprides!H18,allprides!I18,allprides!J18,allprides!K18,allprides!L18,allprides!M18,allprides!N18," 1;")</f>
        <v>/*ELI-218*/ 11111111 1;</v>
      </c>
    </row>
    <row r="18" spans="1:1" x14ac:dyDescent="0.3">
      <c r="A18" t="str">
        <f>CONCATENATE("/*",allprides!A19,"*/ ",allprides!G19,allprides!H19,allprides!I19,allprides!J19,allprides!K19,allprides!L19,allprides!M19,allprides!N19," 1;")</f>
        <v>/*ELI-219*/ 11111111 1;</v>
      </c>
    </row>
    <row r="19" spans="1:1" x14ac:dyDescent="0.3">
      <c r="A19" t="str">
        <f>CONCATENATE("/*",allprides!A20,"*/ ",allprides!G20,allprides!H20,allprides!I20,allprides!J20,allprides!K20,allprides!L20,allprides!M20,allprides!N20," 1;")</f>
        <v>/*ELI-765*/ 10010111 1;</v>
      </c>
    </row>
    <row r="20" spans="1:1" x14ac:dyDescent="0.3">
      <c r="A20" t="str">
        <f>CONCATENATE("/*",allprides!A21,"*/ ",allprides!G21,allprides!H21,allprides!I21,allprides!J21,allprides!K21,allprides!L21,allprides!M21,allprides!N21," 1;")</f>
        <v>/*ELI-766*/ 10010111 1;</v>
      </c>
    </row>
    <row r="21" spans="1:1" x14ac:dyDescent="0.3">
      <c r="A21" t="str">
        <f>CONCATENATE("/*",allprides!A22,"*/ ",allprides!G22,allprides!H22,allprides!I22,allprides!J22,allprides!K22,allprides!L22,allprides!M22,allprides!N22," 1;")</f>
        <v>/*ELI-767*/ 10010111 1;</v>
      </c>
    </row>
    <row r="22" spans="1:1" x14ac:dyDescent="0.3">
      <c r="A22" t="str">
        <f>CONCATENATE("/*",allprides!A23,"*/ ",allprides!G23,allprides!H23,allprides!I23,allprides!J23,allprides!K23,allprides!L23,allprides!M23,allprides!N23," 1;")</f>
        <v>/*ELI-768*/ 10010111 1;</v>
      </c>
    </row>
    <row r="23" spans="1:1" x14ac:dyDescent="0.3">
      <c r="A23" t="str">
        <f>CONCATENATE("/*",allprides!A24,"*/ ",allprides!G24,allprides!H24,allprides!I24,allprides!J24,allprides!K24,allprides!L24,allprides!M24,allprides!N24," 1;")</f>
        <v>/*ELI-769*/ 10010111 1;</v>
      </c>
    </row>
    <row r="24" spans="1:1" x14ac:dyDescent="0.3">
      <c r="A24" t="str">
        <f>CONCATENATE("/*",allprides!A25,"*/ ",allprides!G25,allprides!H25,allprides!I25,allprides!J25,allprides!K25,allprides!L25,allprides!M25,allprides!N25," 1;")</f>
        <v>/*ELI-414*/ 01111111 1;</v>
      </c>
    </row>
    <row r="25" spans="1:1" x14ac:dyDescent="0.3">
      <c r="A25" t="str">
        <f>CONCATENATE("/*",allprides!A26,"*/ ",allprides!G26,allprides!H26,allprides!I26,allprides!J26,allprides!K26,allprides!L26,allprides!M26,allprides!N26," 1;")</f>
        <v>/*ELI-493*/ 00011111 1;</v>
      </c>
    </row>
    <row r="26" spans="1:1" x14ac:dyDescent="0.3">
      <c r="A26" t="str">
        <f>CONCATENATE("/*",allprides!A27,"*/ ",allprides!G27,allprides!H27,allprides!I27,allprides!J27,allprides!K27,allprides!L27,allprides!M27,allprides!N27," 1;")</f>
        <v>/*ELI-494*/ 01011111 1;</v>
      </c>
    </row>
    <row r="27" spans="1:1" x14ac:dyDescent="0.3">
      <c r="A27" t="str">
        <f>CONCATENATE("/*",allprides!A28,"*/ ",allprides!G28,allprides!H28,allprides!I28,allprides!J28,allprides!K28,allprides!L28,allprides!M28,allprides!N28," 1;")</f>
        <v>/*ELI-524*/ 01011111 1;</v>
      </c>
    </row>
    <row r="28" spans="1:1" x14ac:dyDescent="0.3">
      <c r="A28" t="str">
        <f>CONCATENATE("/*",allprides!A29,"*/ ",allprides!G29,allprides!H29,allprides!I29,allprides!J29,allprides!K29,allprides!L29,allprides!M29,allprides!N29," 1;")</f>
        <v>/*ELI-598*/ 01011111 1;</v>
      </c>
    </row>
    <row r="29" spans="1:1" x14ac:dyDescent="0.3">
      <c r="A29" t="str">
        <f>CONCATENATE("/*",allprides!A30,"*/ ",allprides!G30,allprides!H30,allprides!I30,allprides!J30,allprides!K30,allprides!L30,allprides!M30,allprides!N30," 1;")</f>
        <v>/*ELI-599*/ 01011111 1;</v>
      </c>
    </row>
    <row r="30" spans="1:1" x14ac:dyDescent="0.3">
      <c r="A30" t="str">
        <f>CONCATENATE("/*",allprides!A31,"*/ ",allprides!G31,allprides!H31,allprides!I31,allprides!J31,allprides!K31,allprides!L31,allprides!M31,allprides!N31," 1;")</f>
        <v>/*ELI-236*/ 11111111 1;</v>
      </c>
    </row>
    <row r="31" spans="1:1" x14ac:dyDescent="0.3">
      <c r="A31" t="str">
        <f>CONCATENATE("/*",allprides!A32,"*/ ",allprides!G32,allprides!H32,allprides!I32,allprides!J32,allprides!K32,allprides!L32,allprides!M32,allprides!N32," 1;")</f>
        <v>/*ELI-235*/ 11111111 1;</v>
      </c>
    </row>
    <row r="32" spans="1:1" x14ac:dyDescent="0.3">
      <c r="A32" t="str">
        <f>CONCATENATE("/*",allprides!A33,"*/ ",allprides!G33,allprides!H33,allprides!I33,allprides!J33,allprides!K33,allprides!L33,allprides!M33,allprides!N33," 1;")</f>
        <v>/*ELI-604*/ 11111111 1;</v>
      </c>
    </row>
    <row r="33" spans="1:1" x14ac:dyDescent="0.3">
      <c r="A33" t="str">
        <f>CONCATENATE("/*",allprides!A34,"*/ ",allprides!G34,allprides!H34,allprides!I34,allprides!J34,allprides!K34,allprides!L34,allprides!M34,allprides!N34," 1;")</f>
        <v>/*ELI-606*/ 11111111 1;</v>
      </c>
    </row>
    <row r="34" spans="1:1" x14ac:dyDescent="0.3">
      <c r="A34" t="str">
        <f>CONCATENATE("/*",allprides!A35,"*/ ",allprides!G35,allprides!H35,allprides!I35,allprides!J35,allprides!K35,allprides!L35,allprides!M35,allprides!N35," 1;")</f>
        <v>/*ELI-607*/ 11111111 1;</v>
      </c>
    </row>
    <row r="35" spans="1:1" x14ac:dyDescent="0.3">
      <c r="A35" t="str">
        <f>CONCATENATE("/*",allprides!A36,"*/ ",allprides!G36,allprides!H36,allprides!I36,allprides!J36,allprides!K36,allprides!L36,allprides!M36,allprides!N36," 1;")</f>
        <v>/*ELI-143*/ 01111111 1;</v>
      </c>
    </row>
    <row r="36" spans="1:1" x14ac:dyDescent="0.3">
      <c r="A36" t="str">
        <f>CONCATENATE("/*",allprides!A37,"*/ ",allprides!G37,allprides!H37,allprides!I37,allprides!J37,allprides!K37,allprides!L37,allprides!M37,allprides!N37," 1;")</f>
        <v>/*ELI-496*/ 01011111 1;</v>
      </c>
    </row>
    <row r="37" spans="1:1" x14ac:dyDescent="0.3">
      <c r="A37" t="str">
        <f>CONCATENATE("/*",allprides!A38,"*/ ",allprides!G38,allprides!H38,allprides!I38,allprides!J38,allprides!K38,allprides!L38,allprides!M38,allprides!N38," 1;")</f>
        <v>/*ELI-703*/ 01011111 1;</v>
      </c>
    </row>
    <row r="38" spans="1:1" x14ac:dyDescent="0.3">
      <c r="A38" t="str">
        <f>CONCATENATE("/*",allprides!A39,"*/ ",allprides!G39,allprides!H39,allprides!I39,allprides!J39,allprides!K39,allprides!L39,allprides!M39,allprides!N39," 1;")</f>
        <v>/*ELI-173*/ 00010111 1;</v>
      </c>
    </row>
    <row r="39" spans="1:1" x14ac:dyDescent="0.3">
      <c r="A39" t="str">
        <f>CONCATENATE("/*",allprides!A40,"*/ ",allprides!G40,allprides!H40,allprides!I40,allprides!J40,allprides!K40,allprides!L40,allprides!M40,allprides!N40," 1;")</f>
        <v>/*ELI-174*/ 01010101 1;</v>
      </c>
    </row>
    <row r="40" spans="1:1" x14ac:dyDescent="0.3">
      <c r="A40" t="str">
        <f>CONCATENATE("/*",allprides!A41,"*/ ",allprides!G41,allprides!H41,allprides!I41,allprides!J41,allprides!K41,allprides!L41,allprides!M41,allprides!N41," 1;")</f>
        <v>/*ELI-247*/ 01110111 1;</v>
      </c>
    </row>
    <row r="41" spans="1:1" x14ac:dyDescent="0.3">
      <c r="A41" t="str">
        <f>CONCATENATE("/*",allprides!A42,"*/ ",allprides!G42,allprides!H42,allprides!I42,allprides!J42,allprides!K42,allprides!L42,allprides!M42,allprides!N42," 1;")</f>
        <v>/*ELI-248*/ 11111111 1;</v>
      </c>
    </row>
    <row r="42" spans="1:1" x14ac:dyDescent="0.3">
      <c r="A42" t="str">
        <f>CONCATENATE("/*",allprides!A43,"*/ ",allprides!G43,allprides!H43,allprides!I43,allprides!J43,allprides!K43,allprides!L43,allprides!M43,allprides!N43," 1;")</f>
        <v>/*ELI-249*/ 00000000 1;</v>
      </c>
    </row>
    <row r="43" spans="1:1" x14ac:dyDescent="0.3">
      <c r="A43" t="str">
        <f>CONCATENATE("/*",allprides!A44,"*/ ",allprides!G44,allprides!H44,allprides!I44,allprides!J44,allprides!K44,allprides!L44,allprides!M44,allprides!N44," 1;")</f>
        <v>/*ELI-250*/ 01011111 1;</v>
      </c>
    </row>
    <row r="44" spans="1:1" x14ac:dyDescent="0.3">
      <c r="A44" t="str">
        <f>CONCATENATE("/*",allprides!A45,"*/ ",allprides!G45,allprides!H45,allprides!I45,allprides!J45,allprides!K45,allprides!L45,allprides!M45,allprides!N45," 1;")</f>
        <v>/*ELI-462*/ 01010011 1;</v>
      </c>
    </row>
    <row r="45" spans="1:1" x14ac:dyDescent="0.3">
      <c r="A45" t="str">
        <f>CONCATENATE("/*",allprides!A46,"*/ ",allprides!G46,allprides!H46,allprides!I46,allprides!J46,allprides!K46,allprides!L46,allprides!M46,allprides!N46," 1;")</f>
        <v>/*ELI-378*/ 01111111 1;</v>
      </c>
    </row>
    <row r="46" spans="1:1" x14ac:dyDescent="0.3">
      <c r="A46" t="str">
        <f>CONCATENATE("/*",allprides!A47,"*/ ",allprides!G47,allprides!H47,allprides!I47,allprides!J47,allprides!K47,allprides!L47,allprides!M47,allprides!N47," 1;")</f>
        <v>/*ELI-463*/ 00010011 1;</v>
      </c>
    </row>
    <row r="47" spans="1:1" x14ac:dyDescent="0.3">
      <c r="A47" t="str">
        <f>CONCATENATE("/*",allprides!A48,"*/ ",allprides!G48,allprides!H48,allprides!I48,allprides!J48,allprides!K48,allprides!L48,allprides!M48,allprides!N48," 1;")</f>
        <v>/*ELI-464*/ 10111101 1;</v>
      </c>
    </row>
    <row r="48" spans="1:1" x14ac:dyDescent="0.3">
      <c r="A48" t="str">
        <f>CONCATENATE("/*",allprides!A49,"*/ ",allprides!G49,allprides!H49,allprides!I49,allprides!J49,allprides!K49,allprides!L49,allprides!M49,allprides!N49," 1;")</f>
        <v>/*ELI-553*/ 00110101 1;</v>
      </c>
    </row>
    <row r="49" spans="1:1" x14ac:dyDescent="0.3">
      <c r="A49" t="str">
        <f>CONCATENATE("/*",allprides!A50,"*/ ",allprides!G50,allprides!H50,allprides!I50,allprides!J50,allprides!K50,allprides!L50,allprides!M50,allprides!N50," 1;")</f>
        <v>/*ELI-589*/ 10110101 1;</v>
      </c>
    </row>
    <row r="50" spans="1:1" x14ac:dyDescent="0.3">
      <c r="A50" t="str">
        <f>CONCATENATE("/*",allprides!A51,"*/ ",allprides!G51,allprides!H51,allprides!I51,allprides!J51,allprides!K51,allprides!L51,allprides!M51,allprides!N51," 1;")</f>
        <v>/*ELI-713*/ 00011111 1;</v>
      </c>
    </row>
    <row r="51" spans="1:1" x14ac:dyDescent="0.3">
      <c r="A51" t="str">
        <f>CONCATENATE("/*",allprides!A52,"*/ ",allprides!G52,allprides!H52,allprides!I52,allprides!J52,allprides!K52,allprides!L52,allprides!M52,allprides!N52," 1;")</f>
        <v>/*ELI-714*/ 00011111 1;</v>
      </c>
    </row>
    <row r="52" spans="1:1" x14ac:dyDescent="0.3">
      <c r="A52" t="str">
        <f>CONCATENATE("/*",allprides!A53,"*/ ",allprides!G53,allprides!H53,allprides!I53,allprides!J53,allprides!K53,allprides!L53,allprides!M53,allprides!N53," 1;")</f>
        <v>/*ELI-715*/ 00010111 1;</v>
      </c>
    </row>
    <row r="53" spans="1:1" x14ac:dyDescent="0.3">
      <c r="A53" t="str">
        <f>CONCATENATE("/*",allprides!A54,"*/ ",allprides!G54,allprides!H54,allprides!I54,allprides!J54,allprides!K54,allprides!L54,allprides!M54,allprides!N54," 1;")</f>
        <v>/*ELI-716*/ 00011111 1;</v>
      </c>
    </row>
    <row r="54" spans="1:1" x14ac:dyDescent="0.3">
      <c r="A54" t="str">
        <f>CONCATENATE("/*",allprides!A55,"*/ ",allprides!G55,allprides!H55,allprides!I55,allprides!J55,allprides!K55,allprides!L55,allprides!M55,allprides!N55," 1;")</f>
        <v>/*ELI-717*/ 00010111 1;</v>
      </c>
    </row>
    <row r="55" spans="1:1" x14ac:dyDescent="0.3">
      <c r="A55" t="str">
        <f>CONCATENATE("/*",allprides!A56,"*/ ",allprides!G56,allprides!H56,allprides!I56,allprides!J56,allprides!K56,allprides!L56,allprides!M56,allprides!N56," 1;")</f>
        <v>/*ELI-718*/ 00010111 1;</v>
      </c>
    </row>
    <row r="56" spans="1:1" x14ac:dyDescent="0.3">
      <c r="A56" t="str">
        <f>CONCATENATE("/*",allprides!A57,"*/ ",allprides!G57,allprides!H57,allprides!I57,allprides!J57,allprides!K57,allprides!L57,allprides!M57,allprides!N57," 1;")</f>
        <v>/*ELI-719*/ 00000111 1;</v>
      </c>
    </row>
    <row r="57" spans="1:1" x14ac:dyDescent="0.3">
      <c r="A57" t="str">
        <f>CONCATENATE("/*",allprides!A58,"*/ ",allprides!G58,allprides!H58,allprides!I58,allprides!J58,allprides!K58,allprides!L58,allprides!M58,allprides!N58," 1;")</f>
        <v>/*ELI-698*/ 00000010 1;</v>
      </c>
    </row>
    <row r="58" spans="1:1" x14ac:dyDescent="0.3">
      <c r="A58" t="str">
        <f>CONCATENATE("/*",allprides!A59,"*/ ",allprides!G59,allprides!H59,allprides!I59,allprides!J59,allprides!K59,allprides!L59,allprides!M59,allprides!N59," 1;")</f>
        <v>/*ELI-258*/ 10011111 1;</v>
      </c>
    </row>
    <row r="59" spans="1:1" x14ac:dyDescent="0.3">
      <c r="A59" t="str">
        <f>CONCATENATE("/*",allprides!A60,"*/ ",allprides!G60,allprides!H60,allprides!I60,allprides!J60,allprides!K60,allprides!L60,allprides!M60,allprides!N60," 1;")</f>
        <v>/*ELI-256*/ 00000011 1;</v>
      </c>
    </row>
    <row r="60" spans="1:1" x14ac:dyDescent="0.3">
      <c r="A60" t="str">
        <f>CONCATENATE("/*",allprides!A61,"*/ ",allprides!G61,allprides!H61,allprides!I61,allprides!J61,allprides!K61,allprides!L61,allprides!M61,allprides!N61," 1;")</f>
        <v>/*ELI-608*/ 00000010 1;</v>
      </c>
    </row>
    <row r="61" spans="1:1" x14ac:dyDescent="0.3">
      <c r="A61" t="str">
        <f>CONCATENATE("/*",allprides!A62,"*/ ",allprides!G62,allprides!H62,allprides!I62,allprides!J62,allprides!K62,allprides!L62,allprides!M62,allprides!N62," 1;")</f>
        <v>/*ELI-609*/ 00000011 1;</v>
      </c>
    </row>
    <row r="62" spans="1:1" x14ac:dyDescent="0.3">
      <c r="A62" t="str">
        <f>CONCATENATE("/*",allprides!A63,"*/ ",allprides!G63,allprides!H63,allprides!I63,allprides!J63,allprides!K63,allprides!L63,allprides!M63,allprides!N63," 1;")</f>
        <v>/*ELI-611*/ 00000011 1;</v>
      </c>
    </row>
    <row r="63" spans="1:1" x14ac:dyDescent="0.3">
      <c r="A63" t="str">
        <f>CONCATENATE("/*",allprides!A64,"*/ ",allprides!G64,allprides!H64,allprides!I64,allprides!J64,allprides!K64,allprides!L64,allprides!M64,allprides!N64," 1;")</f>
        <v>/*ELI-800*/ 00000011 1;</v>
      </c>
    </row>
    <row r="64" spans="1:1" x14ac:dyDescent="0.3">
      <c r="A64" t="str">
        <f>CONCATENATE("/*",allprides!A65,"*/ ",allprides!G65,allprides!H65,allprides!I65,allprides!J65,allprides!K65,allprides!L65,allprides!M65,allprides!N65," 1;")</f>
        <v>/*ELI-204*/ 01000000 1;</v>
      </c>
    </row>
    <row r="65" spans="1:1" x14ac:dyDescent="0.3">
      <c r="A65" t="str">
        <f>CONCATENATE("/*",allprides!A66,"*/ ",allprides!G66,allprides!H66,allprides!I66,allprides!J66,allprides!K66,allprides!L66,allprides!M66,allprides!N66," 1;")</f>
        <v>/*ELI-481*/ 00101010 1;</v>
      </c>
    </row>
    <row r="66" spans="1:1" x14ac:dyDescent="0.3">
      <c r="A66" t="str">
        <f>CONCATENATE("/*",allprides!A67,"*/ ",allprides!G67,allprides!H67,allprides!I67,allprides!J67,allprides!K67,allprides!L67,allprides!M67,allprides!N67," 1;")</f>
        <v>/*ELI-480*/ 01101010 1;</v>
      </c>
    </row>
    <row r="67" spans="1:1" x14ac:dyDescent="0.3">
      <c r="A67" t="str">
        <f>CONCATENATE("/*",allprides!A68,"*/ ",allprides!G68,allprides!H68,allprides!I68,allprides!J68,allprides!K68,allprides!L68,allprides!M68,allprides!N68," 1;")</f>
        <v>/*ELI-482*/ 00001010 1;</v>
      </c>
    </row>
    <row r="68" spans="1:1" x14ac:dyDescent="0.3">
      <c r="A68" t="str">
        <f>CONCATENATE("/*",allprides!A69,"*/ ",allprides!G69,allprides!H69,allprides!I69,allprides!J69,allprides!K69,allprides!L69,allprides!M69,allprides!N69," 1;")</f>
        <v>/*ELI-470*/ 00001010 1;</v>
      </c>
    </row>
    <row r="69" spans="1:1" x14ac:dyDescent="0.3">
      <c r="A69" t="str">
        <f>CONCATENATE("/*",allprides!A70,"*/ ",allprides!G70,allprides!H70,allprides!I70,allprides!J70,allprides!K70,allprides!L70,allprides!M70,allprides!N70," 1;")</f>
        <v>/*ELI-438*/ 01001000 1;</v>
      </c>
    </row>
    <row r="70" spans="1:1" x14ac:dyDescent="0.3">
      <c r="A70" t="str">
        <f>CONCATENATE("/*",allprides!A71,"*/ ",allprides!G71,allprides!H71,allprides!I71,allprides!J71,allprides!K71,allprides!L71,allprides!M71,allprides!N71," 1;")</f>
        <v>/*ELI-440*/ 01001000 1;</v>
      </c>
    </row>
    <row r="71" spans="1:1" x14ac:dyDescent="0.3">
      <c r="A71" t="str">
        <f>CONCATENATE("/*",allprides!A72,"*/ ",allprides!G72,allprides!H72,allprides!I72,allprides!J72,allprides!K72,allprides!L72,allprides!M72,allprides!N72," 1;")</f>
        <v>/*ELI-197*/ 00111001 1;</v>
      </c>
    </row>
    <row r="72" spans="1:1" x14ac:dyDescent="0.3">
      <c r="A72" t="str">
        <f>CONCATENATE("/*",allprides!A73,"*/ ",allprides!G73,allprides!H73,allprides!I73,allprides!J73,allprides!K73,allprides!L73,allprides!M73,allprides!N73," 1;")</f>
        <v>/*ELI-198*/ 00111001 1;</v>
      </c>
    </row>
    <row r="73" spans="1:1" x14ac:dyDescent="0.3">
      <c r="A73" t="str">
        <f>CONCATENATE("/*",allprides!A74,"*/ ",allprides!G74,allprides!H74,allprides!I74,allprides!J74,allprides!K74,allprides!L74,allprides!M74,allprides!N74," 1;")</f>
        <v>/*ELI-230*/ 00101101 1;</v>
      </c>
    </row>
    <row r="74" spans="1:1" x14ac:dyDescent="0.3">
      <c r="A74" t="str">
        <f>CONCATENATE("/*",allprides!A75,"*/ ",allprides!G75,allprides!H75,allprides!I75,allprides!J75,allprides!K75,allprides!L75,allprides!M75,allprides!N75," 1;")</f>
        <v>/*ELI-231*/ 00111001 1;</v>
      </c>
    </row>
    <row r="75" spans="1:1" x14ac:dyDescent="0.3">
      <c r="A75" t="str">
        <f>CONCATENATE("/*",allprides!A76,"*/ ",allprides!G76,allprides!H76,allprides!I76,allprides!J76,allprides!K76,allprides!L76,allprides!M76,allprides!N76," 1;")</f>
        <v>/*ELI-232*/ 00010000 1;</v>
      </c>
    </row>
    <row r="76" spans="1:1" x14ac:dyDescent="0.3">
      <c r="A76" t="str">
        <f>CONCATENATE("/*",allprides!A77,"*/ ",allprides!G77,allprides!H77,allprides!I77,allprides!J77,allprides!K77,allprides!L77,allprides!M77,allprides!N77," 1;")</f>
        <v>/*ELI-424*/ 00111001 1;</v>
      </c>
    </row>
    <row r="77" spans="1:1" x14ac:dyDescent="0.3">
      <c r="A77" t="str">
        <f>CONCATENATE("/*",allprides!A78,"*/ ",allprides!G78,allprides!H78,allprides!I78,allprides!J78,allprides!K78,allprides!L78,allprides!M78,allprides!N78," 1;")</f>
        <v>/*ELI-425*/ 00011001 1;</v>
      </c>
    </row>
    <row r="78" spans="1:1" x14ac:dyDescent="0.3">
      <c r="A78" t="str">
        <f>CONCATENATE("/*",allprides!A79,"*/ ",allprides!G79,allprides!H79,allprides!I79,allprides!J79,allprides!K79,allprides!L79,allprides!M79,allprides!N79," 1;")</f>
        <v>/*ELI-612*/ 00111001 1;</v>
      </c>
    </row>
    <row r="79" spans="1:1" x14ac:dyDescent="0.3">
      <c r="A79" t="str">
        <f>CONCATENATE("/*",allprides!A80,"*/ ",allprides!G80,allprides!H80,allprides!I80,allprides!J80,allprides!K80,allprides!L80,allprides!M80,allprides!N80," 1;")</f>
        <v>/*ELI-613*/ 00111001 1;</v>
      </c>
    </row>
    <row r="80" spans="1:1" x14ac:dyDescent="0.3">
      <c r="A80" t="str">
        <f>CONCATENATE("/*",allprides!A81,"*/ ",allprides!G81,allprides!H81,allprides!I81,allprides!J81,allprides!K81,allprides!L81,allprides!M81,allprides!N81," 1;")</f>
        <v>/*ELI-615*/ 00111001 1;</v>
      </c>
    </row>
    <row r="81" spans="1:1" x14ac:dyDescent="0.3">
      <c r="A81" t="str">
        <f>CONCATENATE("/*",allprides!A82,"*/ ",allprides!G82,allprides!H82,allprides!I82,allprides!J82,allprides!K82,allprides!L82,allprides!M82,allprides!N82," 1;")</f>
        <v>/*ELI-616*/ 00111001 1;</v>
      </c>
    </row>
    <row r="82" spans="1:1" x14ac:dyDescent="0.3">
      <c r="A82" t="str">
        <f>CONCATENATE("/*",allprides!A83,"*/ ",allprides!G83,allprides!H83,allprides!I83,allprides!J83,allprides!K83,allprides!L83,allprides!M83,allprides!N83," 1;")</f>
        <v>/*ELI-617*/ 00111001 1;</v>
      </c>
    </row>
    <row r="83" spans="1:1" x14ac:dyDescent="0.3">
      <c r="A83" t="str">
        <f>CONCATENATE("/*",allprides!A84,"*/ ",allprides!G84,allprides!H84,allprides!I84,allprides!J84,allprides!K84,allprides!L84,allprides!M84,allprides!N84," 1;")</f>
        <v>/*ELI-618*/ 00111001 1;</v>
      </c>
    </row>
    <row r="84" spans="1:1" x14ac:dyDescent="0.3">
      <c r="A84" t="str">
        <f>CONCATENATE("/*",allprides!A85,"*/ ",allprides!G85,allprides!H85,allprides!I85,allprides!J85,allprides!K85,allprides!L85,allprides!M85,allprides!N85," 1;")</f>
        <v>/*ELI-735*/ 00011001 1;</v>
      </c>
    </row>
    <row r="85" spans="1:1" x14ac:dyDescent="0.3">
      <c r="A85" t="str">
        <f>CONCATENATE("/*",allprides!A86,"*/ ",allprides!G86,allprides!H86,allprides!I86,allprides!J86,allprides!K86,allprides!L86,allprides!M86,allprides!N86," 1;")</f>
        <v>/*ELI-736*/ 00011001 1;</v>
      </c>
    </row>
    <row r="86" spans="1:1" x14ac:dyDescent="0.3">
      <c r="A86" t="str">
        <f>CONCATENATE("/*",allprides!A87,"*/ ",allprides!G87,allprides!H87,allprides!I87,allprides!J87,allprides!K87,allprides!L87,allprides!M87,allprides!N87," 1;")</f>
        <v>/*ELI-737*/ 00011001 1;</v>
      </c>
    </row>
    <row r="87" spans="1:1" x14ac:dyDescent="0.3">
      <c r="A87" t="str">
        <f>CONCATENATE("/*",allprides!A88,"*/ ",allprides!G88,allprides!H88,allprides!I88,allprides!J88,allprides!K88,allprides!L88,allprides!M88,allprides!N88," 1;")</f>
        <v>/*ELI-738*/ 00010100 1;</v>
      </c>
    </row>
    <row r="88" spans="1:1" x14ac:dyDescent="0.3">
      <c r="A88" t="str">
        <f>CONCATENATE("/*",allprides!A89,"*/ ",allprides!G89,allprides!H89,allprides!I89,allprides!J89,allprides!K89,allprides!L89,allprides!M89,allprides!N89," 1;")</f>
        <v>/*ELI-739*/ 00000100 1;</v>
      </c>
    </row>
    <row r="89" spans="1:1" x14ac:dyDescent="0.3">
      <c r="A89" t="str">
        <f>CONCATENATE("/*",allprides!A90,"*/ ",allprides!G90,allprides!H90,allprides!I90,allprides!J90,allprides!K90,allprides!L90,allprides!M90,allprides!N90," 1;")</f>
        <v>/*ELI-619*/ 00010000 1;</v>
      </c>
    </row>
    <row r="90" spans="1:1" x14ac:dyDescent="0.3">
      <c r="A90" t="str">
        <f>CONCATENATE("/*",allprides!A91,"*/ ",allprides!G91,allprides!H91,allprides!I91,allprides!J91,allprides!K91,allprides!L91,allprides!M91,allprides!N91," 1;")</f>
        <v>/*ELI-154*/ 01111110 1;</v>
      </c>
    </row>
    <row r="91" spans="1:1" x14ac:dyDescent="0.3">
      <c r="A91" t="str">
        <f>CONCATENATE("/*",allprides!A92,"*/ ",allprides!G92,allprides!H92,allprides!I92,allprides!J92,allprides!K92,allprides!L92,allprides!M92,allprides!N92," 1;")</f>
        <v>/*ELI-155*/ 11111110 1;</v>
      </c>
    </row>
    <row r="92" spans="1:1" x14ac:dyDescent="0.3">
      <c r="A92" t="str">
        <f>CONCATENATE("/*",allprides!A93,"*/ ",allprides!G93,allprides!H93,allprides!I93,allprides!J93,allprides!K93,allprides!L93,allprides!M93,allprides!N93," 1;")</f>
        <v>/*ELI-369*/ 00111110 1;</v>
      </c>
    </row>
    <row r="93" spans="1:1" x14ac:dyDescent="0.3">
      <c r="A93" t="str">
        <f>CONCATENATE("/*",allprides!A94,"*/ ",allprides!G94,allprides!H94,allprides!I94,allprides!J94,allprides!K94,allprides!L94,allprides!M94,allprides!N94," 1;")</f>
        <v>/*ELI-159*/ 01111111 1;</v>
      </c>
    </row>
    <row r="94" spans="1:1" x14ac:dyDescent="0.3">
      <c r="A94" t="str">
        <f>CONCATENATE("/*",allprides!A95,"*/ ",allprides!G95,allprides!H95,allprides!I95,allprides!J95,allprides!K95,allprides!L95,allprides!M95,allprides!N95," 1;")</f>
        <v>/*ELI-720*/ 01110000 1;</v>
      </c>
    </row>
    <row r="95" spans="1:1" x14ac:dyDescent="0.3">
      <c r="A95" t="str">
        <f>CONCATENATE("/*",allprides!A96,"*/ ",allprides!G96,allprides!H96,allprides!I96,allprides!J96,allprides!K96,allprides!L96,allprides!M96,allprides!N96," 1;")</f>
        <v>/*ELI-750*/ 00000010 1;</v>
      </c>
    </row>
    <row r="96" spans="1:1" x14ac:dyDescent="0.3">
      <c r="A96" t="str">
        <f>CONCATENATE("/*",allprides!A97,"*/ ",allprides!G97,allprides!H97,allprides!I97,allprides!J97,allprides!K97,allprides!L97,allprides!M97,allprides!N97," 1;")</f>
        <v>/*ELI-751*/ 00000010 1;</v>
      </c>
    </row>
    <row r="97" spans="1:1" x14ac:dyDescent="0.3">
      <c r="A97" t="str">
        <f>CONCATENATE("/*",allprides!A98,"*/ ",allprides!G98,allprides!H98,allprides!I98,allprides!J98,allprides!K98,allprides!L98,allprides!M98,allprides!N98," 1;")</f>
        <v>/*ELI-124*/ 01111001 1;</v>
      </c>
    </row>
    <row r="98" spans="1:1" x14ac:dyDescent="0.3">
      <c r="A98" t="str">
        <f>CONCATENATE("/*",allprides!A99,"*/ ",allprides!G99,allprides!H99,allprides!I99,allprides!J99,allprides!K99,allprides!L99,allprides!M99,allprides!N99," 1;")</f>
        <v>/*ELI-125*/ 01111110 1;</v>
      </c>
    </row>
    <row r="99" spans="1:1" x14ac:dyDescent="0.3">
      <c r="A99" t="str">
        <f>CONCATENATE("/*",allprides!A100,"*/ ",allprides!G100,allprides!H100,allprides!I100,allprides!J100,allprides!K100,allprides!L100,allprides!M100,allprides!N100," 1;")</f>
        <v>/*ELI-126*/ 01111111 1;</v>
      </c>
    </row>
    <row r="100" spans="1:1" x14ac:dyDescent="0.3">
      <c r="A100" t="str">
        <f>CONCATENATE("/*",allprides!A101,"*/ ",allprides!G101,allprides!H101,allprides!I101,allprides!J101,allprides!K101,allprides!L101,allprides!M101,allprides!N101," 1;")</f>
        <v>/*ELI-127*/ 01011111 1;</v>
      </c>
    </row>
    <row r="101" spans="1:1" x14ac:dyDescent="0.3">
      <c r="A101" t="str">
        <f>CONCATENATE("/*",allprides!A102,"*/ ",allprides!G102,allprides!H102,allprides!I102,allprides!J102,allprides!K102,allprides!L102,allprides!M102,allprides!N102," 1;")</f>
        <v>/*ELI-138*/ 01011111 1;</v>
      </c>
    </row>
    <row r="102" spans="1:1" x14ac:dyDescent="0.3">
      <c r="A102" t="str">
        <f>CONCATENATE("/*",allprides!A103,"*/ ",allprides!G103,allprides!H103,allprides!I103,allprides!J103,allprides!K103,allprides!L103,allprides!M103,allprides!N103," 1;")</f>
        <v>/*ELI-469*/ 01011111 1;</v>
      </c>
    </row>
    <row r="103" spans="1:1" x14ac:dyDescent="0.3">
      <c r="A103" t="str">
        <f>CONCATENATE("/*",allprides!A104,"*/ ",allprides!G104,allprides!H104,allprides!I104,allprides!J104,allprides!K104,allprides!L104,allprides!M104,allprides!N104," 1;")</f>
        <v>/*ELI-657*/ 01011111 1;</v>
      </c>
    </row>
    <row r="104" spans="1:1" x14ac:dyDescent="0.3">
      <c r="A104" t="str">
        <f>CONCATENATE("/*",allprides!A105,"*/ ",allprides!G105,allprides!H105,allprides!I105,allprides!J105,allprides!K105,allprides!L105,allprides!M105,allprides!N105," 1;")</f>
        <v>/*ELI-658*/ 01011111 1;</v>
      </c>
    </row>
    <row r="105" spans="1:1" x14ac:dyDescent="0.3">
      <c r="A105" t="str">
        <f>CONCATENATE("/*",allprides!A106,"*/ ",allprides!G106,allprides!H106,allprides!I106,allprides!J106,allprides!K106,allprides!L106,allprides!M106,allprides!N106," 1;")</f>
        <v>/*ELI-659*/ 01011111 1;</v>
      </c>
    </row>
    <row r="106" spans="1:1" x14ac:dyDescent="0.3">
      <c r="A106" t="str">
        <f>CONCATENATE("/*",allprides!A107,"*/ ",allprides!G107,allprides!H107,allprides!I107,allprides!J107,allprides!K107,allprides!L107,allprides!M107,allprides!N107," 1;")</f>
        <v>/*ELI-660*/ 01111111 1;</v>
      </c>
    </row>
    <row r="107" spans="1:1" x14ac:dyDescent="0.3">
      <c r="A107" t="str">
        <f>CONCATENATE("/*",allprides!A108,"*/ ",allprides!G108,allprides!H108,allprides!I108,allprides!J108,allprides!K108,allprides!L108,allprides!M108,allprides!N108," 1;")</f>
        <v>/*ELI-661*/ 01011011 1;</v>
      </c>
    </row>
    <row r="108" spans="1:1" x14ac:dyDescent="0.3">
      <c r="A108" t="str">
        <f>CONCATENATE("/*",allprides!A109,"*/ ",allprides!G109,allprides!H109,allprides!I109,allprides!J109,allprides!K109,allprides!L109,allprides!M109,allprides!N109," 1;")</f>
        <v>/*ELI-662*/ 00111111 1;</v>
      </c>
    </row>
    <row r="109" spans="1:1" x14ac:dyDescent="0.3">
      <c r="A109" t="str">
        <f>CONCATENATE("/*",allprides!A110,"*/ ",allprides!G110,allprides!H110,allprides!I110,allprides!J110,allprides!K110,allprides!L110,allprides!M110,allprides!N110," 1;")</f>
        <v>/*ELI-663*/ 01111111 1;</v>
      </c>
    </row>
    <row r="110" spans="1:1" x14ac:dyDescent="0.3">
      <c r="A110" t="str">
        <f>CONCATENATE("/*",allprides!A111,"*/ ",allprides!G111,allprides!H111,allprides!I111,allprides!J111,allprides!K111,allprides!L111,allprides!M111,allprides!N111," 1;")</f>
        <v>/*ELI-664*/ 01111111 1;</v>
      </c>
    </row>
    <row r="111" spans="1:1" x14ac:dyDescent="0.3">
      <c r="A111" t="str">
        <f>CONCATENATE("/*",allprides!A112,"*/ ",allprides!G112,allprides!H112,allprides!I112,allprides!J112,allprides!K112,allprides!L112,allprides!M112,allprides!N112," 1;")</f>
        <v>/*ELI-665*/ 01111111 1;</v>
      </c>
    </row>
    <row r="112" spans="1:1" x14ac:dyDescent="0.3">
      <c r="A112" t="str">
        <f>CONCATENATE("/*",allprides!A113,"*/ ",allprides!G113,allprides!H113,allprides!I113,allprides!J113,allprides!K113,allprides!L113,allprides!M113,allprides!N113," 1;")</f>
        <v>/*ELI-666*/ 01011111 1;</v>
      </c>
    </row>
    <row r="113" spans="1:1" x14ac:dyDescent="0.3">
      <c r="A113" t="str">
        <f>CONCATENATE("/*",allprides!A114,"*/ ",allprides!G114,allprides!H114,allprides!I114,allprides!J114,allprides!K114,allprides!L114,allprides!M114,allprides!N114," 1;")</f>
        <v>/*ELI-697*/ 01111111 1;</v>
      </c>
    </row>
    <row r="114" spans="1:1" x14ac:dyDescent="0.3">
      <c r="A114" t="str">
        <f>CONCATENATE("/*",allprides!A115,"*/ ",allprides!G115,allprides!H115,allprides!I115,allprides!J115,allprides!K115,allprides!L115,allprides!M115,allprides!N115," 1;")</f>
        <v>/*ELI-721*/ 00011110 1;</v>
      </c>
    </row>
    <row r="115" spans="1:1" x14ac:dyDescent="0.3">
      <c r="A115" t="str">
        <f>CONCATENATE("/*",allprides!A116,"*/ ",allprides!G116,allprides!H116,allprides!I116,allprides!J116,allprides!K116,allprides!L116,allprides!M116,allprides!N116," 1;")</f>
        <v>/*ELI-722*/ 00010000 1;</v>
      </c>
    </row>
    <row r="116" spans="1:1" x14ac:dyDescent="0.3">
      <c r="A116" t="str">
        <f>CONCATENATE("/*",allprides!A117,"*/ ",allprides!G117,allprides!H117,allprides!I117,allprides!J117,allprides!K117,allprides!L117,allprides!M117,allprides!N117," 1;")</f>
        <v>/*ELI-700*/ 00111110 1;</v>
      </c>
    </row>
    <row r="117" spans="1:1" x14ac:dyDescent="0.3">
      <c r="A117" t="str">
        <f>CONCATENATE("/*",allprides!A118,"*/ ",allprides!G118,allprides!H118,allprides!I118,allprides!J118,allprides!K118,allprides!L118,allprides!M118,allprides!N118," 1;")</f>
        <v>/*ELI-701*/ 01111110 1;</v>
      </c>
    </row>
    <row r="118" spans="1:1" x14ac:dyDescent="0.3">
      <c r="A118" t="str">
        <f>CONCATENATE("/*",allprides!A119,"*/ ",allprides!G119,allprides!H119,allprides!I119,allprides!J119,allprides!K119,allprides!L119,allprides!M119,allprides!N119," 1;")</f>
        <v>/*ELI-702*/ 00111110 1;</v>
      </c>
    </row>
    <row r="119" spans="1:1" x14ac:dyDescent="0.3">
      <c r="A119" t="str">
        <f>CONCATENATE("/*",allprides!A120,"*/ ",allprides!G120,allprides!H120,allprides!I120,allprides!J120,allprides!K120,allprides!L120,allprides!M120,allprides!N120," 1;")</f>
        <v>/*ELI-708*/ 00101010 1;</v>
      </c>
    </row>
    <row r="120" spans="1:1" x14ac:dyDescent="0.3">
      <c r="A120" t="str">
        <f>CONCATENATE("/*",allprides!A121,"*/ ",allprides!G121,allprides!H121,allprides!I121,allprides!J121,allprides!K121,allprides!L121,allprides!M121,allprides!N121," 1;")</f>
        <v>/*ELI-709*/ 00101010 1;</v>
      </c>
    </row>
    <row r="121" spans="1:1" x14ac:dyDescent="0.3">
      <c r="A121" t="str">
        <f>CONCATENATE("/*",allprides!A122,"*/ ",allprides!G122,allprides!H122,allprides!I122,allprides!J122,allprides!K122,allprides!L122,allprides!M122,allprides!N122," 1;")</f>
        <v>/*ELI-710*/ 00101010 1;</v>
      </c>
    </row>
    <row r="122" spans="1:1" x14ac:dyDescent="0.3">
      <c r="A122" t="str">
        <f>CONCATENATE("/*",allprides!A123,"*/ ",allprides!G123,allprides!H123,allprides!I123,allprides!J123,allprides!K123,allprides!L123,allprides!M123,allprides!N123," 1;")</f>
        <v>/*ELI-711*/ 00101010 1;</v>
      </c>
    </row>
    <row r="123" spans="1:1" x14ac:dyDescent="0.3">
      <c r="A123" t="str">
        <f>CONCATENATE("/*",allprides!A124,"*/ ",allprides!G124,allprides!H124,allprides!I124,allprides!J124,allprides!K124,allprides!L124,allprides!M124,allprides!N124," 1;")</f>
        <v>/*ELI-468*/ 00000110 1;</v>
      </c>
    </row>
    <row r="124" spans="1:1" x14ac:dyDescent="0.3">
      <c r="A124" t="str">
        <f>CONCATENATE("/*",allprides!A125,"*/ ",allprides!G125,allprides!H125,allprides!I125,allprides!J125,allprides!K125,allprides!L125,allprides!M125,allprides!N125," 1;")</f>
        <v>/*ELI-261*/ 00000010 1;</v>
      </c>
    </row>
    <row r="125" spans="1:1" x14ac:dyDescent="0.3">
      <c r="A125" t="str">
        <f>CONCATENATE("/*",allprides!A126,"*/ ",allprides!G126,allprides!H126,allprides!I126,allprides!J126,allprides!K126,allprides!L126,allprides!M126,allprides!N126," 1;")</f>
        <v>/*ELI-257*/ 00000110 1;</v>
      </c>
    </row>
    <row r="126" spans="1:1" x14ac:dyDescent="0.3">
      <c r="A126" t="str">
        <f>CONCATENATE("/*",allprides!A127,"*/ ",allprides!G127,allprides!H127,allprides!I127,allprides!J127,allprides!K127,allprides!L127,allprides!M127,allprides!N127," 1;")</f>
        <v>/*ELI-183*/ 00000110 1;</v>
      </c>
    </row>
    <row r="127" spans="1:1" x14ac:dyDescent="0.3">
      <c r="A127" t="str">
        <f>CONCATENATE("/*",allprides!A128,"*/ ",allprides!G128,allprides!H128,allprides!I128,allprides!J128,allprides!K128,allprides!L128,allprides!M128,allprides!N128," 1;")</f>
        <v>/*ELI-189*/ 00000100 1;</v>
      </c>
    </row>
    <row r="128" spans="1:1" x14ac:dyDescent="0.3">
      <c r="A128" t="str">
        <f>CONCATENATE("/*",allprides!A129,"*/ ",allprides!G129,allprides!H129,allprides!I129,allprides!J129,allprides!K129,allprides!L129,allprides!M129,allprides!N129," 1;")</f>
        <v>/*ELI-465*/ 00000010 1;</v>
      </c>
    </row>
    <row r="129" spans="1:1" x14ac:dyDescent="0.3">
      <c r="A129" t="str">
        <f>CONCATENATE("/*",allprides!A130,"*/ ",allprides!G130,allprides!H130,allprides!I130,allprides!J130,allprides!K130,allprides!L130,allprides!M130,allprides!N130," 1;")</f>
        <v>/*ELI-467*/ 00000110 1;</v>
      </c>
    </row>
    <row r="130" spans="1:1" x14ac:dyDescent="0.3">
      <c r="A130" t="str">
        <f>CONCATENATE("/*",allprides!A131,"*/ ",allprides!G131,allprides!H131,allprides!I131,allprides!J131,allprides!K131,allprides!L131,allprides!M131,allprides!N131," 1;")</f>
        <v>/*ELI-770*/ 00000010 1;</v>
      </c>
    </row>
    <row r="131" spans="1:1" x14ac:dyDescent="0.3">
      <c r="A131" t="str">
        <f>CONCATENATE("/*",allprides!A132,"*/ ",allprides!G132,allprides!H132,allprides!I132,allprides!J132,allprides!K132,allprides!L132,allprides!M132,allprides!N132," 1;")</f>
        <v>/*ELI-771*/ 00000010 1;</v>
      </c>
    </row>
    <row r="132" spans="1:1" x14ac:dyDescent="0.3">
      <c r="A132" t="str">
        <f>CONCATENATE("/*",allprides!A133,"*/ ",allprides!G133,allprides!H133,allprides!I133,allprides!J133,allprides!K133,allprides!L133,allprides!M133,allprides!N133," 1;")</f>
        <v>/*ELI-772*/ 00000010 1;</v>
      </c>
    </row>
    <row r="133" spans="1:1" x14ac:dyDescent="0.3">
      <c r="A133" t="str">
        <f>CONCATENATE("/*",allprides!A134,"*/ ",allprides!G134,allprides!H134,allprides!I134,allprides!J134,allprides!K134,allprides!L134,allprides!M134,allprides!N134," 1;")</f>
        <v>/*ELI-773*/ 00000010 1;</v>
      </c>
    </row>
    <row r="134" spans="1:1" x14ac:dyDescent="0.3">
      <c r="A134" t="str">
        <f>CONCATENATE("/*",allprides!A135,"*/ ",allprides!G135,allprides!H135,allprides!I135,allprides!J135,allprides!K135,allprides!L135,allprides!M135,allprides!N135," 1;")</f>
        <v>/*ELI-774*/ 00000010 1;</v>
      </c>
    </row>
    <row r="135" spans="1:1" x14ac:dyDescent="0.3">
      <c r="A135" t="str">
        <f>CONCATENATE("/*",allprides!A136,"*/ ",allprides!G136,allprides!H136,allprides!I136,allprides!J136,allprides!K136,allprides!L136,allprides!M136,allprides!N136," 1;")</f>
        <v>/*ELI-775*/ 00000100 1;</v>
      </c>
    </row>
    <row r="136" spans="1:1" x14ac:dyDescent="0.3">
      <c r="A136" t="str">
        <f>CONCATENATE("/*",allprides!A137,"*/ ",allprides!G137,allprides!H137,allprides!I137,allprides!J137,allprides!K137,allprides!L137,allprides!M137,allprides!N137," 1;")</f>
        <v>/*ELI-776*/ 00000100 1;</v>
      </c>
    </row>
    <row r="137" spans="1:1" x14ac:dyDescent="0.3">
      <c r="A137" t="str">
        <f>CONCATENATE("/*",allprides!A138,"*/ ",allprides!G138,allprides!H138,allprides!I138,allprides!J138,allprides!K138,allprides!L138,allprides!M138,allprides!N138," 1;")</f>
        <v>/*ELI-777*/ 00000100 1;</v>
      </c>
    </row>
    <row r="138" spans="1:1" x14ac:dyDescent="0.3">
      <c r="A138" t="str">
        <f>CONCATENATE("/*",allprides!A139,"*/ ",allprides!G139,allprides!H139,allprides!I139,allprides!J139,allprides!K139,allprides!L139,allprides!M139,allprides!N139," 1;")</f>
        <v>/*ELI-778*/ 00000100 1;</v>
      </c>
    </row>
    <row r="139" spans="1:1" x14ac:dyDescent="0.3">
      <c r="A139" t="str">
        <f>CONCATENATE("/*",allprides!A140,"*/ ",allprides!G140,allprides!H140,allprides!I140,allprides!J140,allprides!K140,allprides!L140,allprides!M140,allprides!N140," 1;")</f>
        <v>/*ELI-786*/ 00000110 1;</v>
      </c>
    </row>
    <row r="140" spans="1:1" x14ac:dyDescent="0.3">
      <c r="A140" t="str">
        <f>CONCATENATE("/*",allprides!A141,"*/ ",allprides!G141,allprides!H141,allprides!I141,allprides!J141,allprides!K141,allprides!L141,allprides!M141,allprides!N141," 1;")</f>
        <v>/*ELI-990*/ 00000100 1;</v>
      </c>
    </row>
    <row r="141" spans="1:1" x14ac:dyDescent="0.3">
      <c r="A141" t="str">
        <f>CONCATENATE("/*",allprides!A142,"*/ ",allprides!G142,allprides!H142,allprides!I142,allprides!J142,allprides!K142,allprides!L142,allprides!M142,allprides!N142," 1;")</f>
        <v>/*ELI-260*/ 00100000 1;</v>
      </c>
    </row>
    <row r="142" spans="1:1" x14ac:dyDescent="0.3">
      <c r="A142" t="str">
        <f>CONCATENATE("/*",allprides!A143,"*/ ",allprides!G143,allprides!H143,allprides!I143,allprides!J143,allprides!K143,allprides!L143,allprides!M143,allprides!N143," 1;")</f>
        <v>/*ELI-262*/ 00100000 1;</v>
      </c>
    </row>
    <row r="143" spans="1:1" x14ac:dyDescent="0.3">
      <c r="A143" t="str">
        <f>CONCATENATE("/*",allprides!A144,"*/ ",allprides!G144,allprides!H144,allprides!I144,allprides!J144,allprides!K144,allprides!L144,allprides!M144,allprides!N144," 1;")</f>
        <v>/*ELI-752*/ 00100000 1;</v>
      </c>
    </row>
    <row r="144" spans="1:1" x14ac:dyDescent="0.3">
      <c r="A144" t="str">
        <f>CONCATENATE("/*",allprides!A145,"*/ ",allprides!G145,allprides!H145,allprides!I145,allprides!J145,allprides!K145,allprides!L145,allprides!M145,allprides!N145," 1;")</f>
        <v>/*ELI-753*/ 00100000 1;</v>
      </c>
    </row>
    <row r="145" spans="1:1" x14ac:dyDescent="0.3">
      <c r="A145" t="str">
        <f>CONCATENATE("/*",allprides!A146,"*/ ",allprides!G146,allprides!H146,allprides!I146,allprides!J146,allprides!K146,allprides!L146,allprides!M146,allprides!N146," 1;")</f>
        <v>/*ELI-754*/ 00100000 1;</v>
      </c>
    </row>
    <row r="146" spans="1:1" x14ac:dyDescent="0.3">
      <c r="A146" t="str">
        <f>CONCATENATE("/*",allprides!A147,"*/ ",allprides!G147,allprides!H147,allprides!I147,allprides!J147,allprides!K147,allprides!L147,allprides!M147,allprides!N147," 1;")</f>
        <v>/*ELI-755*/ 00100000 1;</v>
      </c>
    </row>
    <row r="147" spans="1:1" x14ac:dyDescent="0.3">
      <c r="A147" t="str">
        <f>CONCATENATE("/*",allprides!A148,"*/ ",allprides!G148,allprides!H148,allprides!I148,allprides!J148,allprides!K148,allprides!L148,allprides!M148,allprides!N148," 1;")</f>
        <v>/*ELI-756*/ 00100000 1;</v>
      </c>
    </row>
    <row r="148" spans="1:1" x14ac:dyDescent="0.3">
      <c r="A148" t="str">
        <f>CONCATENATE("/*",allprides!A149,"*/ ",allprides!G149,allprides!H149,allprides!I149,allprides!J149,allprides!K149,allprides!L149,allprides!M149,allprides!N149," 1;")</f>
        <v>/*ELI-757*/ 00100000 1;</v>
      </c>
    </row>
    <row r="149" spans="1:1" x14ac:dyDescent="0.3">
      <c r="A149" t="str">
        <f>CONCATENATE("/*",allprides!A150,"*/ ",allprides!G150,allprides!H150,allprides!I150,allprides!J150,allprides!K150,allprides!L150,allprides!M150,allprides!N150," 1;")</f>
        <v>/*ELI-758*/ 00100000 1;</v>
      </c>
    </row>
    <row r="150" spans="1:1" x14ac:dyDescent="0.3">
      <c r="A150" t="str">
        <f>CONCATENATE("/*",allprides!A151,"*/ ",allprides!G151,allprides!H151,allprides!I151,allprides!J151,allprides!K151,allprides!L151,allprides!M151,allprides!N151," 1;")</f>
        <v>/*ELI-759*/ 00100000 1;</v>
      </c>
    </row>
    <row r="151" spans="1:1" x14ac:dyDescent="0.3">
      <c r="A151" t="str">
        <f>CONCATENATE("/*",allprides!A152,"*/ ",allprides!G152,allprides!H152,allprides!I152,allprides!J152,allprides!K152,allprides!L152,allprides!M152,allprides!N152," 1;")</f>
        <v>/*ELI-168*/ 00100010 1;</v>
      </c>
    </row>
    <row r="152" spans="1:1" x14ac:dyDescent="0.3">
      <c r="A152" t="str">
        <f>CONCATENATE("/*",allprides!A153,"*/ ",allprides!G153,allprides!H153,allprides!I153,allprides!J153,allprides!K153,allprides!L153,allprides!M153,allprides!N153," 1;")</f>
        <v>/*ELI-564*/ 00100001 1;</v>
      </c>
    </row>
    <row r="153" spans="1:1" x14ac:dyDescent="0.3">
      <c r="A153" t="str">
        <f>CONCATENATE("/*",allprides!A154,"*/ ",allprides!G154,allprides!H154,allprides!I154,allprides!J154,allprides!K154,allprides!L154,allprides!M154,allprides!N154," 1;")</f>
        <v>/*ELI-565*/ 00100111 1;</v>
      </c>
    </row>
    <row r="154" spans="1:1" x14ac:dyDescent="0.3">
      <c r="A154" t="str">
        <f>CONCATENATE("/*",allprides!A155,"*/ ",allprides!G155,allprides!H155,allprides!I155,allprides!J155,allprides!K155,allprides!L155,allprides!M155,allprides!N155," 1;")</f>
        <v>/*ELI-213*/ 11101110 1;</v>
      </c>
    </row>
    <row r="155" spans="1:1" x14ac:dyDescent="0.3">
      <c r="A155" t="str">
        <f>CONCATENATE("/*",allprides!A156,"*/ ",allprides!G156,allprides!H156,allprides!I156,allprides!J156,allprides!K156,allprides!L156,allprides!M156,allprides!N156," 1;")</f>
        <v>/*ELI-214*/ 01101111 1;</v>
      </c>
    </row>
    <row r="156" spans="1:1" x14ac:dyDescent="0.3">
      <c r="A156" t="str">
        <f>CONCATENATE("/*",allprides!A157,"*/ ",allprides!G157,allprides!H157,allprides!I157,allprides!J157,allprides!K157,allprides!L157,allprides!M157,allprides!N157," 1;")</f>
        <v>/*ELI-216*/ 11101110 1;</v>
      </c>
    </row>
    <row r="157" spans="1:1" x14ac:dyDescent="0.3">
      <c r="A157" t="str">
        <f>CONCATENATE("/*",allprides!A158,"*/ ",allprides!G158,allprides!H158,allprides!I158,allprides!J158,allprides!K158,allprides!L158,allprides!M158,allprides!N158," 1;")</f>
        <v>/*ELI-420*/ 00101000 1;</v>
      </c>
    </row>
    <row r="158" spans="1:1" x14ac:dyDescent="0.3">
      <c r="A158" t="str">
        <f>CONCATENATE("/*",allprides!A159,"*/ ",allprides!G159,allprides!H159,allprides!I159,allprides!J159,allprides!K159,allprides!L159,allprides!M159,allprides!N159," 1;")</f>
        <v>/*ELI-421*/ 00110010 1;</v>
      </c>
    </row>
    <row r="159" spans="1:1" x14ac:dyDescent="0.3">
      <c r="A159" t="str">
        <f>CONCATENATE("/*",allprides!A160,"*/ ",allprides!G160,allprides!H160,allprides!I160,allprides!J160,allprides!K160,allprides!L160,allprides!M160,allprides!N160," 1;")</f>
        <v>/*ELI-422*/ 00111100 1;</v>
      </c>
    </row>
    <row r="160" spans="1:1" x14ac:dyDescent="0.3">
      <c r="A160" t="str">
        <f>CONCATENATE("/*",allprides!A161,"*/ ",allprides!G161,allprides!H161,allprides!I161,allprides!J161,allprides!K161,allprides!L161,allprides!M161,allprides!N161," 1;")</f>
        <v>/*ELI-175*/ 00010000 1;</v>
      </c>
    </row>
    <row r="161" spans="1:1" x14ac:dyDescent="0.3">
      <c r="A161" t="str">
        <f>CONCATENATE("/*",allprides!A162,"*/ ",allprides!G162,allprides!H162,allprides!I162,allprides!J162,allprides!K162,allprides!L162,allprides!M162,allprides!N162," 1;")</f>
        <v>/*ELI-474*/ 01000100 1;</v>
      </c>
    </row>
    <row r="162" spans="1:1" x14ac:dyDescent="0.3">
      <c r="A162" t="str">
        <f>CONCATENATE("/*",allprides!A163,"*/ ",allprides!G163,allprides!H163,allprides!I163,allprides!J163,allprides!K163,allprides!L163,allprides!M163,allprides!N163," 1;")</f>
        <v>/*ELI-130*/ 00100000 1;</v>
      </c>
    </row>
    <row r="163" spans="1:1" x14ac:dyDescent="0.3">
      <c r="A163" t="str">
        <f>CONCATENATE("/*",allprides!A164,"*/ ",allprides!G164,allprides!H164,allprides!I164,allprides!J164,allprides!K164,allprides!L164,allprides!M164,allprides!N164," 1;")</f>
        <v>/*ELI-699*/ 00101000 1;</v>
      </c>
    </row>
    <row r="164" spans="1:1" x14ac:dyDescent="0.3">
      <c r="A164" t="str">
        <f>CONCATENATE("/*",allprides!A165,"*/ ",allprides!G165,allprides!H165,allprides!I165,allprides!J165,allprides!K165,allprides!L165,allprides!M165,allprides!N165," 1;")</f>
        <v>/*ELI-628*/ 00011111 1;</v>
      </c>
    </row>
    <row r="165" spans="1:1" x14ac:dyDescent="0.3">
      <c r="A165" t="str">
        <f>CONCATENATE("/*",allprides!A166,"*/ ",allprides!G166,allprides!H166,allprides!I166,allprides!J166,allprides!K166,allprides!L166,allprides!M166,allprides!N166," 1;")</f>
        <v>/*ELI-629*/ 00011111 1;</v>
      </c>
    </row>
    <row r="166" spans="1:1" x14ac:dyDescent="0.3">
      <c r="A166" t="str">
        <f>CONCATENATE("/*",allprides!A167,"*/ ",allprides!G167,allprides!H167,allprides!I167,allprides!J167,allprides!K167,allprides!L167,allprides!M167,allprides!N167," 1;")</f>
        <v>/*ELI-779*/ 00111100 1;</v>
      </c>
    </row>
    <row r="167" spans="1:1" x14ac:dyDescent="0.3">
      <c r="A167" t="str">
        <f>CONCATENATE("/*",allprides!A168,"*/ ",allprides!G168,allprides!H168,allprides!I168,allprides!J168,allprides!K168,allprides!L168,allprides!M168,allprides!N168," 1;")</f>
        <v>/*ELI-373*/ 00001110 1;</v>
      </c>
    </row>
    <row r="168" spans="1:1" x14ac:dyDescent="0.3">
      <c r="A168" t="str">
        <f>CONCATENATE("/*",allprides!A169,"*/ ",allprides!G169,allprides!H169,allprides!I169,allprides!J169,allprides!K169,allprides!L169,allprides!M169,allprides!N169," 1;")</f>
        <v>/*ELI-375*/ 00001100 1;</v>
      </c>
    </row>
    <row r="169" spans="1:1" x14ac:dyDescent="0.3">
      <c r="A169" t="str">
        <f>CONCATENATE("/*",allprides!A170,"*/ ",allprides!G170,allprides!H170,allprides!I170,allprides!J170,allprides!K170,allprides!L170,allprides!M170,allprides!N170," 1;")</f>
        <v>/*ELI-377*/ 00011100 1;</v>
      </c>
    </row>
    <row r="170" spans="1:1" x14ac:dyDescent="0.3">
      <c r="A170" t="str">
        <f>CONCATENATE("/*",allprides!A171,"*/ ",allprides!G171,allprides!H171,allprides!I171,allprides!J171,allprides!K171,allprides!L171,allprides!M171,allprides!N171," 1;")</f>
        <v>/*ELI-376*/ 00011100 1;</v>
      </c>
    </row>
    <row r="171" spans="1:1" x14ac:dyDescent="0.3">
      <c r="A171" t="str">
        <f>CONCATENATE("/*",allprides!A172,"*/ ",allprides!G172,allprides!H172,allprides!I172,allprides!J172,allprides!K172,allprides!L172,allprides!M172,allprides!N172," 1;")</f>
        <v>/*ELI-972*/ 00000100 1;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topLeftCell="A148" workbookViewId="0">
      <selection activeCell="D180" sqref="D180"/>
    </sheetView>
  </sheetViews>
  <sheetFormatPr defaultRowHeight="14.4" x14ac:dyDescent="0.3"/>
  <sheetData>
    <row r="1" spans="1:1" x14ac:dyDescent="0.3">
      <c r="A1" s="137" t="s">
        <v>586</v>
      </c>
    </row>
    <row r="2" spans="1:1" x14ac:dyDescent="0.3">
      <c r="A2" s="137" t="s">
        <v>587</v>
      </c>
    </row>
    <row r="3" spans="1:1" x14ac:dyDescent="0.3">
      <c r="A3" s="137" t="s">
        <v>588</v>
      </c>
    </row>
    <row r="4" spans="1:1" x14ac:dyDescent="0.3">
      <c r="A4" s="137" t="s">
        <v>589</v>
      </c>
    </row>
    <row r="5" spans="1:1" x14ac:dyDescent="0.3">
      <c r="A5" s="137" t="s">
        <v>590</v>
      </c>
    </row>
    <row r="6" spans="1:1" x14ac:dyDescent="0.3">
      <c r="A6" s="137" t="s">
        <v>591</v>
      </c>
    </row>
    <row r="7" spans="1:1" x14ac:dyDescent="0.3">
      <c r="A7" s="137" t="s">
        <v>592</v>
      </c>
    </row>
    <row r="8" spans="1:1" x14ac:dyDescent="0.3">
      <c r="A8" s="137" t="s">
        <v>593</v>
      </c>
    </row>
    <row r="9" spans="1:1" x14ac:dyDescent="0.3">
      <c r="A9" s="137" t="s">
        <v>594</v>
      </c>
    </row>
    <row r="10" spans="1:1" x14ac:dyDescent="0.3">
      <c r="A10" s="137" t="s">
        <v>595</v>
      </c>
    </row>
    <row r="11" spans="1:1" x14ac:dyDescent="0.3">
      <c r="A11" s="137" t="s">
        <v>596</v>
      </c>
    </row>
    <row r="12" spans="1:1" x14ac:dyDescent="0.3">
      <c r="A12" s="137" t="s">
        <v>597</v>
      </c>
    </row>
    <row r="13" spans="1:1" x14ac:dyDescent="0.3">
      <c r="A13" s="137" t="s">
        <v>598</v>
      </c>
    </row>
    <row r="14" spans="1:1" x14ac:dyDescent="0.3">
      <c r="A14" s="137" t="s">
        <v>599</v>
      </c>
    </row>
    <row r="15" spans="1:1" x14ac:dyDescent="0.3">
      <c r="A15" s="137" t="s">
        <v>600</v>
      </c>
    </row>
    <row r="16" spans="1:1" x14ac:dyDescent="0.3">
      <c r="A16" s="137" t="s">
        <v>601</v>
      </c>
    </row>
    <row r="17" spans="1:1" x14ac:dyDescent="0.3">
      <c r="A17" s="137" t="s">
        <v>602</v>
      </c>
    </row>
    <row r="18" spans="1:1" x14ac:dyDescent="0.3">
      <c r="A18" s="137" t="s">
        <v>603</v>
      </c>
    </row>
    <row r="19" spans="1:1" x14ac:dyDescent="0.3">
      <c r="A19" s="137" t="s">
        <v>604</v>
      </c>
    </row>
    <row r="20" spans="1:1" x14ac:dyDescent="0.3">
      <c r="A20" s="137" t="s">
        <v>605</v>
      </c>
    </row>
    <row r="21" spans="1:1" x14ac:dyDescent="0.3">
      <c r="A21" s="137" t="s">
        <v>606</v>
      </c>
    </row>
    <row r="22" spans="1:1" x14ac:dyDescent="0.3">
      <c r="A22" s="137" t="s">
        <v>607</v>
      </c>
    </row>
    <row r="23" spans="1:1" x14ac:dyDescent="0.3">
      <c r="A23" s="137" t="s">
        <v>608</v>
      </c>
    </row>
    <row r="24" spans="1:1" x14ac:dyDescent="0.3">
      <c r="A24" s="137" t="s">
        <v>609</v>
      </c>
    </row>
    <row r="25" spans="1:1" x14ac:dyDescent="0.3">
      <c r="A25" s="137" t="s">
        <v>610</v>
      </c>
    </row>
    <row r="26" spans="1:1" x14ac:dyDescent="0.3">
      <c r="A26" s="137" t="s">
        <v>611</v>
      </c>
    </row>
    <row r="27" spans="1:1" x14ac:dyDescent="0.3">
      <c r="A27" s="137" t="s">
        <v>612</v>
      </c>
    </row>
    <row r="28" spans="1:1" x14ac:dyDescent="0.3">
      <c r="A28" s="137" t="s">
        <v>613</v>
      </c>
    </row>
    <row r="29" spans="1:1" x14ac:dyDescent="0.3">
      <c r="A29" s="137" t="s">
        <v>614</v>
      </c>
    </row>
    <row r="30" spans="1:1" x14ac:dyDescent="0.3">
      <c r="A30" s="137" t="s">
        <v>615</v>
      </c>
    </row>
    <row r="31" spans="1:1" x14ac:dyDescent="0.3">
      <c r="A31" s="137" t="s">
        <v>616</v>
      </c>
    </row>
    <row r="32" spans="1:1" x14ac:dyDescent="0.3">
      <c r="A32" s="137" t="s">
        <v>617</v>
      </c>
    </row>
    <row r="33" spans="1:1" x14ac:dyDescent="0.3">
      <c r="A33" s="137" t="s">
        <v>618</v>
      </c>
    </row>
    <row r="34" spans="1:1" x14ac:dyDescent="0.3">
      <c r="A34" s="137" t="s">
        <v>619</v>
      </c>
    </row>
    <row r="35" spans="1:1" x14ac:dyDescent="0.3">
      <c r="A35" s="137" t="s">
        <v>620</v>
      </c>
    </row>
    <row r="36" spans="1:1" x14ac:dyDescent="0.3">
      <c r="A36" s="137" t="s">
        <v>621</v>
      </c>
    </row>
    <row r="37" spans="1:1" x14ac:dyDescent="0.3">
      <c r="A37" s="137" t="s">
        <v>622</v>
      </c>
    </row>
    <row r="38" spans="1:1" x14ac:dyDescent="0.3">
      <c r="A38" s="137" t="s">
        <v>623</v>
      </c>
    </row>
    <row r="39" spans="1:1" x14ac:dyDescent="0.3">
      <c r="A39" s="137" t="s">
        <v>753</v>
      </c>
    </row>
    <row r="40" spans="1:1" x14ac:dyDescent="0.3">
      <c r="A40" s="137" t="s">
        <v>624</v>
      </c>
    </row>
    <row r="41" spans="1:1" x14ac:dyDescent="0.3">
      <c r="A41" s="137" t="s">
        <v>625</v>
      </c>
    </row>
    <row r="42" spans="1:1" x14ac:dyDescent="0.3">
      <c r="A42" s="137" t="s">
        <v>626</v>
      </c>
    </row>
    <row r="43" spans="1:1" x14ac:dyDescent="0.3">
      <c r="A43" s="137" t="s">
        <v>627</v>
      </c>
    </row>
    <row r="44" spans="1:1" x14ac:dyDescent="0.3">
      <c r="A44" s="137" t="s">
        <v>628</v>
      </c>
    </row>
    <row r="45" spans="1:1" x14ac:dyDescent="0.3">
      <c r="A45" s="137" t="s">
        <v>629</v>
      </c>
    </row>
    <row r="46" spans="1:1" x14ac:dyDescent="0.3">
      <c r="A46" s="137" t="s">
        <v>630</v>
      </c>
    </row>
    <row r="47" spans="1:1" x14ac:dyDescent="0.3">
      <c r="A47" s="137" t="s">
        <v>631</v>
      </c>
    </row>
    <row r="48" spans="1:1" x14ac:dyDescent="0.3">
      <c r="A48" s="137" t="s">
        <v>632</v>
      </c>
    </row>
    <row r="49" spans="1:1" x14ac:dyDescent="0.3">
      <c r="A49" s="137" t="s">
        <v>633</v>
      </c>
    </row>
    <row r="50" spans="1:1" x14ac:dyDescent="0.3">
      <c r="A50" s="137" t="s">
        <v>634</v>
      </c>
    </row>
    <row r="51" spans="1:1" x14ac:dyDescent="0.3">
      <c r="A51" s="137" t="s">
        <v>635</v>
      </c>
    </row>
    <row r="52" spans="1:1" x14ac:dyDescent="0.3">
      <c r="A52" s="137" t="s">
        <v>636</v>
      </c>
    </row>
    <row r="53" spans="1:1" x14ac:dyDescent="0.3">
      <c r="A53" s="137" t="s">
        <v>637</v>
      </c>
    </row>
    <row r="54" spans="1:1" x14ac:dyDescent="0.3">
      <c r="A54" s="137" t="s">
        <v>638</v>
      </c>
    </row>
    <row r="55" spans="1:1" x14ac:dyDescent="0.3">
      <c r="A55" s="137" t="s">
        <v>639</v>
      </c>
    </row>
    <row r="56" spans="1:1" x14ac:dyDescent="0.3">
      <c r="A56" s="137" t="s">
        <v>640</v>
      </c>
    </row>
    <row r="57" spans="1:1" x14ac:dyDescent="0.3">
      <c r="A57" s="137" t="s">
        <v>641</v>
      </c>
    </row>
    <row r="58" spans="1:1" x14ac:dyDescent="0.3">
      <c r="A58" s="137" t="s">
        <v>642</v>
      </c>
    </row>
    <row r="59" spans="1:1" x14ac:dyDescent="0.3">
      <c r="A59" s="137" t="s">
        <v>643</v>
      </c>
    </row>
    <row r="60" spans="1:1" x14ac:dyDescent="0.3">
      <c r="A60" s="137" t="s">
        <v>644</v>
      </c>
    </row>
    <row r="61" spans="1:1" x14ac:dyDescent="0.3">
      <c r="A61" s="137" t="s">
        <v>645</v>
      </c>
    </row>
    <row r="62" spans="1:1" x14ac:dyDescent="0.3">
      <c r="A62" s="137" t="s">
        <v>646</v>
      </c>
    </row>
    <row r="63" spans="1:1" x14ac:dyDescent="0.3">
      <c r="A63" s="137" t="s">
        <v>754</v>
      </c>
    </row>
    <row r="64" spans="1:1" x14ac:dyDescent="0.3">
      <c r="A64" s="137" t="s">
        <v>647</v>
      </c>
    </row>
    <row r="65" spans="1:1" x14ac:dyDescent="0.3">
      <c r="A65" s="137" t="s">
        <v>648</v>
      </c>
    </row>
    <row r="66" spans="1:1" x14ac:dyDescent="0.3">
      <c r="A66" s="137" t="s">
        <v>649</v>
      </c>
    </row>
    <row r="67" spans="1:1" x14ac:dyDescent="0.3">
      <c r="A67" s="137" t="s">
        <v>650</v>
      </c>
    </row>
    <row r="68" spans="1:1" x14ac:dyDescent="0.3">
      <c r="A68" s="137" t="s">
        <v>651</v>
      </c>
    </row>
    <row r="69" spans="1:1" x14ac:dyDescent="0.3">
      <c r="A69" s="137" t="s">
        <v>652</v>
      </c>
    </row>
    <row r="70" spans="1:1" x14ac:dyDescent="0.3">
      <c r="A70" s="137" t="s">
        <v>653</v>
      </c>
    </row>
    <row r="71" spans="1:1" x14ac:dyDescent="0.3">
      <c r="A71" s="137" t="s">
        <v>654</v>
      </c>
    </row>
    <row r="72" spans="1:1" x14ac:dyDescent="0.3">
      <c r="A72" s="137" t="s">
        <v>655</v>
      </c>
    </row>
    <row r="73" spans="1:1" x14ac:dyDescent="0.3">
      <c r="A73" s="137" t="s">
        <v>656</v>
      </c>
    </row>
    <row r="74" spans="1:1" x14ac:dyDescent="0.3">
      <c r="A74" s="137" t="s">
        <v>657</v>
      </c>
    </row>
    <row r="75" spans="1:1" x14ac:dyDescent="0.3">
      <c r="A75" s="137" t="s">
        <v>658</v>
      </c>
    </row>
    <row r="76" spans="1:1" x14ac:dyDescent="0.3">
      <c r="A76" s="137" t="s">
        <v>755</v>
      </c>
    </row>
    <row r="77" spans="1:1" x14ac:dyDescent="0.3">
      <c r="A77" s="137" t="s">
        <v>659</v>
      </c>
    </row>
    <row r="78" spans="1:1" x14ac:dyDescent="0.3">
      <c r="A78" s="137" t="s">
        <v>660</v>
      </c>
    </row>
    <row r="79" spans="1:1" x14ac:dyDescent="0.3">
      <c r="A79" s="137" t="s">
        <v>661</v>
      </c>
    </row>
    <row r="80" spans="1:1" x14ac:dyDescent="0.3">
      <c r="A80" s="137" t="s">
        <v>662</v>
      </c>
    </row>
    <row r="81" spans="1:1" x14ac:dyDescent="0.3">
      <c r="A81" s="137" t="s">
        <v>663</v>
      </c>
    </row>
    <row r="82" spans="1:1" x14ac:dyDescent="0.3">
      <c r="A82" s="137" t="s">
        <v>664</v>
      </c>
    </row>
    <row r="83" spans="1:1" x14ac:dyDescent="0.3">
      <c r="A83" s="137" t="s">
        <v>665</v>
      </c>
    </row>
    <row r="84" spans="1:1" x14ac:dyDescent="0.3">
      <c r="A84" s="137" t="s">
        <v>756</v>
      </c>
    </row>
    <row r="85" spans="1:1" x14ac:dyDescent="0.3">
      <c r="A85" s="137" t="s">
        <v>757</v>
      </c>
    </row>
    <row r="86" spans="1:1" x14ac:dyDescent="0.3">
      <c r="A86" s="137" t="s">
        <v>758</v>
      </c>
    </row>
    <row r="87" spans="1:1" x14ac:dyDescent="0.3">
      <c r="A87" s="137" t="s">
        <v>759</v>
      </c>
    </row>
    <row r="88" spans="1:1" x14ac:dyDescent="0.3">
      <c r="A88" s="137" t="s">
        <v>666</v>
      </c>
    </row>
    <row r="89" spans="1:1" x14ac:dyDescent="0.3">
      <c r="A89" s="137" t="s">
        <v>667</v>
      </c>
    </row>
    <row r="90" spans="1:1" x14ac:dyDescent="0.3">
      <c r="A90" s="137" t="s">
        <v>668</v>
      </c>
    </row>
    <row r="91" spans="1:1" x14ac:dyDescent="0.3">
      <c r="A91" s="137" t="s">
        <v>669</v>
      </c>
    </row>
    <row r="92" spans="1:1" x14ac:dyDescent="0.3">
      <c r="A92" s="137" t="s">
        <v>670</v>
      </c>
    </row>
    <row r="93" spans="1:1" x14ac:dyDescent="0.3">
      <c r="A93" s="137" t="s">
        <v>671</v>
      </c>
    </row>
    <row r="94" spans="1:1" x14ac:dyDescent="0.3">
      <c r="A94" s="137" t="s">
        <v>672</v>
      </c>
    </row>
    <row r="95" spans="1:1" x14ac:dyDescent="0.3">
      <c r="A95" s="137" t="s">
        <v>673</v>
      </c>
    </row>
    <row r="96" spans="1:1" x14ac:dyDescent="0.3">
      <c r="A96" s="137" t="s">
        <v>674</v>
      </c>
    </row>
    <row r="97" spans="1:1" x14ac:dyDescent="0.3">
      <c r="A97" s="137" t="s">
        <v>760</v>
      </c>
    </row>
    <row r="98" spans="1:1" x14ac:dyDescent="0.3">
      <c r="A98" s="137" t="s">
        <v>675</v>
      </c>
    </row>
    <row r="99" spans="1:1" x14ac:dyDescent="0.3">
      <c r="A99" s="137" t="s">
        <v>676</v>
      </c>
    </row>
    <row r="100" spans="1:1" x14ac:dyDescent="0.3">
      <c r="A100" s="137" t="s">
        <v>677</v>
      </c>
    </row>
    <row r="101" spans="1:1" x14ac:dyDescent="0.3">
      <c r="A101" s="137" t="s">
        <v>678</v>
      </c>
    </row>
    <row r="102" spans="1:1" x14ac:dyDescent="0.3">
      <c r="A102" s="137" t="s">
        <v>679</v>
      </c>
    </row>
    <row r="103" spans="1:1" x14ac:dyDescent="0.3">
      <c r="A103" s="137" t="s">
        <v>680</v>
      </c>
    </row>
    <row r="104" spans="1:1" x14ac:dyDescent="0.3">
      <c r="A104" s="137" t="s">
        <v>681</v>
      </c>
    </row>
    <row r="105" spans="1:1" x14ac:dyDescent="0.3">
      <c r="A105" s="137" t="s">
        <v>682</v>
      </c>
    </row>
    <row r="106" spans="1:1" x14ac:dyDescent="0.3">
      <c r="A106" s="137" t="s">
        <v>683</v>
      </c>
    </row>
    <row r="107" spans="1:1" x14ac:dyDescent="0.3">
      <c r="A107" s="137" t="s">
        <v>684</v>
      </c>
    </row>
    <row r="108" spans="1:1" x14ac:dyDescent="0.3">
      <c r="A108" s="137" t="s">
        <v>685</v>
      </c>
    </row>
    <row r="109" spans="1:1" x14ac:dyDescent="0.3">
      <c r="A109" s="137" t="s">
        <v>686</v>
      </c>
    </row>
    <row r="110" spans="1:1" x14ac:dyDescent="0.3">
      <c r="A110" s="137" t="s">
        <v>687</v>
      </c>
    </row>
    <row r="111" spans="1:1" x14ac:dyDescent="0.3">
      <c r="A111" s="137" t="s">
        <v>688</v>
      </c>
    </row>
    <row r="112" spans="1:1" x14ac:dyDescent="0.3">
      <c r="A112" s="137" t="s">
        <v>689</v>
      </c>
    </row>
    <row r="113" spans="1:1" x14ac:dyDescent="0.3">
      <c r="A113" s="137" t="s">
        <v>690</v>
      </c>
    </row>
    <row r="114" spans="1:1" x14ac:dyDescent="0.3">
      <c r="A114" s="137" t="s">
        <v>691</v>
      </c>
    </row>
    <row r="115" spans="1:1" x14ac:dyDescent="0.3">
      <c r="A115" s="137" t="s">
        <v>692</v>
      </c>
    </row>
    <row r="116" spans="1:1" x14ac:dyDescent="0.3">
      <c r="A116" s="137" t="s">
        <v>693</v>
      </c>
    </row>
    <row r="117" spans="1:1" x14ac:dyDescent="0.3">
      <c r="A117" s="137" t="s">
        <v>694</v>
      </c>
    </row>
    <row r="118" spans="1:1" x14ac:dyDescent="0.3">
      <c r="A118" s="137" t="s">
        <v>695</v>
      </c>
    </row>
    <row r="119" spans="1:1" x14ac:dyDescent="0.3">
      <c r="A119" s="137" t="s">
        <v>696</v>
      </c>
    </row>
    <row r="120" spans="1:1" x14ac:dyDescent="0.3">
      <c r="A120" s="137" t="s">
        <v>697</v>
      </c>
    </row>
    <row r="121" spans="1:1" x14ac:dyDescent="0.3">
      <c r="A121" s="137" t="s">
        <v>698</v>
      </c>
    </row>
    <row r="122" spans="1:1" x14ac:dyDescent="0.3">
      <c r="A122" s="137" t="s">
        <v>699</v>
      </c>
    </row>
    <row r="123" spans="1:1" x14ac:dyDescent="0.3">
      <c r="A123" s="137" t="s">
        <v>700</v>
      </c>
    </row>
    <row r="124" spans="1:1" x14ac:dyDescent="0.3">
      <c r="A124" s="137" t="s">
        <v>701</v>
      </c>
    </row>
    <row r="125" spans="1:1" x14ac:dyDescent="0.3">
      <c r="A125" s="137" t="s">
        <v>702</v>
      </c>
    </row>
    <row r="126" spans="1:1" x14ac:dyDescent="0.3">
      <c r="A126" s="137" t="s">
        <v>703</v>
      </c>
    </row>
    <row r="127" spans="1:1" x14ac:dyDescent="0.3">
      <c r="A127" s="137" t="s">
        <v>704</v>
      </c>
    </row>
    <row r="128" spans="1:1" x14ac:dyDescent="0.3">
      <c r="A128" s="137" t="s">
        <v>705</v>
      </c>
    </row>
    <row r="129" spans="1:1" x14ac:dyDescent="0.3">
      <c r="A129" s="137" t="s">
        <v>706</v>
      </c>
    </row>
    <row r="130" spans="1:1" x14ac:dyDescent="0.3">
      <c r="A130" s="137" t="s">
        <v>707</v>
      </c>
    </row>
    <row r="131" spans="1:1" x14ac:dyDescent="0.3">
      <c r="A131" s="137" t="s">
        <v>708</v>
      </c>
    </row>
    <row r="132" spans="1:1" x14ac:dyDescent="0.3">
      <c r="A132" s="137" t="s">
        <v>709</v>
      </c>
    </row>
    <row r="133" spans="1:1" x14ac:dyDescent="0.3">
      <c r="A133" s="137" t="s">
        <v>710</v>
      </c>
    </row>
    <row r="134" spans="1:1" x14ac:dyDescent="0.3">
      <c r="A134" s="137" t="s">
        <v>711</v>
      </c>
    </row>
    <row r="135" spans="1:1" x14ac:dyDescent="0.3">
      <c r="A135" s="137" t="s">
        <v>712</v>
      </c>
    </row>
    <row r="136" spans="1:1" x14ac:dyDescent="0.3">
      <c r="A136" s="137" t="s">
        <v>713</v>
      </c>
    </row>
    <row r="137" spans="1:1" x14ac:dyDescent="0.3">
      <c r="A137" s="137" t="s">
        <v>714</v>
      </c>
    </row>
    <row r="138" spans="1:1" x14ac:dyDescent="0.3">
      <c r="A138" s="137" t="s">
        <v>715</v>
      </c>
    </row>
    <row r="139" spans="1:1" x14ac:dyDescent="0.3">
      <c r="A139" s="137" t="s">
        <v>716</v>
      </c>
    </row>
    <row r="140" spans="1:1" x14ac:dyDescent="0.3">
      <c r="A140" s="137" t="s">
        <v>748</v>
      </c>
    </row>
    <row r="141" spans="1:1" x14ac:dyDescent="0.3">
      <c r="A141" s="137" t="s">
        <v>717</v>
      </c>
    </row>
    <row r="142" spans="1:1" x14ac:dyDescent="0.3">
      <c r="A142" s="137" t="s">
        <v>718</v>
      </c>
    </row>
    <row r="143" spans="1:1" x14ac:dyDescent="0.3">
      <c r="A143" s="137" t="s">
        <v>719</v>
      </c>
    </row>
    <row r="144" spans="1:1" x14ac:dyDescent="0.3">
      <c r="A144" s="137" t="s">
        <v>720</v>
      </c>
    </row>
    <row r="145" spans="1:1" x14ac:dyDescent="0.3">
      <c r="A145" s="137" t="s">
        <v>721</v>
      </c>
    </row>
    <row r="146" spans="1:1" x14ac:dyDescent="0.3">
      <c r="A146" s="137" t="s">
        <v>722</v>
      </c>
    </row>
    <row r="147" spans="1:1" x14ac:dyDescent="0.3">
      <c r="A147" s="137" t="s">
        <v>723</v>
      </c>
    </row>
    <row r="148" spans="1:1" x14ac:dyDescent="0.3">
      <c r="A148" s="137" t="s">
        <v>724</v>
      </c>
    </row>
    <row r="149" spans="1:1" x14ac:dyDescent="0.3">
      <c r="A149" s="137" t="s">
        <v>725</v>
      </c>
    </row>
    <row r="150" spans="1:1" x14ac:dyDescent="0.3">
      <c r="A150" s="137" t="s">
        <v>726</v>
      </c>
    </row>
    <row r="151" spans="1:1" x14ac:dyDescent="0.3">
      <c r="A151" s="137" t="s">
        <v>727</v>
      </c>
    </row>
    <row r="152" spans="1:1" x14ac:dyDescent="0.3">
      <c r="A152" s="137" t="s">
        <v>728</v>
      </c>
    </row>
    <row r="153" spans="1:1" x14ac:dyDescent="0.3">
      <c r="A153" s="137" t="s">
        <v>729</v>
      </c>
    </row>
    <row r="154" spans="1:1" x14ac:dyDescent="0.3">
      <c r="A154" s="137" t="s">
        <v>730</v>
      </c>
    </row>
    <row r="155" spans="1:1" x14ac:dyDescent="0.3">
      <c r="A155" s="137" t="s">
        <v>731</v>
      </c>
    </row>
    <row r="156" spans="1:1" x14ac:dyDescent="0.3">
      <c r="A156" s="137" t="s">
        <v>732</v>
      </c>
    </row>
    <row r="157" spans="1:1" x14ac:dyDescent="0.3">
      <c r="A157" s="137" t="s">
        <v>733</v>
      </c>
    </row>
    <row r="158" spans="1:1" x14ac:dyDescent="0.3">
      <c r="A158" s="137" t="s">
        <v>734</v>
      </c>
    </row>
    <row r="159" spans="1:1" x14ac:dyDescent="0.3">
      <c r="A159" s="137" t="s">
        <v>735</v>
      </c>
    </row>
    <row r="160" spans="1:1" x14ac:dyDescent="0.3">
      <c r="A160" s="137" t="s">
        <v>736</v>
      </c>
    </row>
    <row r="161" spans="1:1" x14ac:dyDescent="0.3">
      <c r="A161" s="137" t="s">
        <v>737</v>
      </c>
    </row>
    <row r="162" spans="1:1" x14ac:dyDescent="0.3">
      <c r="A162" s="137" t="s">
        <v>738</v>
      </c>
    </row>
    <row r="163" spans="1:1" x14ac:dyDescent="0.3">
      <c r="A163" s="137" t="s">
        <v>739</v>
      </c>
    </row>
    <row r="164" spans="1:1" x14ac:dyDescent="0.3">
      <c r="A164" s="137" t="s">
        <v>740</v>
      </c>
    </row>
    <row r="165" spans="1:1" x14ac:dyDescent="0.3">
      <c r="A165" s="137" t="s">
        <v>741</v>
      </c>
    </row>
    <row r="166" spans="1:1" x14ac:dyDescent="0.3">
      <c r="A166" s="137" t="s">
        <v>742</v>
      </c>
    </row>
    <row r="167" spans="1:1" x14ac:dyDescent="0.3">
      <c r="A167" s="137" t="s">
        <v>743</v>
      </c>
    </row>
    <row r="168" spans="1:1" x14ac:dyDescent="0.3">
      <c r="A168" s="137" t="s">
        <v>744</v>
      </c>
    </row>
    <row r="169" spans="1:1" x14ac:dyDescent="0.3">
      <c r="A169" t="s">
        <v>745</v>
      </c>
    </row>
    <row r="170" spans="1:1" x14ac:dyDescent="0.3">
      <c r="A170" t="s">
        <v>746</v>
      </c>
    </row>
    <row r="171" spans="1:1" x14ac:dyDescent="0.3">
      <c r="A171" t="s">
        <v>761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1"/>
  <sheetViews>
    <sheetView topLeftCell="A9" workbookViewId="0">
      <selection activeCell="A12" sqref="A12"/>
    </sheetView>
  </sheetViews>
  <sheetFormatPr defaultRowHeight="14.4" x14ac:dyDescent="0.3"/>
  <sheetData>
    <row r="1" spans="1:1" x14ac:dyDescent="0.3">
      <c r="A1" t="str">
        <f>CONCATENATE("/*",allprides!A2,"*/ ",allprides!F2,allprides!G2,allprides!H2,allprides!L2,allprides!M2,allprides!N2," 1;")</f>
        <v>/*ELI-583*/ 011000 1;</v>
      </c>
    </row>
    <row r="2" spans="1:1" x14ac:dyDescent="0.3">
      <c r="A2" t="str">
        <f>CONCATENATE("/*",allprides!A3,"*/ ",allprides!F3,allprides!G3,allprides!H3,allprides!L3,allprides!M3,allprides!N3," 1;")</f>
        <v>/*ELI-584*/ 011111 1;</v>
      </c>
    </row>
    <row r="3" spans="1:1" x14ac:dyDescent="0.3">
      <c r="A3" t="str">
        <f>CONCATENATE("/*",allprides!A4,"*/ ",allprides!F4,allprides!G4,allprides!H4,allprides!L4,allprides!M4,allprides!N4," 1;")</f>
        <v>/*ELI-585*/ 011111 1;</v>
      </c>
    </row>
    <row r="4" spans="1:1" x14ac:dyDescent="0.3">
      <c r="A4" t="str">
        <f>CONCATENATE("/*",allprides!A5,"*/ ",allprides!F5,allprides!G5,allprides!H5,allprides!L5,allprides!M5,allprides!N5," 1;")</f>
        <v>/*ELI-586*/ 011111 1;</v>
      </c>
    </row>
    <row r="5" spans="1:1" x14ac:dyDescent="0.3">
      <c r="A5" t="str">
        <f>CONCATENATE("/*",allprides!A6,"*/ ",allprides!F6,allprides!G6,allprides!H6,allprides!L6,allprides!M6,allprides!N6," 1;")</f>
        <v>/*ELI-587*/ 011111 1;</v>
      </c>
    </row>
    <row r="6" spans="1:1" x14ac:dyDescent="0.3">
      <c r="A6" t="str">
        <f>CONCATENATE("/*",allprides!A7,"*/ ",allprides!F7,allprides!G7,allprides!H7,allprides!L7,allprides!M7,allprides!N7," 1;")</f>
        <v>/*ELI-590*/ 011111 1;</v>
      </c>
    </row>
    <row r="7" spans="1:1" x14ac:dyDescent="0.3">
      <c r="A7" t="str">
        <f>CONCATENATE("/*",allprides!A8,"*/ ",allprides!F8,allprides!G8,allprides!H8,allprides!L8,allprides!M8,allprides!N8," 1;")</f>
        <v>/*ELI-592*/ 011111 1;</v>
      </c>
    </row>
    <row r="8" spans="1:1" x14ac:dyDescent="0.3">
      <c r="A8" t="str">
        <f>CONCATENATE("/*",allprides!A9,"*/ ",allprides!F9,allprides!G9,allprides!H9,allprides!L9,allprides!M9,allprides!N9," 1;")</f>
        <v>/*ELI-593*/ 011111 1;</v>
      </c>
    </row>
    <row r="9" spans="1:1" x14ac:dyDescent="0.3">
      <c r="A9" t="str">
        <f>CONCATENATE("/*",allprides!A10,"*/ ",allprides!F10,allprides!G10,allprides!H10,allprides!L10,allprides!M10,allprides!N10," 1;")</f>
        <v>/*ELI-594*/ 011111 1;</v>
      </c>
    </row>
    <row r="10" spans="1:1" x14ac:dyDescent="0.3">
      <c r="A10" t="str">
        <f>CONCATENATE("/*",allprides!A11,"*/ ",allprides!F11,allprides!G11,allprides!H11,allprides!L11,allprides!M11,allprides!N11," 1;")</f>
        <v>/*ELI-595*/ 011111 1;</v>
      </c>
    </row>
    <row r="11" spans="1:1" x14ac:dyDescent="0.3">
      <c r="A11" t="str">
        <f>CONCATENATE("/*",allprides!A12,"*/ ",allprides!F12,allprides!G12,allprides!H12,allprides!L12,allprides!M12,allprides!N12," 1;")</f>
        <v>/*ELI-243*/ 111111 1;</v>
      </c>
    </row>
    <row r="12" spans="1:1" x14ac:dyDescent="0.3">
      <c r="A12" t="str">
        <f>CONCATENATE("/*",allprides!A13,"*/ ",allprides!F13,allprides!G13,allprides!H13,allprides!L13,allprides!M13,allprides!N13," 1;")</f>
        <v>/*ELI-242*/ 111011 1;</v>
      </c>
    </row>
    <row r="13" spans="1:1" x14ac:dyDescent="0.3">
      <c r="A13" t="str">
        <f>CONCATENATE("/*",allprides!A14,"*/ ",allprides!F14,allprides!G14,allprides!H14,allprides!L14,allprides!M14,allprides!N14," 1;")</f>
        <v>/*ELI-224*/ 011111 1;</v>
      </c>
    </row>
    <row r="14" spans="1:1" x14ac:dyDescent="0.3">
      <c r="A14" t="str">
        <f>CONCATENATE("/*",allprides!A15,"*/ ",allprides!F15,allprides!G15,allprides!H15,allprides!L15,allprides!M15,allprides!N15," 1;")</f>
        <v>/*ELI-245*/ 011111 1;</v>
      </c>
    </row>
    <row r="15" spans="1:1" x14ac:dyDescent="0.3">
      <c r="A15" t="str">
        <f>CONCATENATE("/*",allprides!A16,"*/ ",allprides!F16,allprides!G16,allprides!H16,allprides!L16,allprides!M16,allprides!N16," 1;")</f>
        <v>/*ELI-223*/ 011111 1;</v>
      </c>
    </row>
    <row r="16" spans="1:1" x14ac:dyDescent="0.3">
      <c r="A16" t="str">
        <f>CONCATENATE("/*",allprides!A17,"*/ ",allprides!F17,allprides!G17,allprides!H17,allprides!L17,allprides!M17,allprides!N17," 1;")</f>
        <v>/*ELI-220*/ 011111 1;</v>
      </c>
    </row>
    <row r="17" spans="1:1" x14ac:dyDescent="0.3">
      <c r="A17" t="str">
        <f>CONCATENATE("/*",allprides!A18,"*/ ",allprides!F18,allprides!G18,allprides!H18,allprides!L18,allprides!M18,allprides!N18," 1;")</f>
        <v>/*ELI-218*/ 011111 1;</v>
      </c>
    </row>
    <row r="18" spans="1:1" x14ac:dyDescent="0.3">
      <c r="A18" t="str">
        <f>CONCATENATE("/*",allprides!A19,"*/ ",allprides!F19,allprides!G19,allprides!H19,allprides!L19,allprides!M19,allprides!N19," 1;")</f>
        <v>/*ELI-219*/ 011111 1;</v>
      </c>
    </row>
    <row r="19" spans="1:1" x14ac:dyDescent="0.3">
      <c r="A19" t="str">
        <f>CONCATENATE("/*",allprides!A20,"*/ ",allprides!F20,allprides!G20,allprides!H20,allprides!L20,allprides!M20,allprides!N20," 1;")</f>
        <v>/*ELI-765*/ 010111 1;</v>
      </c>
    </row>
    <row r="20" spans="1:1" x14ac:dyDescent="0.3">
      <c r="A20" t="str">
        <f>CONCATENATE("/*",allprides!A21,"*/ ",allprides!F21,allprides!G21,allprides!H21,allprides!L21,allprides!M21,allprides!N21," 1;")</f>
        <v>/*ELI-766*/ 010111 1;</v>
      </c>
    </row>
    <row r="21" spans="1:1" x14ac:dyDescent="0.3">
      <c r="A21" t="str">
        <f>CONCATENATE("/*",allprides!A22,"*/ ",allprides!F22,allprides!G22,allprides!H22,allprides!L22,allprides!M22,allprides!N22," 1;")</f>
        <v>/*ELI-767*/ 010111 1;</v>
      </c>
    </row>
    <row r="22" spans="1:1" x14ac:dyDescent="0.3">
      <c r="A22" t="str">
        <f>CONCATENATE("/*",allprides!A23,"*/ ",allprides!F23,allprides!G23,allprides!H23,allprides!L23,allprides!M23,allprides!N23," 1;")</f>
        <v>/*ELI-768*/ 010111 1;</v>
      </c>
    </row>
    <row r="23" spans="1:1" x14ac:dyDescent="0.3">
      <c r="A23" t="str">
        <f>CONCATENATE("/*",allprides!A24,"*/ ",allprides!F24,allprides!G24,allprides!H24,allprides!L24,allprides!M24,allprides!N24," 1;")</f>
        <v>/*ELI-769*/ 010111 1;</v>
      </c>
    </row>
    <row r="24" spans="1:1" x14ac:dyDescent="0.3">
      <c r="A24" t="str">
        <f>CONCATENATE("/*",allprides!A25,"*/ ",allprides!F25,allprides!G25,allprides!H25,allprides!L25,allprides!M25,allprides!N25," 1;")</f>
        <v>/*ELI-414*/ 101111 1;</v>
      </c>
    </row>
    <row r="25" spans="1:1" x14ac:dyDescent="0.3">
      <c r="A25" t="str">
        <f>CONCATENATE("/*",allprides!A26,"*/ ",allprides!F26,allprides!G26,allprides!H26,allprides!L26,allprides!M26,allprides!N26," 1;")</f>
        <v>/*ELI-493*/ 100111 1;</v>
      </c>
    </row>
    <row r="26" spans="1:1" x14ac:dyDescent="0.3">
      <c r="A26" t="str">
        <f>CONCATENATE("/*",allprides!A27,"*/ ",allprides!F27,allprides!G27,allprides!H27,allprides!L27,allprides!M27,allprides!N27," 1;")</f>
        <v>/*ELI-494*/ 101111 1;</v>
      </c>
    </row>
    <row r="27" spans="1:1" x14ac:dyDescent="0.3">
      <c r="A27" t="str">
        <f>CONCATENATE("/*",allprides!A28,"*/ ",allprides!F28,allprides!G28,allprides!H28,allprides!L28,allprides!M28,allprides!N28," 1;")</f>
        <v>/*ELI-524*/ 101111 1;</v>
      </c>
    </row>
    <row r="28" spans="1:1" x14ac:dyDescent="0.3">
      <c r="A28" t="str">
        <f>CONCATENATE("/*",allprides!A29,"*/ ",allprides!F29,allprides!G29,allprides!H29,allprides!L29,allprides!M29,allprides!N29," 1;")</f>
        <v>/*ELI-598*/ 101111 1;</v>
      </c>
    </row>
    <row r="29" spans="1:1" x14ac:dyDescent="0.3">
      <c r="A29" t="str">
        <f>CONCATENATE("/*",allprides!A30,"*/ ",allprides!F30,allprides!G30,allprides!H30,allprides!L30,allprides!M30,allprides!N30," 1;")</f>
        <v>/*ELI-599*/ 101111 1;</v>
      </c>
    </row>
    <row r="30" spans="1:1" x14ac:dyDescent="0.3">
      <c r="A30" t="str">
        <f>CONCATENATE("/*",allprides!A31,"*/ ",allprides!F31,allprides!G31,allprides!H31,allprides!L31,allprides!M31,allprides!N31," 1;")</f>
        <v>/*ELI-236*/ 111111 1;</v>
      </c>
    </row>
    <row r="31" spans="1:1" x14ac:dyDescent="0.3">
      <c r="A31" t="str">
        <f>CONCATENATE("/*",allprides!A32,"*/ ",allprides!F32,allprides!G32,allprides!H32,allprides!L32,allprides!M32,allprides!N32," 1;")</f>
        <v>/*ELI-235*/ 111111 1;</v>
      </c>
    </row>
    <row r="32" spans="1:1" x14ac:dyDescent="0.3">
      <c r="A32" t="str">
        <f>CONCATENATE("/*",allprides!A33,"*/ ",allprides!F33,allprides!G33,allprides!H33,allprides!L33,allprides!M33,allprides!N33," 1;")</f>
        <v>/*ELI-604*/ 111111 1;</v>
      </c>
    </row>
    <row r="33" spans="1:1" x14ac:dyDescent="0.3">
      <c r="A33" t="str">
        <f>CONCATENATE("/*",allprides!A34,"*/ ",allprides!F34,allprides!G34,allprides!H34,allprides!L34,allprides!M34,allprides!N34," 1;")</f>
        <v>/*ELI-606*/ 111111 1;</v>
      </c>
    </row>
    <row r="34" spans="1:1" x14ac:dyDescent="0.3">
      <c r="A34" t="str">
        <f>CONCATENATE("/*",allprides!A35,"*/ ",allprides!F35,allprides!G35,allprides!H35,allprides!L35,allprides!M35,allprides!N35," 1;")</f>
        <v>/*ELI-607*/ 111111 1;</v>
      </c>
    </row>
    <row r="35" spans="1:1" x14ac:dyDescent="0.3">
      <c r="A35" t="str">
        <f>CONCATENATE("/*",allprides!A36,"*/ ",allprides!F36,allprides!G36,allprides!H36,allprides!L36,allprides!M36,allprides!N36," 1;")</f>
        <v>/*ELI-143*/ 001111 1;</v>
      </c>
    </row>
    <row r="36" spans="1:1" x14ac:dyDescent="0.3">
      <c r="A36" t="str">
        <f>CONCATENATE("/*",allprides!A37,"*/ ",allprides!F37,allprides!G37,allprides!H37,allprides!L37,allprides!M37,allprides!N37," 1;")</f>
        <v>/*ELI-496*/ 001111 1;</v>
      </c>
    </row>
    <row r="37" spans="1:1" x14ac:dyDescent="0.3">
      <c r="A37" t="str">
        <f>CONCATENATE("/*",allprides!A38,"*/ ",allprides!F38,allprides!G38,allprides!H38,allprides!L38,allprides!M38,allprides!N38," 1;")</f>
        <v>/*ELI-703*/ 001111 1;</v>
      </c>
    </row>
    <row r="38" spans="1:1" x14ac:dyDescent="0.3">
      <c r="A38" t="str">
        <f>CONCATENATE("/*",allprides!A39,"*/ ",allprides!F39,allprides!G39,allprides!H39,allprides!L39,allprides!M39,allprides!N39," 1;")</f>
        <v>/*ELI-173*/ 000111 1;</v>
      </c>
    </row>
    <row r="39" spans="1:1" x14ac:dyDescent="0.3">
      <c r="A39" t="str">
        <f>CONCATENATE("/*",allprides!A40,"*/ ",allprides!F40,allprides!G40,allprides!H40,allprides!L40,allprides!M40,allprides!N40," 1;")</f>
        <v>/*ELI-174*/ 001101 1;</v>
      </c>
    </row>
    <row r="40" spans="1:1" x14ac:dyDescent="0.3">
      <c r="A40" t="str">
        <f>CONCATENATE("/*",allprides!A41,"*/ ",allprides!F41,allprides!G41,allprides!H41,allprides!L41,allprides!M41,allprides!N41," 1;")</f>
        <v>/*ELI-247*/ 001111 1;</v>
      </c>
    </row>
    <row r="41" spans="1:1" x14ac:dyDescent="0.3">
      <c r="A41" t="str">
        <f>CONCATENATE("/*",allprides!A42,"*/ ",allprides!F42,allprides!G42,allprides!H42,allprides!L42,allprides!M42,allprides!N42," 1;")</f>
        <v>/*ELI-248*/ 011111 1;</v>
      </c>
    </row>
    <row r="42" spans="1:1" x14ac:dyDescent="0.3">
      <c r="A42" t="str">
        <f>CONCATENATE("/*",allprides!A43,"*/ ",allprides!F43,allprides!G43,allprides!H43,allprides!L43,allprides!M43,allprides!N43," 1;")</f>
        <v>/*ELI-249*/ 000000 1;</v>
      </c>
    </row>
    <row r="43" spans="1:1" x14ac:dyDescent="0.3">
      <c r="A43" t="str">
        <f>CONCATENATE("/*",allprides!A44,"*/ ",allprides!F44,allprides!G44,allprides!H44,allprides!L44,allprides!M44,allprides!N44," 1;")</f>
        <v>/*ELI-250*/ 001111 1;</v>
      </c>
    </row>
    <row r="44" spans="1:1" x14ac:dyDescent="0.3">
      <c r="A44" t="str">
        <f>CONCATENATE("/*",allprides!A45,"*/ ",allprides!F45,allprides!G45,allprides!H45,allprides!L45,allprides!M45,allprides!N45," 1;")</f>
        <v>/*ELI-462*/ 001011 1;</v>
      </c>
    </row>
    <row r="45" spans="1:1" x14ac:dyDescent="0.3">
      <c r="A45" t="str">
        <f>CONCATENATE("/*",allprides!A46,"*/ ",allprides!F46,allprides!G46,allprides!H46,allprides!L46,allprides!M46,allprides!N46," 1;")</f>
        <v>/*ELI-378*/ 001111 1;</v>
      </c>
    </row>
    <row r="46" spans="1:1" x14ac:dyDescent="0.3">
      <c r="A46" t="str">
        <f>CONCATENATE("/*",allprides!A47,"*/ ",allprides!F47,allprides!G47,allprides!H47,allprides!L47,allprides!M47,allprides!N47," 1;")</f>
        <v>/*ELI-463*/ 000011 1;</v>
      </c>
    </row>
    <row r="47" spans="1:1" x14ac:dyDescent="0.3">
      <c r="A47" t="str">
        <f>CONCATENATE("/*",allprides!A48,"*/ ",allprides!F48,allprides!G48,allprides!H48,allprides!L48,allprides!M48,allprides!N48," 1;")</f>
        <v>/*ELI-464*/ 010101 1;</v>
      </c>
    </row>
    <row r="48" spans="1:1" x14ac:dyDescent="0.3">
      <c r="A48" t="str">
        <f>CONCATENATE("/*",allprides!A49,"*/ ",allprides!F49,allprides!G49,allprides!H49,allprides!L49,allprides!M49,allprides!N49," 1;")</f>
        <v>/*ELI-553*/ 000101 1;</v>
      </c>
    </row>
    <row r="49" spans="1:1" x14ac:dyDescent="0.3">
      <c r="A49" t="str">
        <f>CONCATENATE("/*",allprides!A50,"*/ ",allprides!F50,allprides!G50,allprides!H50,allprides!L50,allprides!M50,allprides!N50," 1;")</f>
        <v>/*ELI-589*/ 010101 1;</v>
      </c>
    </row>
    <row r="50" spans="1:1" x14ac:dyDescent="0.3">
      <c r="A50" t="str">
        <f>CONCATENATE("/*",allprides!A51,"*/ ",allprides!F51,allprides!G51,allprides!H51,allprides!L51,allprides!M51,allprides!N51," 1;")</f>
        <v>/*ELI-713*/ 000111 1;</v>
      </c>
    </row>
    <row r="51" spans="1:1" x14ac:dyDescent="0.3">
      <c r="A51" t="str">
        <f>CONCATENATE("/*",allprides!A52,"*/ ",allprides!F52,allprides!G52,allprides!H52,allprides!L52,allprides!M52,allprides!N52," 1;")</f>
        <v>/*ELI-714*/ 000111 1;</v>
      </c>
    </row>
    <row r="52" spans="1:1" x14ac:dyDescent="0.3">
      <c r="A52" t="str">
        <f>CONCATENATE("/*",allprides!A53,"*/ ",allprides!F53,allprides!G53,allprides!H53,allprides!L53,allprides!M53,allprides!N53," 1;")</f>
        <v>/*ELI-715*/ 000111 1;</v>
      </c>
    </row>
    <row r="53" spans="1:1" x14ac:dyDescent="0.3">
      <c r="A53" t="str">
        <f>CONCATENATE("/*",allprides!A54,"*/ ",allprides!F54,allprides!G54,allprides!H54,allprides!L54,allprides!M54,allprides!N54," 1;")</f>
        <v>/*ELI-716*/ 000111 1;</v>
      </c>
    </row>
    <row r="54" spans="1:1" x14ac:dyDescent="0.3">
      <c r="A54" t="str">
        <f>CONCATENATE("/*",allprides!A55,"*/ ",allprides!F55,allprides!G55,allprides!H55,allprides!L55,allprides!M55,allprides!N55," 1;")</f>
        <v>/*ELI-717*/ 000111 1;</v>
      </c>
    </row>
    <row r="55" spans="1:1" x14ac:dyDescent="0.3">
      <c r="A55" t="str">
        <f>CONCATENATE("/*",allprides!A56,"*/ ",allprides!F56,allprides!G56,allprides!H56,allprides!L56,allprides!M56,allprides!N56," 1;")</f>
        <v>/*ELI-718*/ 000111 1;</v>
      </c>
    </row>
    <row r="56" spans="1:1" x14ac:dyDescent="0.3">
      <c r="A56" t="str">
        <f>CONCATENATE("/*",allprides!A57,"*/ ",allprides!F57,allprides!G57,allprides!H57,allprides!L57,allprides!M57,allprides!N57," 1;")</f>
        <v>/*ELI-719*/ 000111 1;</v>
      </c>
    </row>
    <row r="57" spans="1:1" x14ac:dyDescent="0.3">
      <c r="A57" t="str">
        <f>CONCATENATE("/*",allprides!A58,"*/ ",allprides!F58,allprides!G58,allprides!H58,allprides!L58,allprides!M58,allprides!N58," 1;")</f>
        <v>/*ELI-698*/ 000010 1;</v>
      </c>
    </row>
    <row r="58" spans="1:1" x14ac:dyDescent="0.3">
      <c r="A58" t="str">
        <f>CONCATENATE("/*",allprides!A59,"*/ ",allprides!F59,allprides!G59,allprides!H59,allprides!L59,allprides!M59,allprides!N59," 1;")</f>
        <v>/*ELI-258*/ 010111 1;</v>
      </c>
    </row>
    <row r="59" spans="1:1" x14ac:dyDescent="0.3">
      <c r="A59" t="str">
        <f>CONCATENATE("/*",allprides!A60,"*/ ",allprides!F60,allprides!G60,allprides!H60,allprides!L60,allprides!M60,allprides!N60," 1;")</f>
        <v>/*ELI-256*/ 000011 1;</v>
      </c>
    </row>
    <row r="60" spans="1:1" x14ac:dyDescent="0.3">
      <c r="A60" t="str">
        <f>CONCATENATE("/*",allprides!A61,"*/ ",allprides!F61,allprides!G61,allprides!H61,allprides!L61,allprides!M61,allprides!N61," 1;")</f>
        <v>/*ELI-608*/ 000010 1;</v>
      </c>
    </row>
    <row r="61" spans="1:1" x14ac:dyDescent="0.3">
      <c r="A61" t="str">
        <f>CONCATENATE("/*",allprides!A62,"*/ ",allprides!F62,allprides!G62,allprides!H62,allprides!L62,allprides!M62,allprides!N62," 1;")</f>
        <v>/*ELI-609*/ 000011 1;</v>
      </c>
    </row>
    <row r="62" spans="1:1" x14ac:dyDescent="0.3">
      <c r="A62" t="str">
        <f>CONCATENATE("/*",allprides!A63,"*/ ",allprides!F63,allprides!G63,allprides!H63,allprides!L63,allprides!M63,allprides!N63," 1;")</f>
        <v>/*ELI-611*/ 000011 1;</v>
      </c>
    </row>
    <row r="63" spans="1:1" x14ac:dyDescent="0.3">
      <c r="A63" t="str">
        <f>CONCATENATE("/*",allprides!A64,"*/ ",allprides!F64,allprides!G64,allprides!H64,allprides!L64,allprides!M64,allprides!N64," 1;")</f>
        <v>/*ELI-800*/ 000011 1;</v>
      </c>
    </row>
    <row r="64" spans="1:1" x14ac:dyDescent="0.3">
      <c r="A64" t="str">
        <f>CONCATENATE("/*",allprides!A65,"*/ ",allprides!F65,allprides!G65,allprides!H65,allprides!L65,allprides!M65,allprides!N65," 1;")</f>
        <v>/*ELI-204*/ 001000 1;</v>
      </c>
    </row>
    <row r="65" spans="1:1" x14ac:dyDescent="0.3">
      <c r="A65" t="str">
        <f>CONCATENATE("/*",allprides!A66,"*/ ",allprides!F66,allprides!G66,allprides!H66,allprides!L66,allprides!M66,allprides!N66," 1;")</f>
        <v>/*ELI-481*/ 000010 1;</v>
      </c>
    </row>
    <row r="66" spans="1:1" x14ac:dyDescent="0.3">
      <c r="A66" t="str">
        <f>CONCATENATE("/*",allprides!A67,"*/ ",allprides!F67,allprides!G67,allprides!H67,allprides!L67,allprides!M67,allprides!N67," 1;")</f>
        <v>/*ELI-480*/ 001010 1;</v>
      </c>
    </row>
    <row r="67" spans="1:1" x14ac:dyDescent="0.3">
      <c r="A67" t="str">
        <f>CONCATENATE("/*",allprides!A68,"*/ ",allprides!F68,allprides!G68,allprides!H68,allprides!L68,allprides!M68,allprides!N68," 1;")</f>
        <v>/*ELI-482*/ 000010 1;</v>
      </c>
    </row>
    <row r="68" spans="1:1" x14ac:dyDescent="0.3">
      <c r="A68" t="str">
        <f>CONCATENATE("/*",allprides!A69,"*/ ",allprides!F69,allprides!G69,allprides!H69,allprides!L69,allprides!M69,allprides!N69," 1;")</f>
        <v>/*ELI-470*/ 000010 1;</v>
      </c>
    </row>
    <row r="69" spans="1:1" x14ac:dyDescent="0.3">
      <c r="A69" t="str">
        <f>CONCATENATE("/*",allprides!A70,"*/ ",allprides!F70,allprides!G70,allprides!H70,allprides!L70,allprides!M70,allprides!N70," 1;")</f>
        <v>/*ELI-438*/ 001000 1;</v>
      </c>
    </row>
    <row r="70" spans="1:1" x14ac:dyDescent="0.3">
      <c r="A70" t="str">
        <f>CONCATENATE("/*",allprides!A71,"*/ ",allprides!F71,allprides!G71,allprides!H71,allprides!L71,allprides!M71,allprides!N71," 1;")</f>
        <v>/*ELI-440*/ 001000 1;</v>
      </c>
    </row>
    <row r="71" spans="1:1" x14ac:dyDescent="0.3">
      <c r="A71" t="str">
        <f>CONCATENATE("/*",allprides!A72,"*/ ",allprides!F72,allprides!G72,allprides!H72,allprides!L72,allprides!M72,allprides!N72," 1;")</f>
        <v>/*ELI-197*/ 000001 1;</v>
      </c>
    </row>
    <row r="72" spans="1:1" x14ac:dyDescent="0.3">
      <c r="A72" t="str">
        <f>CONCATENATE("/*",allprides!A73,"*/ ",allprides!F73,allprides!G73,allprides!H73,allprides!L73,allprides!M73,allprides!N73," 1;")</f>
        <v>/*ELI-198*/ 000001 1;</v>
      </c>
    </row>
    <row r="73" spans="1:1" x14ac:dyDescent="0.3">
      <c r="A73" t="str">
        <f>CONCATENATE("/*",allprides!A74,"*/ ",allprides!F74,allprides!G74,allprides!H74,allprides!L74,allprides!M74,allprides!N74," 1;")</f>
        <v>/*ELI-230*/ 000101 1;</v>
      </c>
    </row>
    <row r="74" spans="1:1" x14ac:dyDescent="0.3">
      <c r="A74" t="str">
        <f>CONCATENATE("/*",allprides!A75,"*/ ",allprides!F75,allprides!G75,allprides!H75,allprides!L75,allprides!M75,allprides!N75," 1;")</f>
        <v>/*ELI-231*/ 000001 1;</v>
      </c>
    </row>
    <row r="75" spans="1:1" x14ac:dyDescent="0.3">
      <c r="A75" t="str">
        <f>CONCATENATE("/*",allprides!A76,"*/ ",allprides!F76,allprides!G76,allprides!H76,allprides!L76,allprides!M76,allprides!N76," 1;")</f>
        <v>/*ELI-232*/ 000000 1;</v>
      </c>
    </row>
    <row r="76" spans="1:1" x14ac:dyDescent="0.3">
      <c r="A76" t="str">
        <f>CONCATENATE("/*",allprides!A77,"*/ ",allprides!F77,allprides!G77,allprides!H77,allprides!L77,allprides!M77,allprides!N77," 1;")</f>
        <v>/*ELI-424*/ 000001 1;</v>
      </c>
    </row>
    <row r="77" spans="1:1" x14ac:dyDescent="0.3">
      <c r="A77" t="str">
        <f>CONCATENATE("/*",allprides!A78,"*/ ",allprides!F78,allprides!G78,allprides!H78,allprides!L78,allprides!M78,allprides!N78," 1;")</f>
        <v>/*ELI-425*/ 000001 1;</v>
      </c>
    </row>
    <row r="78" spans="1:1" x14ac:dyDescent="0.3">
      <c r="A78" t="str">
        <f>CONCATENATE("/*",allprides!A79,"*/ ",allprides!F79,allprides!G79,allprides!H79,allprides!L79,allprides!M79,allprides!N79," 1;")</f>
        <v>/*ELI-612*/ 000001 1;</v>
      </c>
    </row>
    <row r="79" spans="1:1" x14ac:dyDescent="0.3">
      <c r="A79" t="str">
        <f>CONCATENATE("/*",allprides!A80,"*/ ",allprides!F80,allprides!G80,allprides!H80,allprides!L80,allprides!M80,allprides!N80," 1;")</f>
        <v>/*ELI-613*/ 000001 1;</v>
      </c>
    </row>
    <row r="80" spans="1:1" x14ac:dyDescent="0.3">
      <c r="A80" t="str">
        <f>CONCATENATE("/*",allprides!A81,"*/ ",allprides!F81,allprides!G81,allprides!H81,allprides!L81,allprides!M81,allprides!N81," 1;")</f>
        <v>/*ELI-615*/ 000001 1;</v>
      </c>
    </row>
    <row r="81" spans="1:1" x14ac:dyDescent="0.3">
      <c r="A81" t="str">
        <f>CONCATENATE("/*",allprides!A82,"*/ ",allprides!F82,allprides!G82,allprides!H82,allprides!L82,allprides!M82,allprides!N82," 1;")</f>
        <v>/*ELI-616*/ 000001 1;</v>
      </c>
    </row>
    <row r="82" spans="1:1" x14ac:dyDescent="0.3">
      <c r="A82" t="str">
        <f>CONCATENATE("/*",allprides!A83,"*/ ",allprides!F83,allprides!G83,allprides!H83,allprides!L83,allprides!M83,allprides!N83," 1;")</f>
        <v>/*ELI-617*/ 000001 1;</v>
      </c>
    </row>
    <row r="83" spans="1:1" x14ac:dyDescent="0.3">
      <c r="A83" t="str">
        <f>CONCATENATE("/*",allprides!A84,"*/ ",allprides!F84,allprides!G84,allprides!H84,allprides!L84,allprides!M84,allprides!N84," 1;")</f>
        <v>/*ELI-618*/ 000001 1;</v>
      </c>
    </row>
    <row r="84" spans="1:1" x14ac:dyDescent="0.3">
      <c r="A84" t="str">
        <f>CONCATENATE("/*",allprides!A85,"*/ ",allprides!F85,allprides!G85,allprides!H85,allprides!L85,allprides!M85,allprides!N85," 1;")</f>
        <v>/*ELI-735*/ 000001 1;</v>
      </c>
    </row>
    <row r="85" spans="1:1" x14ac:dyDescent="0.3">
      <c r="A85" t="str">
        <f>CONCATENATE("/*",allprides!A86,"*/ ",allprides!F86,allprides!G86,allprides!H86,allprides!L86,allprides!M86,allprides!N86," 1;")</f>
        <v>/*ELI-736*/ 000001 1;</v>
      </c>
    </row>
    <row r="86" spans="1:1" x14ac:dyDescent="0.3">
      <c r="A86" t="str">
        <f>CONCATENATE("/*",allprides!A87,"*/ ",allprides!F87,allprides!G87,allprides!H87,allprides!L87,allprides!M87,allprides!N87," 1;")</f>
        <v>/*ELI-737*/ 000001 1;</v>
      </c>
    </row>
    <row r="87" spans="1:1" x14ac:dyDescent="0.3">
      <c r="A87" t="str">
        <f>CONCATENATE("/*",allprides!A88,"*/ ",allprides!F88,allprides!G88,allprides!H88,allprides!L88,allprides!M88,allprides!N88," 1;")</f>
        <v>/*ELI-738*/ 000100 1;</v>
      </c>
    </row>
    <row r="88" spans="1:1" x14ac:dyDescent="0.3">
      <c r="A88" t="str">
        <f>CONCATENATE("/*",allprides!A89,"*/ ",allprides!F89,allprides!G89,allprides!H89,allprides!L89,allprides!M89,allprides!N89," 1;")</f>
        <v>/*ELI-739*/ 000100 1;</v>
      </c>
    </row>
    <row r="89" spans="1:1" x14ac:dyDescent="0.3">
      <c r="A89" t="str">
        <f>CONCATENATE("/*",allprides!A90,"*/ ",allprides!F90,allprides!G90,allprides!H90,allprides!L90,allprides!M90,allprides!N90," 1;")</f>
        <v>/*ELI-619*/ 000000 1;</v>
      </c>
    </row>
    <row r="90" spans="1:1" x14ac:dyDescent="0.3">
      <c r="A90" t="str">
        <f>CONCATENATE("/*",allprides!A91,"*/ ",allprides!F91,allprides!G91,allprides!H91,allprides!L91,allprides!M91,allprides!N91," 1;")</f>
        <v>/*ELI-154*/ 001110 1;</v>
      </c>
    </row>
    <row r="91" spans="1:1" x14ac:dyDescent="0.3">
      <c r="A91" t="str">
        <f>CONCATENATE("/*",allprides!A92,"*/ ",allprides!F92,allprides!G92,allprides!H92,allprides!L92,allprides!M92,allprides!N92," 1;")</f>
        <v>/*ELI-155*/ 011110 1;</v>
      </c>
    </row>
    <row r="92" spans="1:1" x14ac:dyDescent="0.3">
      <c r="A92" t="str">
        <f>CONCATENATE("/*",allprides!A93,"*/ ",allprides!F93,allprides!G93,allprides!H93,allprides!L93,allprides!M93,allprides!N93," 1;")</f>
        <v>/*ELI-369*/ 000110 1;</v>
      </c>
    </row>
    <row r="93" spans="1:1" x14ac:dyDescent="0.3">
      <c r="A93" t="str">
        <f>CONCATENATE("/*",allprides!A94,"*/ ",allprides!F94,allprides!G94,allprides!H94,allprides!L94,allprides!M94,allprides!N94," 1;")</f>
        <v>/*ELI-159*/ 101111 1;</v>
      </c>
    </row>
    <row r="94" spans="1:1" x14ac:dyDescent="0.3">
      <c r="A94" t="str">
        <f>CONCATENATE("/*",allprides!A95,"*/ ",allprides!F95,allprides!G95,allprides!H95,allprides!L95,allprides!M95,allprides!N95," 1;")</f>
        <v>/*ELI-720*/ 001000 1;</v>
      </c>
    </row>
    <row r="95" spans="1:1" x14ac:dyDescent="0.3">
      <c r="A95" t="str">
        <f>CONCATENATE("/*",allprides!A96,"*/ ",allprides!F96,allprides!G96,allprides!H96,allprides!L96,allprides!M96,allprides!N96," 1;")</f>
        <v>/*ELI-750*/ 000010 1;</v>
      </c>
    </row>
    <row r="96" spans="1:1" x14ac:dyDescent="0.3">
      <c r="A96" t="str">
        <f>CONCATENATE("/*",allprides!A97,"*/ ",allprides!F97,allprides!G97,allprides!H97,allprides!L97,allprides!M97,allprides!N97," 1;")</f>
        <v>/*ELI-751*/ 000010 1;</v>
      </c>
    </row>
    <row r="97" spans="1:1" x14ac:dyDescent="0.3">
      <c r="A97" t="str">
        <f>CONCATENATE("/*",allprides!A98,"*/ ",allprides!F98,allprides!G98,allprides!H98,allprides!L98,allprides!M98,allprides!N98," 1;")</f>
        <v>/*ELI-124*/ 001001 1;</v>
      </c>
    </row>
    <row r="98" spans="1:1" x14ac:dyDescent="0.3">
      <c r="A98" t="str">
        <f>CONCATENATE("/*",allprides!A99,"*/ ",allprides!F99,allprides!G99,allprides!H99,allprides!L99,allprides!M99,allprides!N99," 1;")</f>
        <v>/*ELI-125*/ 001110 1;</v>
      </c>
    </row>
    <row r="99" spans="1:1" x14ac:dyDescent="0.3">
      <c r="A99" t="str">
        <f>CONCATENATE("/*",allprides!A100,"*/ ",allprides!F100,allprides!G100,allprides!H100,allprides!L100,allprides!M100,allprides!N100," 1;")</f>
        <v>/*ELI-126*/ 101111 1;</v>
      </c>
    </row>
    <row r="100" spans="1:1" x14ac:dyDescent="0.3">
      <c r="A100" t="str">
        <f>CONCATENATE("/*",allprides!A101,"*/ ",allprides!F101,allprides!G101,allprides!H101,allprides!L101,allprides!M101,allprides!N101," 1;")</f>
        <v>/*ELI-127*/ 001111 1;</v>
      </c>
    </row>
    <row r="101" spans="1:1" x14ac:dyDescent="0.3">
      <c r="A101" t="str">
        <f>CONCATENATE("/*",allprides!A102,"*/ ",allprides!F102,allprides!G102,allprides!H102,allprides!L102,allprides!M102,allprides!N102," 1;")</f>
        <v>/*ELI-138*/ 001111 1;</v>
      </c>
    </row>
    <row r="102" spans="1:1" x14ac:dyDescent="0.3">
      <c r="A102" t="str">
        <f>CONCATENATE("/*",allprides!A103,"*/ ",allprides!F103,allprides!G103,allprides!H103,allprides!L103,allprides!M103,allprides!N103," 1;")</f>
        <v>/*ELI-469*/ 001111 1;</v>
      </c>
    </row>
    <row r="103" spans="1:1" x14ac:dyDescent="0.3">
      <c r="A103" t="str">
        <f>CONCATENATE("/*",allprides!A104,"*/ ",allprides!F104,allprides!G104,allprides!H104,allprides!L104,allprides!M104,allprides!N104," 1;")</f>
        <v>/*ELI-657*/ 001111 1;</v>
      </c>
    </row>
    <row r="104" spans="1:1" x14ac:dyDescent="0.3">
      <c r="A104" t="str">
        <f>CONCATENATE("/*",allprides!A105,"*/ ",allprides!F105,allprides!G105,allprides!H105,allprides!L105,allprides!M105,allprides!N105," 1;")</f>
        <v>/*ELI-658*/ 001111 1;</v>
      </c>
    </row>
    <row r="105" spans="1:1" x14ac:dyDescent="0.3">
      <c r="A105" t="str">
        <f>CONCATENATE("/*",allprides!A106,"*/ ",allprides!F106,allprides!G106,allprides!H106,allprides!L106,allprides!M106,allprides!N106," 1;")</f>
        <v>/*ELI-659*/ 001111 1;</v>
      </c>
    </row>
    <row r="106" spans="1:1" x14ac:dyDescent="0.3">
      <c r="A106" t="str">
        <f>CONCATENATE("/*",allprides!A107,"*/ ",allprides!F107,allprides!G107,allprides!H107,allprides!L107,allprides!M107,allprides!N107," 1;")</f>
        <v>/*ELI-660*/ 001111 1;</v>
      </c>
    </row>
    <row r="107" spans="1:1" x14ac:dyDescent="0.3">
      <c r="A107" t="str">
        <f>CONCATENATE("/*",allprides!A108,"*/ ",allprides!F108,allprides!G108,allprides!H108,allprides!L108,allprides!M108,allprides!N108," 1;")</f>
        <v>/*ELI-661*/ 001011 1;</v>
      </c>
    </row>
    <row r="108" spans="1:1" x14ac:dyDescent="0.3">
      <c r="A108" t="str">
        <f>CONCATENATE("/*",allprides!A109,"*/ ",allprides!F109,allprides!G109,allprides!H109,allprides!L109,allprides!M109,allprides!N109," 1;")</f>
        <v>/*ELI-662*/ 000111 1;</v>
      </c>
    </row>
    <row r="109" spans="1:1" x14ac:dyDescent="0.3">
      <c r="A109" t="str">
        <f>CONCATENATE("/*",allprides!A110,"*/ ",allprides!F110,allprides!G110,allprides!H110,allprides!L110,allprides!M110,allprides!N110," 1;")</f>
        <v>/*ELI-663*/ 001111 1;</v>
      </c>
    </row>
    <row r="110" spans="1:1" x14ac:dyDescent="0.3">
      <c r="A110" t="str">
        <f>CONCATENATE("/*",allprides!A111,"*/ ",allprides!F111,allprides!G111,allprides!H111,allprides!L111,allprides!M111,allprides!N111," 1;")</f>
        <v>/*ELI-664*/ 001111 1;</v>
      </c>
    </row>
    <row r="111" spans="1:1" x14ac:dyDescent="0.3">
      <c r="A111" t="str">
        <f>CONCATENATE("/*",allprides!A112,"*/ ",allprides!F112,allprides!G112,allprides!H112,allprides!L112,allprides!M112,allprides!N112," 1;")</f>
        <v>/*ELI-665*/ 001111 1;</v>
      </c>
    </row>
    <row r="112" spans="1:1" x14ac:dyDescent="0.3">
      <c r="A112" t="str">
        <f>CONCATENATE("/*",allprides!A113,"*/ ",allprides!F113,allprides!G113,allprides!H113,allprides!L113,allprides!M113,allprides!N113," 1;")</f>
        <v>/*ELI-666*/ 001111 1;</v>
      </c>
    </row>
    <row r="113" spans="1:1" x14ac:dyDescent="0.3">
      <c r="A113" t="str">
        <f>CONCATENATE("/*",allprides!A114,"*/ ",allprides!F114,allprides!G114,allprides!H114,allprides!L114,allprides!M114,allprides!N114," 1;")</f>
        <v>/*ELI-697*/ 001111 1;</v>
      </c>
    </row>
    <row r="114" spans="1:1" x14ac:dyDescent="0.3">
      <c r="A114" t="str">
        <f>CONCATENATE("/*",allprides!A115,"*/ ",allprides!F115,allprides!G115,allprides!H115,allprides!L115,allprides!M115,allprides!N115," 1;")</f>
        <v>/*ELI-721*/ 000110 1;</v>
      </c>
    </row>
    <row r="115" spans="1:1" x14ac:dyDescent="0.3">
      <c r="A115" t="str">
        <f>CONCATENATE("/*",allprides!A116,"*/ ",allprides!F116,allprides!G116,allprides!H116,allprides!L116,allprides!M116,allprides!N116," 1;")</f>
        <v>/*ELI-722*/ 000000 1;</v>
      </c>
    </row>
    <row r="116" spans="1:1" x14ac:dyDescent="0.3">
      <c r="A116" t="str">
        <f>CONCATENATE("/*",allprides!A117,"*/ ",allprides!F117,allprides!G117,allprides!H117,allprides!L117,allprides!M117,allprides!N117," 1;")</f>
        <v>/*ELI-700*/ 000110 1;</v>
      </c>
    </row>
    <row r="117" spans="1:1" x14ac:dyDescent="0.3">
      <c r="A117" t="str">
        <f>CONCATENATE("/*",allprides!A118,"*/ ",allprides!F118,allprides!G118,allprides!H118,allprides!L118,allprides!M118,allprides!N118," 1;")</f>
        <v>/*ELI-701*/ 101110 1;</v>
      </c>
    </row>
    <row r="118" spans="1:1" x14ac:dyDescent="0.3">
      <c r="A118" t="str">
        <f>CONCATENATE("/*",allprides!A119,"*/ ",allprides!F119,allprides!G119,allprides!H119,allprides!L119,allprides!M119,allprides!N119," 1;")</f>
        <v>/*ELI-702*/ 000110 1;</v>
      </c>
    </row>
    <row r="119" spans="1:1" x14ac:dyDescent="0.3">
      <c r="A119" t="str">
        <f>CONCATENATE("/*",allprides!A120,"*/ ",allprides!F120,allprides!G120,allprides!H120,allprides!L120,allprides!M120,allprides!N120," 1;")</f>
        <v>/*ELI-708*/ 000010 1;</v>
      </c>
    </row>
    <row r="120" spans="1:1" x14ac:dyDescent="0.3">
      <c r="A120" t="str">
        <f>CONCATENATE("/*",allprides!A121,"*/ ",allprides!F121,allprides!G121,allprides!H121,allprides!L121,allprides!M121,allprides!N121," 1;")</f>
        <v>/*ELI-709*/ 000010 1;</v>
      </c>
    </row>
    <row r="121" spans="1:1" x14ac:dyDescent="0.3">
      <c r="A121" t="str">
        <f>CONCATENATE("/*",allprides!A122,"*/ ",allprides!F122,allprides!G122,allprides!H122,allprides!L122,allprides!M122,allprides!N122," 1;")</f>
        <v>/*ELI-710*/ 000010 1;</v>
      </c>
    </row>
    <row r="122" spans="1:1" x14ac:dyDescent="0.3">
      <c r="A122" t="str">
        <f>CONCATENATE("/*",allprides!A123,"*/ ",allprides!F123,allprides!G123,allprides!H123,allprides!L123,allprides!M123,allprides!N123," 1;")</f>
        <v>/*ELI-711*/ 000010 1;</v>
      </c>
    </row>
    <row r="123" spans="1:1" x14ac:dyDescent="0.3">
      <c r="A123" t="str">
        <f>CONCATENATE("/*",allprides!A124,"*/ ",allprides!F124,allprides!G124,allprides!H124,allprides!L124,allprides!M124,allprides!N124," 1;")</f>
        <v>/*ELI-468*/ 000110 1;</v>
      </c>
    </row>
    <row r="124" spans="1:1" x14ac:dyDescent="0.3">
      <c r="A124" t="str">
        <f>CONCATENATE("/*",allprides!A125,"*/ ",allprides!F125,allprides!G125,allprides!H125,allprides!L125,allprides!M125,allprides!N125," 1;")</f>
        <v>/*ELI-261*/ 000010 1;</v>
      </c>
    </row>
    <row r="125" spans="1:1" x14ac:dyDescent="0.3">
      <c r="A125" t="str">
        <f>CONCATENATE("/*",allprides!A126,"*/ ",allprides!F126,allprides!G126,allprides!H126,allprides!L126,allprides!M126,allprides!N126," 1;")</f>
        <v>/*ELI-257*/ 000110 1;</v>
      </c>
    </row>
    <row r="126" spans="1:1" x14ac:dyDescent="0.3">
      <c r="A126" t="str">
        <f>CONCATENATE("/*",allprides!A127,"*/ ",allprides!F127,allprides!G127,allprides!H127,allprides!L127,allprides!M127,allprides!N127," 1;")</f>
        <v>/*ELI-183*/ 000110 1;</v>
      </c>
    </row>
    <row r="127" spans="1:1" x14ac:dyDescent="0.3">
      <c r="A127" t="str">
        <f>CONCATENATE("/*",allprides!A128,"*/ ",allprides!F128,allprides!G128,allprides!H128,allprides!L128,allprides!M128,allprides!N128," 1;")</f>
        <v>/*ELI-189*/ 000100 1;</v>
      </c>
    </row>
    <row r="128" spans="1:1" x14ac:dyDescent="0.3">
      <c r="A128" t="str">
        <f>CONCATENATE("/*",allprides!A129,"*/ ",allprides!F129,allprides!G129,allprides!H129,allprides!L129,allprides!M129,allprides!N129," 1;")</f>
        <v>/*ELI-465*/ 000010 1;</v>
      </c>
    </row>
    <row r="129" spans="1:1" x14ac:dyDescent="0.3">
      <c r="A129" t="str">
        <f>CONCATENATE("/*",allprides!A130,"*/ ",allprides!F130,allprides!G130,allprides!H130,allprides!L130,allprides!M130,allprides!N130," 1;")</f>
        <v>/*ELI-467*/ 000110 1;</v>
      </c>
    </row>
    <row r="130" spans="1:1" x14ac:dyDescent="0.3">
      <c r="A130" t="str">
        <f>CONCATENATE("/*",allprides!A131,"*/ ",allprides!F131,allprides!G131,allprides!H131,allprides!L131,allprides!M131,allprides!N131," 1;")</f>
        <v>/*ELI-770*/ 000010 1;</v>
      </c>
    </row>
    <row r="131" spans="1:1" x14ac:dyDescent="0.3">
      <c r="A131" t="str">
        <f>CONCATENATE("/*",allprides!A132,"*/ ",allprides!F132,allprides!G132,allprides!H132,allprides!L132,allprides!M132,allprides!N132," 1;")</f>
        <v>/*ELI-771*/ 000010 1;</v>
      </c>
    </row>
    <row r="132" spans="1:1" x14ac:dyDescent="0.3">
      <c r="A132" t="str">
        <f>CONCATENATE("/*",allprides!A133,"*/ ",allprides!F133,allprides!G133,allprides!H133,allprides!L133,allprides!M133,allprides!N133," 1;")</f>
        <v>/*ELI-772*/ 000010 1;</v>
      </c>
    </row>
    <row r="133" spans="1:1" x14ac:dyDescent="0.3">
      <c r="A133" t="str">
        <f>CONCATENATE("/*",allprides!A134,"*/ ",allprides!F134,allprides!G134,allprides!H134,allprides!L134,allprides!M134,allprides!N134," 1;")</f>
        <v>/*ELI-773*/ 000010 1;</v>
      </c>
    </row>
    <row r="134" spans="1:1" x14ac:dyDescent="0.3">
      <c r="A134" t="str">
        <f>CONCATENATE("/*",allprides!A135,"*/ ",allprides!F135,allprides!G135,allprides!H135,allprides!L135,allprides!M135,allprides!N135," 1;")</f>
        <v>/*ELI-774*/ 000010 1;</v>
      </c>
    </row>
    <row r="135" spans="1:1" x14ac:dyDescent="0.3">
      <c r="A135" t="str">
        <f>CONCATENATE("/*",allprides!A136,"*/ ",allprides!F136,allprides!G136,allprides!H136,allprides!L136,allprides!M136,allprides!N136," 1;")</f>
        <v>/*ELI-775*/ 000100 1;</v>
      </c>
    </row>
    <row r="136" spans="1:1" x14ac:dyDescent="0.3">
      <c r="A136" t="str">
        <f>CONCATENATE("/*",allprides!A137,"*/ ",allprides!F137,allprides!G137,allprides!H137,allprides!L137,allprides!M137,allprides!N137," 1;")</f>
        <v>/*ELI-776*/ 000100 1;</v>
      </c>
    </row>
    <row r="137" spans="1:1" x14ac:dyDescent="0.3">
      <c r="A137" t="str">
        <f>CONCATENATE("/*",allprides!A138,"*/ ",allprides!F138,allprides!G138,allprides!H138,allprides!L138,allprides!M138,allprides!N138," 1;")</f>
        <v>/*ELI-777*/ 000100 1;</v>
      </c>
    </row>
    <row r="138" spans="1:1" x14ac:dyDescent="0.3">
      <c r="A138" t="str">
        <f>CONCATENATE("/*",allprides!A139,"*/ ",allprides!F139,allprides!G139,allprides!H139,allprides!L139,allprides!M139,allprides!N139," 1;")</f>
        <v>/*ELI-778*/ 000100 1;</v>
      </c>
    </row>
    <row r="139" spans="1:1" x14ac:dyDescent="0.3">
      <c r="A139" t="str">
        <f>CONCATENATE("/*",allprides!A140,"*/ ",allprides!F140,allprides!G140,allprides!H140,allprides!L140,allprides!M140,allprides!N140," 1;")</f>
        <v>/*ELI-786*/ 000110 1;</v>
      </c>
    </row>
    <row r="140" spans="1:1" x14ac:dyDescent="0.3">
      <c r="A140" t="str">
        <f>CONCATENATE("/*",allprides!A141,"*/ ",allprides!F141,allprides!G141,allprides!H141,allprides!L141,allprides!M141,allprides!N141," 1;")</f>
        <v>/*ELI-990*/ 000100 1;</v>
      </c>
    </row>
    <row r="141" spans="1:1" x14ac:dyDescent="0.3">
      <c r="A141" t="str">
        <f>CONCATENATE("/*",allprides!A142,"*/ ",allprides!F142,allprides!G142,allprides!H142,allprides!L142,allprides!M142,allprides!N142," 1;")</f>
        <v>/*ELI-260*/ 000000 1;</v>
      </c>
    </row>
    <row r="142" spans="1:1" x14ac:dyDescent="0.3">
      <c r="A142" t="str">
        <f>CONCATENATE("/*",allprides!A143,"*/ ",allprides!F143,allprides!G143,allprides!H143,allprides!L143,allprides!M143,allprides!N143," 1;")</f>
        <v>/*ELI-262*/ 000000 1;</v>
      </c>
    </row>
    <row r="143" spans="1:1" x14ac:dyDescent="0.3">
      <c r="A143" t="str">
        <f>CONCATENATE("/*",allprides!A144,"*/ ",allprides!F144,allprides!G144,allprides!H144,allprides!L144,allprides!M144,allprides!N144," 1;")</f>
        <v>/*ELI-752*/ 000000 1;</v>
      </c>
    </row>
    <row r="144" spans="1:1" x14ac:dyDescent="0.3">
      <c r="A144" t="str">
        <f>CONCATENATE("/*",allprides!A145,"*/ ",allprides!F145,allprides!G145,allprides!H145,allprides!L145,allprides!M145,allprides!N145," 1;")</f>
        <v>/*ELI-753*/ 000000 1;</v>
      </c>
    </row>
    <row r="145" spans="1:1" x14ac:dyDescent="0.3">
      <c r="A145" t="str">
        <f>CONCATENATE("/*",allprides!A146,"*/ ",allprides!F146,allprides!G146,allprides!H146,allprides!L146,allprides!M146,allprides!N146," 1;")</f>
        <v>/*ELI-754*/ 000000 1;</v>
      </c>
    </row>
    <row r="146" spans="1:1" x14ac:dyDescent="0.3">
      <c r="A146" t="str">
        <f>CONCATENATE("/*",allprides!A147,"*/ ",allprides!F147,allprides!G147,allprides!H147,allprides!L147,allprides!M147,allprides!N147," 1;")</f>
        <v>/*ELI-755*/ 000000 1;</v>
      </c>
    </row>
    <row r="147" spans="1:1" x14ac:dyDescent="0.3">
      <c r="A147" t="str">
        <f>CONCATENATE("/*",allprides!A148,"*/ ",allprides!F148,allprides!G148,allprides!H148,allprides!L148,allprides!M148,allprides!N148," 1;")</f>
        <v>/*ELI-756*/ 000000 1;</v>
      </c>
    </row>
    <row r="148" spans="1:1" x14ac:dyDescent="0.3">
      <c r="A148" t="str">
        <f>CONCATENATE("/*",allprides!A149,"*/ ",allprides!F149,allprides!G149,allprides!H149,allprides!L149,allprides!M149,allprides!N149," 1;")</f>
        <v>/*ELI-757*/ 000000 1;</v>
      </c>
    </row>
    <row r="149" spans="1:1" x14ac:dyDescent="0.3">
      <c r="A149" t="str">
        <f>CONCATENATE("/*",allprides!A150,"*/ ",allprides!F150,allprides!G150,allprides!H150,allprides!L150,allprides!M150,allprides!N150," 1;")</f>
        <v>/*ELI-758*/ 000000 1;</v>
      </c>
    </row>
    <row r="150" spans="1:1" x14ac:dyDescent="0.3">
      <c r="A150" t="str">
        <f>CONCATENATE("/*",allprides!A151,"*/ ",allprides!F151,allprides!G151,allprides!H151,allprides!L151,allprides!M151,allprides!N151," 1;")</f>
        <v>/*ELI-759*/ 000000 1;</v>
      </c>
    </row>
    <row r="151" spans="1:1" x14ac:dyDescent="0.3">
      <c r="A151" t="str">
        <f>CONCATENATE("/*",allprides!A152,"*/ ",allprides!F152,allprides!G152,allprides!H152,allprides!L152,allprides!M152,allprides!N152," 1;")</f>
        <v>/*ELI-168*/ 000010 1;</v>
      </c>
    </row>
    <row r="152" spans="1:1" x14ac:dyDescent="0.3">
      <c r="A152" t="str">
        <f>CONCATENATE("/*",allprides!A153,"*/ ",allprides!F153,allprides!G153,allprides!H153,allprides!L153,allprides!M153,allprides!N153," 1;")</f>
        <v>/*ELI-564*/ 000001 1;</v>
      </c>
    </row>
    <row r="153" spans="1:1" x14ac:dyDescent="0.3">
      <c r="A153" t="str">
        <f>CONCATENATE("/*",allprides!A154,"*/ ",allprides!F154,allprides!G154,allprides!H154,allprides!L154,allprides!M154,allprides!N154," 1;")</f>
        <v>/*ELI-565*/ 000111 1;</v>
      </c>
    </row>
    <row r="154" spans="1:1" x14ac:dyDescent="0.3">
      <c r="A154" t="str">
        <f>CONCATENATE("/*",allprides!A155,"*/ ",allprides!F155,allprides!G155,allprides!H155,allprides!L155,allprides!M155,allprides!N155," 1;")</f>
        <v>/*ELI-213*/ 111110 1;</v>
      </c>
    </row>
    <row r="155" spans="1:1" x14ac:dyDescent="0.3">
      <c r="A155" t="str">
        <f>CONCATENATE("/*",allprides!A156,"*/ ",allprides!F156,allprides!G156,allprides!H156,allprides!L156,allprides!M156,allprides!N156," 1;")</f>
        <v>/*ELI-214*/ 101111 1;</v>
      </c>
    </row>
    <row r="156" spans="1:1" x14ac:dyDescent="0.3">
      <c r="A156" t="str">
        <f>CONCATENATE("/*",allprides!A157,"*/ ",allprides!F157,allprides!G157,allprides!H157,allprides!L157,allprides!M157,allprides!N157," 1;")</f>
        <v>/*ELI-216*/ 111110 1;</v>
      </c>
    </row>
    <row r="157" spans="1:1" x14ac:dyDescent="0.3">
      <c r="A157" t="str">
        <f>CONCATENATE("/*",allprides!A158,"*/ ",allprides!F158,allprides!G158,allprides!H158,allprides!L158,allprides!M158,allprides!N158," 1;")</f>
        <v>/*ELI-420*/ 000000 1;</v>
      </c>
    </row>
    <row r="158" spans="1:1" x14ac:dyDescent="0.3">
      <c r="A158" t="str">
        <f>CONCATENATE("/*",allprides!A159,"*/ ",allprides!F159,allprides!G159,allprides!H159,allprides!L159,allprides!M159,allprides!N159," 1;")</f>
        <v>/*ELI-421*/ 000010 1;</v>
      </c>
    </row>
    <row r="159" spans="1:1" x14ac:dyDescent="0.3">
      <c r="A159" t="str">
        <f>CONCATENATE("/*",allprides!A160,"*/ ",allprides!F160,allprides!G160,allprides!H160,allprides!L160,allprides!M160,allprides!N160," 1;")</f>
        <v>/*ELI-422*/ 000100 1;</v>
      </c>
    </row>
    <row r="160" spans="1:1" x14ac:dyDescent="0.3">
      <c r="A160" t="str">
        <f>CONCATENATE("/*",allprides!A161,"*/ ",allprides!F161,allprides!G161,allprides!H161,allprides!L161,allprides!M161,allprides!N161," 1;")</f>
        <v>/*ELI-175*/ 000000 1;</v>
      </c>
    </row>
    <row r="161" spans="1:1" x14ac:dyDescent="0.3">
      <c r="A161" t="str">
        <f>CONCATENATE("/*",allprides!A162,"*/ ",allprides!F162,allprides!G162,allprides!H162,allprides!L162,allprides!M162,allprides!N162," 1;")</f>
        <v>/*ELI-474*/ 101100 1;</v>
      </c>
    </row>
    <row r="162" spans="1:1" x14ac:dyDescent="0.3">
      <c r="A162" t="str">
        <f>CONCATENATE("/*",allprides!A163,"*/ ",allprides!F163,allprides!G163,allprides!H163,allprides!L163,allprides!M163,allprides!N163," 1;")</f>
        <v>/*ELI-130*/ 000000 1;</v>
      </c>
    </row>
    <row r="163" spans="1:1" x14ac:dyDescent="0.3">
      <c r="A163" t="str">
        <f>CONCATENATE("/*",allprides!A164,"*/ ",allprides!F164,allprides!G164,allprides!H164,allprides!L164,allprides!M164,allprides!N164," 1;")</f>
        <v>/*ELI-699*/ 000000 1;</v>
      </c>
    </row>
    <row r="164" spans="1:1" x14ac:dyDescent="0.3">
      <c r="A164" t="str">
        <f>CONCATENATE("/*",allprides!A165,"*/ ",allprides!F165,allprides!G165,allprides!H165,allprides!L165,allprides!M165,allprides!N165," 1;")</f>
        <v>/*ELI-628*/ 000111 1;</v>
      </c>
    </row>
    <row r="165" spans="1:1" x14ac:dyDescent="0.3">
      <c r="A165" t="str">
        <f>CONCATENATE("/*",allprides!A166,"*/ ",allprides!F166,allprides!G166,allprides!H166,allprides!L166,allprides!M166,allprides!N166," 1;")</f>
        <v>/*ELI-629*/ 000111 1;</v>
      </c>
    </row>
    <row r="166" spans="1:1" x14ac:dyDescent="0.3">
      <c r="A166" t="str">
        <f>CONCATENATE("/*",allprides!A167,"*/ ",allprides!F167,allprides!G167,allprides!H167,allprides!L167,allprides!M167,allprides!N167," 1;")</f>
        <v>/*ELI-779*/ 000100 1;</v>
      </c>
    </row>
    <row r="167" spans="1:1" x14ac:dyDescent="0.3">
      <c r="A167" t="str">
        <f>CONCATENATE("/*",allprides!A168,"*/ ",allprides!F168,allprides!G168,allprides!H168,allprides!L168,allprides!M168,allprides!N168," 1;")</f>
        <v>/*ELI-373*/ 000110 1;</v>
      </c>
    </row>
    <row r="168" spans="1:1" x14ac:dyDescent="0.3">
      <c r="A168" t="str">
        <f>CONCATENATE("/*",allprides!A169,"*/ ",allprides!F169,allprides!G169,allprides!H169,allprides!L169,allprides!M169,allprides!N169," 1;")</f>
        <v>/*ELI-375*/ 000100 1;</v>
      </c>
    </row>
    <row r="169" spans="1:1" x14ac:dyDescent="0.3">
      <c r="A169" t="str">
        <f>CONCATENATE("/*",allprides!A170,"*/ ",allprides!F170,allprides!G170,allprides!H170,allprides!L170,allprides!M170,allprides!N170," 1;")</f>
        <v>/*ELI-377*/ 000100 1;</v>
      </c>
    </row>
    <row r="170" spans="1:1" x14ac:dyDescent="0.3">
      <c r="A170" t="str">
        <f>CONCATENATE("/*",allprides!A171,"*/ ",allprides!F171,allprides!G171,allprides!H171,allprides!L171,allprides!M171,allprides!N171," 1;")</f>
        <v>/*ELI-376*/ 000100 1;</v>
      </c>
    </row>
    <row r="171" spans="1:1" x14ac:dyDescent="0.3">
      <c r="A171" t="str">
        <f>CONCATENATE("/*",allprides!A172,"*/ ",allprides!F172,allprides!G172,allprides!H172,allprides!L172,allprides!M172,allprides!N172," 1;")</f>
        <v>/*ELI-972*/ 000100 1;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BCC</vt:lpstr>
      <vt:lpstr>NHK</vt:lpstr>
      <vt:lpstr>CH</vt:lpstr>
      <vt:lpstr>LM</vt:lpstr>
      <vt:lpstr>NS</vt:lpstr>
      <vt:lpstr>Coa</vt:lpstr>
      <vt:lpstr>allprides</vt:lpstr>
      <vt:lpstr>input_format</vt:lpstr>
      <vt:lpstr>2014_slnp_lion_ch</vt:lpstr>
      <vt:lpstr>2014_slnp_lion_3monRD</vt:lpstr>
      <vt:lpstr>BCC!Print_Area</vt:lpstr>
      <vt:lpstr>NHK!Print_Area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Egil</dc:creator>
  <cp:lastModifiedBy>Zambia Lions</cp:lastModifiedBy>
  <cp:lastPrinted>2013-07-01T12:32:28Z</cp:lastPrinted>
  <dcterms:created xsi:type="dcterms:W3CDTF">2011-04-01T14:46:56Z</dcterms:created>
  <dcterms:modified xsi:type="dcterms:W3CDTF">2017-03-02T14:09:05Z</dcterms:modified>
</cp:coreProperties>
</file>