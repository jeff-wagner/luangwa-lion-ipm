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thandi\lion_capture_history\original_excel_files\"/>
    </mc:Choice>
  </mc:AlternateContent>
  <bookViews>
    <workbookView xWindow="0" yWindow="0" windowWidth="20250" windowHeight="7230" tabRatio="589" activeTab="7"/>
  </bookViews>
  <sheets>
    <sheet name="BCC" sheetId="1" r:id="rId1"/>
    <sheet name="Allprides " sheetId="11" r:id="rId2"/>
    <sheet name="NHK" sheetId="6" r:id="rId3"/>
    <sheet name="CHM" sheetId="7" r:id="rId4"/>
    <sheet name="LM" sheetId="8" r:id="rId5"/>
    <sheet name="NSN" sheetId="9" r:id="rId6"/>
    <sheet name="Coa" sheetId="10" r:id="rId7"/>
    <sheet name="input_format" sheetId="12" r:id="rId8"/>
    <sheet name="2015_slnp_lion_ch" sheetId="13" r:id="rId9"/>
    <sheet name="2015_slnp_lion_3monRD" sheetId="14" r:id="rId10"/>
  </sheets>
  <externalReferences>
    <externalReference r:id="rId11"/>
  </externalReferences>
  <definedNames>
    <definedName name="_xlnm.Print_Area" localSheetId="0">BCC!$B$1:$O$54</definedName>
    <definedName name="_xlnm.Print_Area" localSheetId="2">NHK!$B$1:$Q$61</definedName>
  </definedNames>
  <calcPr calcId="162913"/>
</workbook>
</file>

<file path=xl/calcChain.xml><?xml version="1.0" encoding="utf-8"?>
<calcChain xmlns="http://schemas.openxmlformats.org/spreadsheetml/2006/main">
  <c r="A2" i="12" l="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1" i="12"/>
  <c r="A196" i="14" l="1"/>
  <c r="A197" i="14"/>
  <c r="A198" i="14"/>
  <c r="A199" i="14"/>
  <c r="A200" i="14"/>
  <c r="A187" i="14"/>
  <c r="A188" i="14"/>
  <c r="A189" i="14"/>
  <c r="A190" i="14"/>
  <c r="A191" i="14"/>
  <c r="A192" i="14"/>
  <c r="A193" i="14"/>
  <c r="A194" i="14"/>
  <c r="A195" i="14"/>
  <c r="A177" i="14"/>
  <c r="A178" i="14"/>
  <c r="A179" i="14"/>
  <c r="A180" i="14"/>
  <c r="A181" i="14"/>
  <c r="A182" i="14"/>
  <c r="A183" i="14"/>
  <c r="A184" i="14"/>
  <c r="A185" i="14"/>
  <c r="A186" i="14"/>
  <c r="A167" i="14"/>
  <c r="A168" i="14"/>
  <c r="A169" i="14"/>
  <c r="A170" i="14"/>
  <c r="A171" i="14"/>
  <c r="A172" i="14"/>
  <c r="A173" i="14"/>
  <c r="A174" i="14"/>
  <c r="A175" i="14"/>
  <c r="A176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" i="14"/>
  <c r="T44" i="11"/>
  <c r="T57" i="11"/>
  <c r="X57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6" i="11"/>
  <c r="X47" i="11"/>
  <c r="X48" i="11"/>
  <c r="X49" i="11"/>
  <c r="X50" i="11"/>
  <c r="X51" i="11"/>
  <c r="X52" i="11"/>
  <c r="X53" i="11"/>
  <c r="X54" i="11"/>
  <c r="X55" i="11"/>
  <c r="X56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158" i="11"/>
  <c r="T32" i="11"/>
  <c r="S32" i="11"/>
  <c r="S33" i="11"/>
  <c r="S34" i="11"/>
  <c r="Q32" i="11"/>
  <c r="Q33" i="11"/>
  <c r="Q34" i="11"/>
  <c r="P32" i="11"/>
  <c r="P33" i="11"/>
  <c r="P34" i="11"/>
  <c r="T79" i="11"/>
  <c r="T129" i="11"/>
  <c r="S129" i="11"/>
  <c r="R129" i="11"/>
  <c r="Q129" i="11"/>
  <c r="P129" i="11"/>
  <c r="P130" i="11"/>
  <c r="V124" i="11"/>
  <c r="S3" i="11"/>
  <c r="T3" i="11"/>
  <c r="U3" i="11"/>
  <c r="V3" i="11"/>
  <c r="S4" i="11"/>
  <c r="T4" i="11"/>
  <c r="U4" i="11"/>
  <c r="V4" i="11"/>
  <c r="S5" i="11"/>
  <c r="T5" i="11"/>
  <c r="U5" i="11"/>
  <c r="V5" i="11"/>
  <c r="S6" i="11"/>
  <c r="T6" i="11"/>
  <c r="U6" i="11"/>
  <c r="V6" i="11"/>
  <c r="S7" i="11"/>
  <c r="T7" i="11"/>
  <c r="U7" i="11"/>
  <c r="V7" i="11"/>
  <c r="S8" i="11"/>
  <c r="T8" i="11"/>
  <c r="U8" i="11"/>
  <c r="V8" i="11"/>
  <c r="S9" i="11"/>
  <c r="T9" i="11"/>
  <c r="U9" i="11"/>
  <c r="V9" i="11"/>
  <c r="S10" i="11"/>
  <c r="T10" i="11"/>
  <c r="U10" i="11"/>
  <c r="V10" i="11"/>
  <c r="S11" i="11"/>
  <c r="T11" i="11"/>
  <c r="U11" i="11"/>
  <c r="V11" i="11"/>
  <c r="S12" i="11"/>
  <c r="T12" i="11"/>
  <c r="U12" i="11"/>
  <c r="V12" i="11"/>
  <c r="S13" i="11"/>
  <c r="T13" i="11"/>
  <c r="U13" i="11"/>
  <c r="V13" i="11"/>
  <c r="S14" i="11"/>
  <c r="T14" i="11"/>
  <c r="U14" i="11"/>
  <c r="V14" i="11"/>
  <c r="S15" i="11"/>
  <c r="T15" i="11"/>
  <c r="U15" i="11"/>
  <c r="V15" i="11"/>
  <c r="S16" i="11"/>
  <c r="T16" i="11"/>
  <c r="U16" i="11"/>
  <c r="V16" i="11"/>
  <c r="S17" i="11"/>
  <c r="T17" i="11"/>
  <c r="U17" i="11"/>
  <c r="V17" i="11"/>
  <c r="S18" i="11"/>
  <c r="T18" i="11"/>
  <c r="U18" i="11"/>
  <c r="V18" i="11"/>
  <c r="S19" i="11"/>
  <c r="T19" i="11"/>
  <c r="U19" i="11"/>
  <c r="V19" i="11"/>
  <c r="S20" i="11"/>
  <c r="T20" i="11"/>
  <c r="U20" i="11"/>
  <c r="V20" i="11"/>
  <c r="S21" i="11"/>
  <c r="T21" i="11"/>
  <c r="U21" i="11"/>
  <c r="V21" i="11"/>
  <c r="S30" i="11"/>
  <c r="T30" i="11"/>
  <c r="U30" i="11"/>
  <c r="V30" i="11"/>
  <c r="S31" i="11"/>
  <c r="T31" i="11"/>
  <c r="U31" i="11"/>
  <c r="V31" i="11"/>
  <c r="S35" i="11"/>
  <c r="T35" i="11"/>
  <c r="U35" i="11"/>
  <c r="V35" i="11"/>
  <c r="S36" i="11"/>
  <c r="T36" i="11"/>
  <c r="U36" i="11"/>
  <c r="V36" i="11"/>
  <c r="S37" i="11"/>
  <c r="T37" i="11"/>
  <c r="U37" i="11"/>
  <c r="V37" i="11"/>
  <c r="S38" i="11"/>
  <c r="T38" i="11"/>
  <c r="U38" i="11"/>
  <c r="V38" i="11"/>
  <c r="S39" i="11"/>
  <c r="T39" i="11"/>
  <c r="U39" i="11"/>
  <c r="V39" i="11"/>
  <c r="S40" i="11"/>
  <c r="T40" i="11"/>
  <c r="U40" i="11"/>
  <c r="V40" i="11"/>
  <c r="S41" i="11"/>
  <c r="T41" i="11"/>
  <c r="U41" i="11"/>
  <c r="V41" i="11"/>
  <c r="S42" i="11"/>
  <c r="T42" i="11"/>
  <c r="U42" i="11"/>
  <c r="V42" i="11"/>
  <c r="S43" i="11"/>
  <c r="T43" i="11"/>
  <c r="U43" i="11"/>
  <c r="V43" i="11"/>
  <c r="S46" i="11"/>
  <c r="T46" i="11"/>
  <c r="U46" i="11"/>
  <c r="V46" i="11"/>
  <c r="S47" i="11"/>
  <c r="T47" i="11"/>
  <c r="U47" i="11"/>
  <c r="V47" i="11"/>
  <c r="S48" i="11"/>
  <c r="T48" i="11"/>
  <c r="U48" i="11"/>
  <c r="V48" i="11"/>
  <c r="S49" i="11"/>
  <c r="T49" i="11"/>
  <c r="U49" i="11"/>
  <c r="V49" i="11"/>
  <c r="S50" i="11"/>
  <c r="T50" i="11"/>
  <c r="U50" i="11"/>
  <c r="V50" i="11"/>
  <c r="S51" i="11"/>
  <c r="T51" i="11"/>
  <c r="U51" i="11"/>
  <c r="V51" i="11"/>
  <c r="S52" i="11"/>
  <c r="T52" i="11"/>
  <c r="U52" i="11"/>
  <c r="V52" i="11"/>
  <c r="S53" i="11"/>
  <c r="T53" i="11"/>
  <c r="U53" i="11"/>
  <c r="V53" i="11"/>
  <c r="S54" i="11"/>
  <c r="T54" i="11"/>
  <c r="U54" i="11"/>
  <c r="V54" i="11"/>
  <c r="S55" i="11"/>
  <c r="T55" i="11"/>
  <c r="U55" i="11"/>
  <c r="V55" i="11"/>
  <c r="S56" i="11"/>
  <c r="T56" i="11"/>
  <c r="U56" i="11"/>
  <c r="V56" i="11"/>
  <c r="S58" i="11"/>
  <c r="T58" i="11"/>
  <c r="U58" i="11"/>
  <c r="V58" i="11"/>
  <c r="S59" i="11"/>
  <c r="T59" i="11"/>
  <c r="U59" i="11"/>
  <c r="V59" i="11"/>
  <c r="S60" i="11"/>
  <c r="T60" i="11"/>
  <c r="U60" i="11"/>
  <c r="V60" i="11"/>
  <c r="S61" i="11"/>
  <c r="T61" i="11"/>
  <c r="U61" i="11"/>
  <c r="V61" i="11"/>
  <c r="S71" i="11"/>
  <c r="T71" i="11"/>
  <c r="U71" i="11"/>
  <c r="V71" i="11"/>
  <c r="S72" i="11"/>
  <c r="T72" i="11"/>
  <c r="U72" i="11"/>
  <c r="V72" i="11"/>
  <c r="S75" i="11"/>
  <c r="T75" i="11"/>
  <c r="U75" i="11"/>
  <c r="V75" i="11"/>
  <c r="S76" i="11"/>
  <c r="T76" i="11"/>
  <c r="U76" i="11"/>
  <c r="V76" i="11"/>
  <c r="U79" i="11"/>
  <c r="V79" i="11"/>
  <c r="S84" i="11"/>
  <c r="T84" i="11"/>
  <c r="U84" i="11"/>
  <c r="V84" i="11"/>
  <c r="S89" i="11"/>
  <c r="T89" i="11"/>
  <c r="U89" i="11"/>
  <c r="V89" i="11"/>
  <c r="S90" i="11"/>
  <c r="T90" i="11"/>
  <c r="U90" i="11"/>
  <c r="V90" i="11"/>
  <c r="S91" i="11"/>
  <c r="T91" i="11"/>
  <c r="U91" i="11"/>
  <c r="V91" i="11"/>
  <c r="S92" i="11"/>
  <c r="T92" i="11"/>
  <c r="U92" i="11"/>
  <c r="V92" i="11"/>
  <c r="S93" i="11"/>
  <c r="T93" i="11"/>
  <c r="U93" i="11"/>
  <c r="V93" i="11"/>
  <c r="S94" i="11"/>
  <c r="T94" i="11"/>
  <c r="U94" i="11"/>
  <c r="V94" i="11"/>
  <c r="S95" i="11"/>
  <c r="T95" i="11"/>
  <c r="U95" i="11"/>
  <c r="V95" i="11"/>
  <c r="S96" i="11"/>
  <c r="T96" i="11"/>
  <c r="U96" i="11"/>
  <c r="V96" i="11"/>
  <c r="S97" i="11"/>
  <c r="T97" i="11"/>
  <c r="U97" i="11"/>
  <c r="V97" i="11"/>
  <c r="S98" i="11"/>
  <c r="T98" i="11"/>
  <c r="U98" i="11"/>
  <c r="V98" i="11"/>
  <c r="S99" i="11"/>
  <c r="T99" i="11"/>
  <c r="U99" i="11"/>
  <c r="V99" i="11"/>
  <c r="S100" i="11"/>
  <c r="T100" i="11"/>
  <c r="U100" i="11"/>
  <c r="V100" i="11"/>
  <c r="S101" i="11"/>
  <c r="T101" i="11"/>
  <c r="U101" i="11"/>
  <c r="V101" i="11"/>
  <c r="S102" i="11"/>
  <c r="T102" i="11"/>
  <c r="U102" i="11"/>
  <c r="V102" i="11"/>
  <c r="S103" i="11"/>
  <c r="T103" i="11"/>
  <c r="U103" i="11"/>
  <c r="V103" i="11"/>
  <c r="S104" i="11"/>
  <c r="T104" i="11"/>
  <c r="U104" i="11"/>
  <c r="V104" i="11"/>
  <c r="S106" i="11"/>
  <c r="T106" i="11"/>
  <c r="U106" i="11"/>
  <c r="V106" i="11"/>
  <c r="S107" i="11"/>
  <c r="T107" i="11"/>
  <c r="U107" i="11"/>
  <c r="V107" i="11"/>
  <c r="S109" i="11"/>
  <c r="T109" i="11"/>
  <c r="U109" i="11"/>
  <c r="V109" i="11"/>
  <c r="S116" i="11"/>
  <c r="T116" i="11"/>
  <c r="U116" i="11"/>
  <c r="V116" i="11"/>
  <c r="S117" i="11"/>
  <c r="T117" i="11"/>
  <c r="U117" i="11"/>
  <c r="V117" i="11"/>
  <c r="S118" i="11"/>
  <c r="T118" i="11"/>
  <c r="U118" i="11"/>
  <c r="V118" i="11"/>
  <c r="S119" i="11"/>
  <c r="T119" i="11"/>
  <c r="U119" i="11"/>
  <c r="V119" i="11"/>
  <c r="S120" i="11"/>
  <c r="T120" i="11"/>
  <c r="U120" i="11"/>
  <c r="V120" i="11"/>
  <c r="S121" i="11"/>
  <c r="T121" i="11"/>
  <c r="U121" i="11"/>
  <c r="V121" i="11"/>
  <c r="S122" i="11"/>
  <c r="T122" i="11"/>
  <c r="U122" i="11"/>
  <c r="V122" i="11"/>
  <c r="S123" i="11"/>
  <c r="T123" i="11"/>
  <c r="U123" i="11"/>
  <c r="V123" i="11"/>
  <c r="S124" i="11"/>
  <c r="T124" i="11"/>
  <c r="U124" i="11"/>
  <c r="S125" i="11"/>
  <c r="T125" i="11"/>
  <c r="U125" i="11"/>
  <c r="V125" i="11"/>
  <c r="S126" i="11"/>
  <c r="T126" i="11"/>
  <c r="U126" i="11"/>
  <c r="V126" i="11"/>
  <c r="S127" i="11"/>
  <c r="T127" i="11"/>
  <c r="U127" i="11"/>
  <c r="V127" i="11"/>
  <c r="S128" i="11"/>
  <c r="T128" i="11"/>
  <c r="U128" i="11"/>
  <c r="V128" i="11"/>
  <c r="S130" i="11"/>
  <c r="T130" i="11"/>
  <c r="U130" i="11"/>
  <c r="V130" i="11"/>
  <c r="S131" i="11"/>
  <c r="T131" i="11"/>
  <c r="U131" i="11"/>
  <c r="V131" i="11"/>
  <c r="S153" i="11"/>
  <c r="T153" i="11"/>
  <c r="U153" i="11"/>
  <c r="V153" i="11"/>
  <c r="S154" i="11"/>
  <c r="T154" i="11"/>
  <c r="U154" i="11"/>
  <c r="V154" i="11"/>
  <c r="S155" i="11"/>
  <c r="T155" i="11"/>
  <c r="U155" i="11"/>
  <c r="V155" i="11"/>
  <c r="S156" i="11"/>
  <c r="T156" i="11"/>
  <c r="U156" i="11"/>
  <c r="V156" i="11"/>
  <c r="S157" i="11"/>
  <c r="T157" i="11"/>
  <c r="U157" i="11"/>
  <c r="V157" i="11"/>
  <c r="S158" i="11"/>
  <c r="T158" i="11"/>
  <c r="U158" i="11"/>
  <c r="V158" i="11"/>
  <c r="S159" i="11"/>
  <c r="T159" i="11"/>
  <c r="U159" i="11"/>
  <c r="V159" i="11"/>
  <c r="S162" i="11"/>
  <c r="T162" i="11"/>
  <c r="U162" i="11"/>
  <c r="V162" i="11"/>
  <c r="S163" i="11"/>
  <c r="T163" i="11"/>
  <c r="U163" i="11"/>
  <c r="V163" i="11"/>
  <c r="S164" i="11"/>
  <c r="T164" i="11"/>
  <c r="U164" i="11"/>
  <c r="V164" i="11"/>
  <c r="S165" i="11"/>
  <c r="T165" i="11"/>
  <c r="U165" i="11"/>
  <c r="V165" i="11"/>
  <c r="S166" i="11"/>
  <c r="T166" i="11"/>
  <c r="U166" i="11"/>
  <c r="V166" i="11"/>
  <c r="S172" i="11"/>
  <c r="T172" i="11"/>
  <c r="U172" i="11"/>
  <c r="V172" i="11"/>
  <c r="S173" i="11"/>
  <c r="T173" i="11"/>
  <c r="U173" i="11"/>
  <c r="V173" i="11"/>
  <c r="S174" i="11"/>
  <c r="T174" i="11"/>
  <c r="U174" i="11"/>
  <c r="V174" i="11"/>
  <c r="S175" i="11"/>
  <c r="T175" i="11"/>
  <c r="U175" i="11"/>
  <c r="V175" i="11"/>
  <c r="S176" i="11"/>
  <c r="T176" i="11"/>
  <c r="U176" i="11"/>
  <c r="V176" i="11"/>
  <c r="S178" i="11"/>
  <c r="T178" i="11"/>
  <c r="U178" i="11"/>
  <c r="V178" i="11"/>
  <c r="S179" i="11"/>
  <c r="T179" i="11"/>
  <c r="U179" i="11"/>
  <c r="V179" i="11"/>
  <c r="S180" i="11"/>
  <c r="T180" i="11"/>
  <c r="U180" i="11"/>
  <c r="V180" i="11"/>
  <c r="S181" i="11"/>
  <c r="T181" i="11"/>
  <c r="U181" i="11"/>
  <c r="V181" i="11"/>
  <c r="S182" i="11"/>
  <c r="T182" i="11"/>
  <c r="U182" i="11"/>
  <c r="V182" i="11"/>
  <c r="S183" i="11"/>
  <c r="T183" i="11"/>
  <c r="U183" i="11"/>
  <c r="V183" i="11"/>
  <c r="S184" i="11"/>
  <c r="T184" i="11"/>
  <c r="U184" i="11"/>
  <c r="V184" i="11"/>
  <c r="S185" i="11"/>
  <c r="T185" i="11"/>
  <c r="U185" i="11"/>
  <c r="V185" i="11"/>
  <c r="S186" i="11"/>
  <c r="T186" i="11"/>
  <c r="U186" i="11"/>
  <c r="V186" i="11"/>
  <c r="S187" i="11"/>
  <c r="T187" i="11"/>
  <c r="U187" i="11"/>
  <c r="V187" i="11"/>
  <c r="S188" i="11"/>
  <c r="T188" i="11"/>
  <c r="U188" i="11"/>
  <c r="V188" i="11"/>
  <c r="S189" i="11"/>
  <c r="T189" i="11"/>
  <c r="U189" i="11"/>
  <c r="V189" i="11"/>
  <c r="S190" i="11"/>
  <c r="T190" i="11"/>
  <c r="U190" i="11"/>
  <c r="V190" i="11"/>
  <c r="S191" i="11"/>
  <c r="T191" i="11"/>
  <c r="U191" i="11"/>
  <c r="V191" i="11"/>
  <c r="S192" i="11"/>
  <c r="T192" i="11"/>
  <c r="U192" i="11"/>
  <c r="V19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30" i="11"/>
  <c r="R35" i="11"/>
  <c r="R36" i="11"/>
  <c r="R37" i="11"/>
  <c r="R38" i="11"/>
  <c r="R39" i="11"/>
  <c r="R40" i="11"/>
  <c r="R41" i="11"/>
  <c r="R42" i="11"/>
  <c r="R43" i="11"/>
  <c r="R46" i="11"/>
  <c r="R47" i="11"/>
  <c r="R48" i="11"/>
  <c r="R49" i="11"/>
  <c r="R50" i="11"/>
  <c r="R51" i="11"/>
  <c r="R52" i="11"/>
  <c r="R53" i="11"/>
  <c r="R54" i="11"/>
  <c r="R55" i="11"/>
  <c r="R56" i="11"/>
  <c r="R58" i="11"/>
  <c r="R59" i="11"/>
  <c r="R60" i="11"/>
  <c r="R61" i="11"/>
  <c r="R71" i="11"/>
  <c r="R72" i="11"/>
  <c r="R75" i="11"/>
  <c r="R76" i="11"/>
  <c r="R84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6" i="11"/>
  <c r="R107" i="11"/>
  <c r="R109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30" i="11"/>
  <c r="R131" i="11"/>
  <c r="R153" i="11"/>
  <c r="R154" i="11"/>
  <c r="R155" i="11"/>
  <c r="R156" i="11"/>
  <c r="R157" i="11"/>
  <c r="R158" i="11"/>
  <c r="R159" i="11"/>
  <c r="R162" i="11"/>
  <c r="R163" i="11"/>
  <c r="R164" i="11"/>
  <c r="R165" i="11"/>
  <c r="R166" i="11"/>
  <c r="R172" i="11"/>
  <c r="R173" i="11"/>
  <c r="R174" i="11"/>
  <c r="R175" i="11"/>
  <c r="R176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30" i="11"/>
  <c r="Q31" i="11"/>
  <c r="Q35" i="11"/>
  <c r="Q36" i="11"/>
  <c r="Q37" i="11"/>
  <c r="Q38" i="11"/>
  <c r="Q39" i="11"/>
  <c r="Q40" i="11"/>
  <c r="Q41" i="11"/>
  <c r="Q42" i="11"/>
  <c r="Q43" i="11"/>
  <c r="Q46" i="11"/>
  <c r="Q47" i="11"/>
  <c r="Q48" i="11"/>
  <c r="Q49" i="11"/>
  <c r="Q50" i="11"/>
  <c r="Q51" i="11"/>
  <c r="Q52" i="11"/>
  <c r="Q53" i="11"/>
  <c r="Q54" i="11"/>
  <c r="Q55" i="11"/>
  <c r="Q56" i="11"/>
  <c r="Q58" i="11"/>
  <c r="Q59" i="11"/>
  <c r="Q60" i="11"/>
  <c r="Q61" i="11"/>
  <c r="Q71" i="11"/>
  <c r="Q72" i="11"/>
  <c r="Q75" i="11"/>
  <c r="Q76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6" i="11"/>
  <c r="Q107" i="11"/>
  <c r="Q109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30" i="11"/>
  <c r="Q131" i="11"/>
  <c r="Q153" i="11"/>
  <c r="Q154" i="11"/>
  <c r="Q155" i="11"/>
  <c r="Q156" i="11"/>
  <c r="Q157" i="11"/>
  <c r="Q158" i="11"/>
  <c r="Q159" i="11"/>
  <c r="Q163" i="11"/>
  <c r="Q164" i="11"/>
  <c r="Q165" i="11"/>
  <c r="Q166" i="11"/>
  <c r="Q172" i="11"/>
  <c r="Q173" i="11"/>
  <c r="Q174" i="11"/>
  <c r="Q175" i="11"/>
  <c r="Q176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V2" i="11"/>
  <c r="U2" i="11"/>
  <c r="T2" i="11"/>
  <c r="S2" i="11"/>
  <c r="R2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30" i="11"/>
  <c r="P31" i="11"/>
  <c r="P35" i="11"/>
  <c r="P36" i="11"/>
  <c r="P37" i="11"/>
  <c r="P38" i="11"/>
  <c r="P39" i="11"/>
  <c r="P40" i="11"/>
  <c r="P41" i="11"/>
  <c r="P42" i="11"/>
  <c r="P43" i="11"/>
  <c r="P46" i="11"/>
  <c r="P47" i="11"/>
  <c r="P48" i="11"/>
  <c r="P49" i="11"/>
  <c r="P50" i="11"/>
  <c r="P51" i="11"/>
  <c r="P52" i="11"/>
  <c r="P53" i="11"/>
  <c r="P54" i="11"/>
  <c r="P55" i="11"/>
  <c r="P56" i="11"/>
  <c r="P58" i="11"/>
  <c r="P59" i="11"/>
  <c r="P60" i="11"/>
  <c r="P61" i="11"/>
  <c r="P71" i="11"/>
  <c r="P72" i="11"/>
  <c r="P75" i="11"/>
  <c r="P76" i="11"/>
  <c r="P79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6" i="11"/>
  <c r="P107" i="11"/>
  <c r="P109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31" i="11"/>
  <c r="P153" i="11"/>
  <c r="P154" i="11"/>
  <c r="P155" i="11"/>
  <c r="P156" i="11"/>
  <c r="P157" i="11"/>
  <c r="P158" i="11"/>
  <c r="P159" i="11"/>
  <c r="P163" i="11"/>
  <c r="P164" i="11"/>
  <c r="P165" i="11"/>
  <c r="P166" i="11"/>
  <c r="P172" i="11"/>
  <c r="P173" i="11"/>
  <c r="P174" i="11"/>
  <c r="P175" i="11"/>
  <c r="P176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2" i="11"/>
</calcChain>
</file>

<file path=xl/sharedStrings.xml><?xml version="1.0" encoding="utf-8"?>
<sst xmlns="http://schemas.openxmlformats.org/spreadsheetml/2006/main" count="1323" uniqueCount="654">
  <si>
    <t>Group</t>
  </si>
  <si>
    <t>ID</t>
  </si>
  <si>
    <t>ELI-192</t>
  </si>
  <si>
    <t>ELI-193</t>
  </si>
  <si>
    <t>ELI-194</t>
  </si>
  <si>
    <t>ELI-228</t>
  </si>
  <si>
    <t>ELI-398</t>
  </si>
  <si>
    <t>ELI-196</t>
  </si>
  <si>
    <t>ELI-439</t>
  </si>
  <si>
    <t>ELI-440</t>
  </si>
  <si>
    <t>ELI-437</t>
  </si>
  <si>
    <t>ELI-438</t>
  </si>
  <si>
    <t>ELI-441</t>
  </si>
  <si>
    <t>ELI-442</t>
  </si>
  <si>
    <t>ELI-443</t>
  </si>
  <si>
    <t>ELI-236</t>
  </si>
  <si>
    <t>ELI-235</t>
  </si>
  <si>
    <t>ELI-414</t>
  </si>
  <si>
    <t>ELI-415</t>
  </si>
  <si>
    <t>ELI-436</t>
  </si>
  <si>
    <t>ELI-413</t>
  </si>
  <si>
    <t>ELI-493</t>
  </si>
  <si>
    <t>ELI-494</t>
  </si>
  <si>
    <t>Chowo F01</t>
  </si>
  <si>
    <t>Chowo F02</t>
  </si>
  <si>
    <t>Chowo F03</t>
  </si>
  <si>
    <t>Chowo F04</t>
  </si>
  <si>
    <t>Chowo F05</t>
  </si>
  <si>
    <t>Chowo F06</t>
  </si>
  <si>
    <t>ELI-197</t>
  </si>
  <si>
    <t>ELI-198</t>
  </si>
  <si>
    <t>ELI-230</t>
  </si>
  <si>
    <t>ELI-231</t>
  </si>
  <si>
    <t>ELI-232</t>
  </si>
  <si>
    <t>ELI-424</t>
  </si>
  <si>
    <t>ELI-233</t>
  </si>
  <si>
    <t>May</t>
  </si>
  <si>
    <t>Jan</t>
  </si>
  <si>
    <t>Feb</t>
  </si>
  <si>
    <t>Mar</t>
  </si>
  <si>
    <t>Apr</t>
  </si>
  <si>
    <t>Jun</t>
  </si>
  <si>
    <t>Jul</t>
  </si>
  <si>
    <t>Aug</t>
  </si>
  <si>
    <t>Sept</t>
  </si>
  <si>
    <t>Oct</t>
  </si>
  <si>
    <t>Nov</t>
  </si>
  <si>
    <t>Dec</t>
  </si>
  <si>
    <t>Big Pride 2013 Cub 2</t>
  </si>
  <si>
    <t>Big Pride 2013 Cub 3</t>
  </si>
  <si>
    <t>Big Pride 2013 Cub 4</t>
  </si>
  <si>
    <t>Big Pride 2013 Cub 5</t>
  </si>
  <si>
    <t>Big Pride F01</t>
  </si>
  <si>
    <t>Big Pride F02</t>
  </si>
  <si>
    <t>Big Pride F03</t>
  </si>
  <si>
    <t>Big Pride F04</t>
  </si>
  <si>
    <t>Big Pride F05</t>
  </si>
  <si>
    <t>Big Pride F06</t>
  </si>
  <si>
    <t>Big Pride F07</t>
  </si>
  <si>
    <t>Big Pride F08</t>
  </si>
  <si>
    <t>Big Pride F10</t>
  </si>
  <si>
    <t>Big Pride M01</t>
  </si>
  <si>
    <t>Big Pride M02</t>
  </si>
  <si>
    <t>Big Pride M03</t>
  </si>
  <si>
    <t>ELI-584</t>
  </si>
  <si>
    <t>ELI-585</t>
  </si>
  <si>
    <t>ELI-586</t>
  </si>
  <si>
    <t>ELI-587</t>
  </si>
  <si>
    <t>ELI-243</t>
  </si>
  <si>
    <t>ELI-242</t>
  </si>
  <si>
    <t>ELI-225</t>
  </si>
  <si>
    <t>ELI-224</t>
  </si>
  <si>
    <t>ELI-245</t>
  </si>
  <si>
    <t>ELI-223</t>
  </si>
  <si>
    <t>ELI-220</t>
  </si>
  <si>
    <t>ELI-218</t>
  </si>
  <si>
    <t>ELI-143</t>
  </si>
  <si>
    <t>ELI-219</t>
  </si>
  <si>
    <t>ELI-496</t>
  </si>
  <si>
    <t>ELI-227</t>
  </si>
  <si>
    <t>ELI-221</t>
  </si>
  <si>
    <t>ELI-222</t>
  </si>
  <si>
    <t>Chowo U01</t>
  </si>
  <si>
    <t>Chowo U02</t>
  </si>
  <si>
    <t>Chowo U03</t>
  </si>
  <si>
    <t>ELI-523</t>
  </si>
  <si>
    <t>ELI-524</t>
  </si>
  <si>
    <t>ELI-525</t>
  </si>
  <si>
    <t>Chichele F02</t>
  </si>
  <si>
    <t>Chichele F03</t>
  </si>
  <si>
    <t>ELI-554</t>
  </si>
  <si>
    <t>Chichele F04</t>
  </si>
  <si>
    <t>ELI-555</t>
  </si>
  <si>
    <t>Chichele F05</t>
  </si>
  <si>
    <t>ELI-238</t>
  </si>
  <si>
    <t>Chichele M02</t>
  </si>
  <si>
    <t>ELI-556</t>
  </si>
  <si>
    <t>Chichele M03</t>
  </si>
  <si>
    <t>Nsefu F01</t>
  </si>
  <si>
    <t>ELI-173</t>
  </si>
  <si>
    <t>Nsefu F02</t>
  </si>
  <si>
    <t>ELI-174</t>
  </si>
  <si>
    <t>Nsefu F03</t>
  </si>
  <si>
    <t>ELI-247</t>
  </si>
  <si>
    <t>Nsefu F04</t>
  </si>
  <si>
    <t>ELI-248</t>
  </si>
  <si>
    <t>Nsefu F05</t>
  </si>
  <si>
    <t>ELI-249</t>
  </si>
  <si>
    <t>Nsefu F06</t>
  </si>
  <si>
    <t>ELI-250</t>
  </si>
  <si>
    <t>Nsefu F07</t>
  </si>
  <si>
    <t>ELI-462</t>
  </si>
  <si>
    <t>Nsefu F11</t>
  </si>
  <si>
    <t>ELI-378</t>
  </si>
  <si>
    <t>Nsefu F12</t>
  </si>
  <si>
    <t>ELI-463</t>
  </si>
  <si>
    <t>ELI-373</t>
  </si>
  <si>
    <t>ELI-375</t>
  </si>
  <si>
    <t>ELI-377</t>
  </si>
  <si>
    <t>Nsefu M06</t>
  </si>
  <si>
    <t>ELI-464</t>
  </si>
  <si>
    <t>Nsefu M07</t>
  </si>
  <si>
    <t>ELI-553</t>
  </si>
  <si>
    <t>Hot Springs F01</t>
  </si>
  <si>
    <t>ELI-258</t>
  </si>
  <si>
    <t>Hot Springs F02</t>
  </si>
  <si>
    <t>ELI-256</t>
  </si>
  <si>
    <t>Hot Springs F03</t>
  </si>
  <si>
    <t>ELI-466</t>
  </si>
  <si>
    <t>Hot Springs M01</t>
  </si>
  <si>
    <t>ELI-379</t>
  </si>
  <si>
    <t>Kapamba F01</t>
  </si>
  <si>
    <t>ELI-203</t>
  </si>
  <si>
    <t>Kapamba F02</t>
  </si>
  <si>
    <t>ELI-204</t>
  </si>
  <si>
    <t>Kapamba F09</t>
  </si>
  <si>
    <t>ELI-532</t>
  </si>
  <si>
    <t>Kapamba M03</t>
  </si>
  <si>
    <t>ELI-534</t>
  </si>
  <si>
    <t>Kapamba M04</t>
  </si>
  <si>
    <t>ELI-533</t>
  </si>
  <si>
    <t>Kapamba M05</t>
  </si>
  <si>
    <t>ELI-535</t>
  </si>
  <si>
    <t>Kapamba M06</t>
  </si>
  <si>
    <t>ELI-536</t>
  </si>
  <si>
    <t>New Kapamba F03</t>
  </si>
  <si>
    <t>ELI-480</t>
  </si>
  <si>
    <t>2011 Cub U01</t>
  </si>
  <si>
    <t>2011 Cub U02</t>
  </si>
  <si>
    <t>2011 Cub U03</t>
  </si>
  <si>
    <t>2011 Cub U04</t>
  </si>
  <si>
    <t>Chamilandu F01</t>
  </si>
  <si>
    <t>Chamilandu F02</t>
  </si>
  <si>
    <t>Chamilandu F03</t>
  </si>
  <si>
    <t>Chamilandu F05</t>
  </si>
  <si>
    <t>Chamilandu F06</t>
  </si>
  <si>
    <t>Chamilandu F07</t>
  </si>
  <si>
    <t>ELI-405</t>
  </si>
  <si>
    <t>Chamilandu F08</t>
  </si>
  <si>
    <t>ELI-444</t>
  </si>
  <si>
    <t>Chamilandu F09</t>
  </si>
  <si>
    <t>Chamilandu F10</t>
  </si>
  <si>
    <t>Chamilandu F11</t>
  </si>
  <si>
    <t>Chamilandu M03</t>
  </si>
  <si>
    <t>ELI-404</t>
  </si>
  <si>
    <t>Chamilandu Male Cub 01</t>
  </si>
  <si>
    <t>Hollywood Cub 01 '10</t>
  </si>
  <si>
    <t>ELI-400</t>
  </si>
  <si>
    <t>Hollywood Cub 02 '10</t>
  </si>
  <si>
    <t>ELI-401</t>
  </si>
  <si>
    <t>Hollywood F01</t>
  </si>
  <si>
    <t>Hollywood F02</t>
  </si>
  <si>
    <t>Hollywood F03</t>
  </si>
  <si>
    <t>Hollywood F04</t>
  </si>
  <si>
    <t>Hollywood F05</t>
  </si>
  <si>
    <t>Hollywood F06</t>
  </si>
  <si>
    <t>Luwi F01</t>
  </si>
  <si>
    <t>ELI-152</t>
  </si>
  <si>
    <t>Luwi F03</t>
  </si>
  <si>
    <t>ELI-154</t>
  </si>
  <si>
    <t>Luwi F04</t>
  </si>
  <si>
    <t>ELI-155</t>
  </si>
  <si>
    <t>Luwi F08</t>
  </si>
  <si>
    <t>ELI-160</t>
  </si>
  <si>
    <t>Luwi F09</t>
  </si>
  <si>
    <t>ELI-241</t>
  </si>
  <si>
    <t>Luwi F10</t>
  </si>
  <si>
    <t>ELI-369</t>
  </si>
  <si>
    <t>Luwi M05</t>
  </si>
  <si>
    <t>ELI-370</t>
  </si>
  <si>
    <t>Manky Ear</t>
  </si>
  <si>
    <t>ELI-159</t>
  </si>
  <si>
    <t>Luwi M01</t>
  </si>
  <si>
    <t>ELI-158</t>
  </si>
  <si>
    <t>Luwi M02</t>
  </si>
  <si>
    <t>ELI-161</t>
  </si>
  <si>
    <t>Ginger</t>
  </si>
  <si>
    <t>ELI-162</t>
  </si>
  <si>
    <t>Luwi M04</t>
  </si>
  <si>
    <t>ELI-163</t>
  </si>
  <si>
    <t>Mwamba I F01</t>
  </si>
  <si>
    <t>ELI-124</t>
  </si>
  <si>
    <t>Mwamba I F02</t>
  </si>
  <si>
    <t>ELI-125</t>
  </si>
  <si>
    <t>Mwamba I F03</t>
  </si>
  <si>
    <t>ELI-246</t>
  </si>
  <si>
    <t>Mwamba I F04</t>
  </si>
  <si>
    <t>ELI-126</t>
  </si>
  <si>
    <t>Mwamba I F05</t>
  </si>
  <si>
    <t>ELI-127</t>
  </si>
  <si>
    <t>Mwamba I M03</t>
  </si>
  <si>
    <t>ELI-130</t>
  </si>
  <si>
    <t>Mwamba II F01</t>
  </si>
  <si>
    <t>ELI-134</t>
  </si>
  <si>
    <t>Mwamba II F02</t>
  </si>
  <si>
    <t>ELI-135</t>
  </si>
  <si>
    <t>Mwamba II F03</t>
  </si>
  <si>
    <t>ELI-136</t>
  </si>
  <si>
    <t>Mwamba II F05</t>
  </si>
  <si>
    <t>ELI-138</t>
  </si>
  <si>
    <t>Mwamba II F06</t>
  </si>
  <si>
    <t>ELI-139</t>
  </si>
  <si>
    <t>Nsolo F06</t>
  </si>
  <si>
    <t>ELI-215</t>
  </si>
  <si>
    <t>Nsolo F07</t>
  </si>
  <si>
    <t>ELI-454</t>
  </si>
  <si>
    <t>Nsolo F08</t>
  </si>
  <si>
    <t>ELI-455</t>
  </si>
  <si>
    <t>Nsolo F09</t>
  </si>
  <si>
    <t>ELI-458</t>
  </si>
  <si>
    <t>Nsolo F10</t>
  </si>
  <si>
    <t>ELI-459</t>
  </si>
  <si>
    <t>Nsolo M04</t>
  </si>
  <si>
    <t>ELI-461</t>
  </si>
  <si>
    <t>Nsolo M05</t>
  </si>
  <si>
    <t>ELI-456</t>
  </si>
  <si>
    <t>Nsolo M06</t>
  </si>
  <si>
    <t>ELI-457</t>
  </si>
  <si>
    <t>Nsolo M07</t>
  </si>
  <si>
    <t>ELI-460</t>
  </si>
  <si>
    <t>Nsolo Pride F02</t>
  </si>
  <si>
    <t>ELI-209</t>
  </si>
  <si>
    <t>Nsolo Pride F03</t>
  </si>
  <si>
    <t>ELI-210</t>
  </si>
  <si>
    <t>Nsolo Pride F05</t>
  </si>
  <si>
    <t>ELI-212</t>
  </si>
  <si>
    <t>Saltpan 2011 Cub U01</t>
  </si>
  <si>
    <t>ELI-468</t>
  </si>
  <si>
    <t>Saltpan F01</t>
  </si>
  <si>
    <t>ELI-182</t>
  </si>
  <si>
    <t>Saltpan F03</t>
  </si>
  <si>
    <t>ELI-261</t>
  </si>
  <si>
    <t>Saltpan F04</t>
  </si>
  <si>
    <t>ELI-185</t>
  </si>
  <si>
    <t>Saltpan F06</t>
  </si>
  <si>
    <t>ELI-257</t>
  </si>
  <si>
    <t>Saltpan F07</t>
  </si>
  <si>
    <t>ELI-183</t>
  </si>
  <si>
    <t>Saltpan F08</t>
  </si>
  <si>
    <t>ELI-189</t>
  </si>
  <si>
    <t>Saltpan F09</t>
  </si>
  <si>
    <t>ELI-465</t>
  </si>
  <si>
    <t>Saltpan F10</t>
  </si>
  <si>
    <t>ELI-467</t>
  </si>
  <si>
    <t>Saltpan M02</t>
  </si>
  <si>
    <t>ELI-259</t>
  </si>
  <si>
    <t>Saltpan M04</t>
  </si>
  <si>
    <t>ELI-187</t>
  </si>
  <si>
    <t>Saltpan Coa M02</t>
  </si>
  <si>
    <t>ELI-179</t>
  </si>
  <si>
    <t>Big Pride M04</t>
  </si>
  <si>
    <t>ELI-167</t>
  </si>
  <si>
    <t>Big Pride M05</t>
  </si>
  <si>
    <t>ELI-168</t>
  </si>
  <si>
    <t>Big Pride M06</t>
  </si>
  <si>
    <t>ELI-169</t>
  </si>
  <si>
    <t>Tafika F01</t>
  </si>
  <si>
    <t>ELI-475</t>
  </si>
  <si>
    <t>Tafika M01</t>
  </si>
  <si>
    <t>ELI-476</t>
  </si>
  <si>
    <t>Tafika M02</t>
  </si>
  <si>
    <t>ELI-477</t>
  </si>
  <si>
    <t>Tafika M03</t>
  </si>
  <si>
    <t>ELI-478</t>
  </si>
  <si>
    <t>Tsetse Coa M01</t>
  </si>
  <si>
    <t>ELI-564</t>
  </si>
  <si>
    <t>Tsetse Coa M02</t>
  </si>
  <si>
    <t>ELI-565</t>
  </si>
  <si>
    <t>Nsolo I Coa M02</t>
  </si>
  <si>
    <t>ELI-207</t>
  </si>
  <si>
    <t>Nsolo II Coa M01</t>
  </si>
  <si>
    <t>ELI-213</t>
  </si>
  <si>
    <t>Nsolo II Coa M02</t>
  </si>
  <si>
    <t>ELI-214</t>
  </si>
  <si>
    <t>Nsolo II Coa M03</t>
  </si>
  <si>
    <t>ELI-216</t>
  </si>
  <si>
    <t>Puku Ridge M01</t>
  </si>
  <si>
    <t>ELI-445</t>
  </si>
  <si>
    <t>Puku Ridge M02</t>
  </si>
  <si>
    <t>ELI-267</t>
  </si>
  <si>
    <t>Malama Coa M01</t>
  </si>
  <si>
    <t>ELI-563</t>
  </si>
  <si>
    <t>Mwamba Coa M01</t>
  </si>
  <si>
    <t>ELI-420</t>
  </si>
  <si>
    <t>Scarface</t>
  </si>
  <si>
    <t>ELI-202</t>
  </si>
  <si>
    <t>Kakonje M02</t>
  </si>
  <si>
    <t>ELI-407</t>
  </si>
  <si>
    <t>Lion Plain M01</t>
  </si>
  <si>
    <t>ELI-175</t>
  </si>
  <si>
    <t>Luamfwa F01</t>
  </si>
  <si>
    <t>ELI-562</t>
  </si>
  <si>
    <t>Luamfwa M01</t>
  </si>
  <si>
    <t>ELI-402</t>
  </si>
  <si>
    <t>Limpy</t>
  </si>
  <si>
    <t>ELI-474</t>
  </si>
  <si>
    <t>Shaka</t>
  </si>
  <si>
    <t>ELI-234</t>
  </si>
  <si>
    <t>Nsefu F09</t>
  </si>
  <si>
    <t>ELI-254</t>
  </si>
  <si>
    <t>ELI-590</t>
  </si>
  <si>
    <t>ELI-592</t>
  </si>
  <si>
    <t>ELI-593</t>
  </si>
  <si>
    <t>ELI-594</t>
  </si>
  <si>
    <t>Big Pride 2013 Cub 6</t>
  </si>
  <si>
    <t>Big Pride 2013 Cub 8</t>
  </si>
  <si>
    <t>Big Pride 2013 Cub 9</t>
  </si>
  <si>
    <t>Big Pride 2013 Cub 10</t>
  </si>
  <si>
    <t>Hollywood M01</t>
  </si>
  <si>
    <t>April</t>
  </si>
  <si>
    <t>ELI-767</t>
  </si>
  <si>
    <t>ELI-765</t>
  </si>
  <si>
    <t>ELI-769</t>
  </si>
  <si>
    <t>ELI-766</t>
  </si>
  <si>
    <t>ELI-768</t>
  </si>
  <si>
    <t>ELI-604</t>
  </si>
  <si>
    <t>ELI-713</t>
  </si>
  <si>
    <t>ELI-714</t>
  </si>
  <si>
    <t>ELI-716</t>
  </si>
  <si>
    <t>ELI-717</t>
  </si>
  <si>
    <t>ELI-718</t>
  </si>
  <si>
    <t>ELI-719</t>
  </si>
  <si>
    <t>ELI-589</t>
  </si>
  <si>
    <t>ELI-700</t>
  </si>
  <si>
    <t>ELI-701</t>
  </si>
  <si>
    <t>ELI-702</t>
  </si>
  <si>
    <t>ELI-708</t>
  </si>
  <si>
    <t>ELI-709</t>
  </si>
  <si>
    <t>ELI-710</t>
  </si>
  <si>
    <t>ELI-711</t>
  </si>
  <si>
    <t>ELI-703</t>
  </si>
  <si>
    <t>ELI-613</t>
  </si>
  <si>
    <t>ELI-616</t>
  </si>
  <si>
    <t>ELI-618</t>
  </si>
  <si>
    <t>ELI-737</t>
  </si>
  <si>
    <t>ELI-736</t>
  </si>
  <si>
    <t>ELI-615</t>
  </si>
  <si>
    <t>ELI-735</t>
  </si>
  <si>
    <t>ELI-617</t>
  </si>
  <si>
    <t>ELI-738</t>
  </si>
  <si>
    <t>ELI-664</t>
  </si>
  <si>
    <t>ELI-469</t>
  </si>
  <si>
    <t>Cub 1</t>
  </si>
  <si>
    <t>Cub 2</t>
  </si>
  <si>
    <t>Cub 3</t>
  </si>
  <si>
    <t>Cub 4</t>
  </si>
  <si>
    <t>ELI-659</t>
  </si>
  <si>
    <t>ELI-663</t>
  </si>
  <si>
    <t>ELI-666</t>
  </si>
  <si>
    <t>ELI-658</t>
  </si>
  <si>
    <t>ELI-657</t>
  </si>
  <si>
    <t>ELI-660</t>
  </si>
  <si>
    <t>ELI-662</t>
  </si>
  <si>
    <t>ELI-421</t>
  </si>
  <si>
    <t>Cub 5</t>
  </si>
  <si>
    <t>ELI-470</t>
  </si>
  <si>
    <t>ELI-473</t>
  </si>
  <si>
    <t>ELI-472</t>
  </si>
  <si>
    <t>Cub 6</t>
  </si>
  <si>
    <t xml:space="preserve">Jan </t>
  </si>
  <si>
    <t>Nchindeni</t>
  </si>
  <si>
    <t>ELI-775</t>
  </si>
  <si>
    <t>ELI-776</t>
  </si>
  <si>
    <t>ELI-777</t>
  </si>
  <si>
    <t>ELI-778</t>
  </si>
  <si>
    <t>ELI-786</t>
  </si>
  <si>
    <t>Muchinga</t>
  </si>
  <si>
    <t>Kakumbi</t>
  </si>
  <si>
    <t>pride</t>
  </si>
  <si>
    <t>altname</t>
  </si>
  <si>
    <t>lionid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</si>
  <si>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</si>
  <si>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</si>
  <si>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</si>
  <si>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</si>
  <si>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</si>
  <si>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</si>
  <si>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</si>
  <si>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</si>
  <si>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</si>
  <si>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</si>
  <si>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</si>
  <si>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</si>
  <si>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sexknown</t>
  </si>
  <si>
    <t>sexmale</t>
  </si>
  <si>
    <t>knowndead</t>
  </si>
  <si>
    <t>dobknown</t>
  </si>
  <si>
    <t>yearatfirst</t>
  </si>
  <si>
    <t>monthatfirst</t>
  </si>
  <si>
    <t>ageatfirst</t>
  </si>
  <si>
    <t>ELI-607</t>
  </si>
  <si>
    <t>Chinzombo</t>
  </si>
  <si>
    <t>Chinzombo F01</t>
  </si>
  <si>
    <t>Chinzombo F02</t>
  </si>
  <si>
    <t>Chinzombo F03</t>
  </si>
  <si>
    <t>Tafika 2 COA</t>
  </si>
  <si>
    <t>Tafika 2 M1</t>
  </si>
  <si>
    <t>ELI-628</t>
  </si>
  <si>
    <t>Tafika 2 M2</t>
  </si>
  <si>
    <t>ELI-629</t>
  </si>
  <si>
    <t>Kapamba</t>
  </si>
  <si>
    <t>ELI-481</t>
  </si>
  <si>
    <t>Zikomo Coa</t>
  </si>
  <si>
    <t>Zikomo M1</t>
  </si>
  <si>
    <t>Zikomo M2</t>
  </si>
  <si>
    <t>ELI-699</t>
  </si>
  <si>
    <t>Tena Tena</t>
  </si>
  <si>
    <t>Tena Tena F02</t>
  </si>
  <si>
    <t>ELI-262</t>
  </si>
  <si>
    <t>Tena Tena Cub 1</t>
  </si>
  <si>
    <t>ELI-752</t>
  </si>
  <si>
    <t>Tena Tena Cub 2</t>
  </si>
  <si>
    <t>ELI-753</t>
  </si>
  <si>
    <t>ELI-425</t>
  </si>
  <si>
    <t>ELI-NC</t>
  </si>
  <si>
    <t>ELI-LP151</t>
  </si>
  <si>
    <t>ELI-LP152</t>
  </si>
  <si>
    <t>ELI-LP153</t>
  </si>
  <si>
    <t>ELI-LP154</t>
  </si>
  <si>
    <t>ELI-LP155</t>
  </si>
  <si>
    <t>ELI-MP1</t>
  </si>
  <si>
    <t>ELI-MP2</t>
  </si>
  <si>
    <t>ELI-MP3</t>
  </si>
  <si>
    <t>ELI-MP4</t>
  </si>
  <si>
    <t>ELI-661</t>
  </si>
  <si>
    <t>Mwamba Coa</t>
  </si>
  <si>
    <t>Mwamba Coa M02</t>
  </si>
  <si>
    <t>ELI-NS1</t>
  </si>
  <si>
    <t>ELI-NS2</t>
  </si>
  <si>
    <t>ELI-NSE1</t>
  </si>
  <si>
    <t>ELI-NSE2</t>
  </si>
  <si>
    <t>ELI-NSE3</t>
  </si>
  <si>
    <t>ELI-NSE4</t>
  </si>
  <si>
    <t>ELI-NSE5</t>
  </si>
  <si>
    <t>ELI-NSE6</t>
  </si>
  <si>
    <t>Kauluzi</t>
  </si>
  <si>
    <t>Kauluzi F01</t>
  </si>
  <si>
    <t>Kauluzi F02</t>
  </si>
  <si>
    <t>Kauluzi F03</t>
  </si>
  <si>
    <t>ELI-KA1</t>
  </si>
  <si>
    <t>ELI-KA2</t>
  </si>
  <si>
    <t>ELI-KA3</t>
  </si>
  <si>
    <t>ELI-KA4</t>
  </si>
  <si>
    <t>Kauluzi Cub1</t>
  </si>
  <si>
    <t>Nsolo 2</t>
  </si>
  <si>
    <t>Nsolo 2 F01</t>
  </si>
  <si>
    <t>Nsolo 2 F02</t>
  </si>
  <si>
    <t>Nsolo 2 F03</t>
  </si>
  <si>
    <t>Nsolo 2 Cub'14 01</t>
  </si>
  <si>
    <t>Nsolo 2 Cub'14 02</t>
  </si>
  <si>
    <t>Nsolo 2 Cub'14 03</t>
  </si>
  <si>
    <t>Nsolo 2 Cub'14 04</t>
  </si>
  <si>
    <t>Nsolo 2 Cub'15 01</t>
  </si>
  <si>
    <t>Nsolo 2 Cub'15 02</t>
  </si>
  <si>
    <t>Kapamba 2</t>
  </si>
  <si>
    <t>Kapamba 2 F01</t>
  </si>
  <si>
    <t>Kapamba 2 F02</t>
  </si>
  <si>
    <t>Kapamba 2 F03</t>
  </si>
  <si>
    <t>Big Pride</t>
  </si>
  <si>
    <t>2014 Cub 1</t>
  </si>
  <si>
    <t>2014 Cub 2</t>
  </si>
  <si>
    <t>2014 Cub 3</t>
  </si>
  <si>
    <t>2014 Cub 4</t>
  </si>
  <si>
    <t>2014 Cub 5</t>
  </si>
  <si>
    <t>2015 Cub1</t>
  </si>
  <si>
    <t>2015 Cub2</t>
  </si>
  <si>
    <t>2015 Cub3</t>
  </si>
  <si>
    <t>2015 Cub4</t>
  </si>
  <si>
    <t>2015 Cub5</t>
  </si>
  <si>
    <t>2015 Cub6</t>
  </si>
  <si>
    <t>Chowo</t>
  </si>
  <si>
    <t>Chichele</t>
  </si>
  <si>
    <t>Chichele Cub3</t>
  </si>
  <si>
    <t>Chichele Cub1</t>
  </si>
  <si>
    <t>Nsefu</t>
  </si>
  <si>
    <t>Nsefu 2013 Cub</t>
  </si>
  <si>
    <t>Nsefu 2014 Cub1</t>
  </si>
  <si>
    <t>Nsefu 2014 Cub2</t>
  </si>
  <si>
    <t>Nsefu 2014 Cub4</t>
  </si>
  <si>
    <t>Nsefu 2014 Cub5</t>
  </si>
  <si>
    <t>Nsefu 2014 Cub6</t>
  </si>
  <si>
    <t>Nsefu 2014 Cub7</t>
  </si>
  <si>
    <t>Nsefu 2015 Cub1</t>
  </si>
  <si>
    <t>Nsefu 2015 Cub2</t>
  </si>
  <si>
    <t>Nsefu 2015 Cub3</t>
  </si>
  <si>
    <t>Nsefu 2015 Cub4</t>
  </si>
  <si>
    <t>Nsefu 2015 Cub5</t>
  </si>
  <si>
    <t>Nsefu 2015 Cub6</t>
  </si>
  <si>
    <t>Chamilandu</t>
  </si>
  <si>
    <t>Hollywood</t>
  </si>
  <si>
    <t>Hollywood 2013Cub2</t>
  </si>
  <si>
    <t>Hollywood 2013Cub3</t>
  </si>
  <si>
    <t>Hollywood 2013Cub4</t>
  </si>
  <si>
    <t>Hollywood 2013Cub5</t>
  </si>
  <si>
    <t>Hollywood 2013Cub6</t>
  </si>
  <si>
    <t>Hollywood 2013Cub7</t>
  </si>
  <si>
    <t>Hollywood 2014Cub3</t>
  </si>
  <si>
    <t>Hollywood 2013Cub8</t>
  </si>
  <si>
    <t>Hollywood 2014Cub1</t>
  </si>
  <si>
    <t>Hollywood F07</t>
  </si>
  <si>
    <t>Luwi</t>
  </si>
  <si>
    <t>Luwi 2015Cub 1</t>
  </si>
  <si>
    <t>Luwi 2015Cub 2</t>
  </si>
  <si>
    <t>Luwi 2015Cub 3</t>
  </si>
  <si>
    <t>Luwi 2015Cub 4</t>
  </si>
  <si>
    <t>Luwi 2015Cub 5</t>
  </si>
  <si>
    <t>Mwamba I</t>
  </si>
  <si>
    <t>Mwamba I 2015Cub 1</t>
  </si>
  <si>
    <t>Mwamba I 2015Cub 2</t>
  </si>
  <si>
    <t>Mwamba I 2015Cub 3</t>
  </si>
  <si>
    <t>Mwamba I 2015Cub 4</t>
  </si>
  <si>
    <t>Hot Springs</t>
  </si>
  <si>
    <t>Saltpan</t>
  </si>
  <si>
    <t>Muchinga 01</t>
  </si>
  <si>
    <t>Tsetse Coa</t>
  </si>
  <si>
    <t>Nsolo II Coa</t>
  </si>
  <si>
    <t>Limpy Coa</t>
  </si>
  <si>
    <t>Mwamba I F07</t>
  </si>
  <si>
    <t>Floppy Coa</t>
  </si>
  <si>
    <t>Floppy Coa M01</t>
  </si>
  <si>
    <t>Nsefu 2015 Cub7</t>
  </si>
  <si>
    <t>Nsefu 2015 Cub8</t>
  </si>
  <si>
    <t>Nsefu 2015 Cub9</t>
  </si>
  <si>
    <t>ELI-376</t>
  </si>
  <si>
    <t>Mwamba II</t>
  </si>
  <si>
    <t>Mwamba II Cub 01</t>
  </si>
  <si>
    <t>Mwamba II 2015 Cub 1</t>
  </si>
  <si>
    <t>Mwamba II 2015 Cub 2</t>
  </si>
  <si>
    <t>Mwamba II 2015 Cub 3</t>
  </si>
  <si>
    <t>Mwamba II 2015 Cub 4</t>
  </si>
  <si>
    <t>Mwamba II 2015 Cub 5</t>
  </si>
  <si>
    <t>Mwamba II 2015 Cub 6</t>
  </si>
  <si>
    <t>Mwamba II 2015 Cub 7</t>
  </si>
  <si>
    <t>Mwamba II 2015 Cub 8</t>
  </si>
  <si>
    <t>NA</t>
  </si>
  <si>
    <t>ELI-801</t>
  </si>
  <si>
    <t>ELI-802</t>
  </si>
  <si>
    <t>ELI-803</t>
  </si>
  <si>
    <t>ELI-804</t>
  </si>
  <si>
    <t>ELI-815</t>
  </si>
  <si>
    <t>ELI-816</t>
  </si>
  <si>
    <t>ELI-817</t>
  </si>
  <si>
    <t>ELI-818</t>
  </si>
  <si>
    <t>ELI-819</t>
  </si>
  <si>
    <t>ELI-820</t>
  </si>
  <si>
    <t>ELI-821</t>
  </si>
  <si>
    <t>ELI-822</t>
  </si>
  <si>
    <t>ELI-824</t>
  </si>
  <si>
    <t>ELI-825</t>
  </si>
  <si>
    <t>ELI-826</t>
  </si>
  <si>
    <t>ELI-827</t>
  </si>
  <si>
    <t>ELI-828</t>
  </si>
  <si>
    <t>ELI-829</t>
  </si>
  <si>
    <t>ELI-830</t>
  </si>
  <si>
    <t>ELI-831</t>
  </si>
  <si>
    <t>ELI-832</t>
  </si>
  <si>
    <t>ELI-823</t>
  </si>
  <si>
    <t>ELI-833</t>
  </si>
  <si>
    <t>Saltpan 2015 Cub1</t>
  </si>
  <si>
    <t>Saltpan 2015 Cub2</t>
  </si>
  <si>
    <t>Saltpan 2015 Cub3</t>
  </si>
  <si>
    <t>Saltpan 2015 Cub4</t>
  </si>
  <si>
    <t>Saltpan 2015 Cub5</t>
  </si>
  <si>
    <t>ELI-770</t>
  </si>
  <si>
    <t>ELI-771</t>
  </si>
  <si>
    <t>ELI-772</t>
  </si>
  <si>
    <t>ELI-773</t>
  </si>
  <si>
    <t>ELI-774</t>
  </si>
  <si>
    <t>ELI-609</t>
  </si>
  <si>
    <t>ELI-611</t>
  </si>
  <si>
    <t>Hot Springs M02</t>
  </si>
  <si>
    <t>Hot Springs M03</t>
  </si>
  <si>
    <t>ELI-810</t>
  </si>
  <si>
    <t>ELI-811</t>
  </si>
  <si>
    <t>ELI-812</t>
  </si>
  <si>
    <t>ELI-813</t>
  </si>
  <si>
    <t>ELI-814</t>
  </si>
  <si>
    <t>ELI-647</t>
  </si>
  <si>
    <t>2015 Cub7</t>
  </si>
  <si>
    <t>2015 Cub8</t>
  </si>
  <si>
    <t>ELI-665</t>
  </si>
  <si>
    <t>Kapanda male</t>
  </si>
  <si>
    <t>Rambo</t>
  </si>
  <si>
    <t>Stumpy</t>
  </si>
  <si>
    <t>Scar</t>
  </si>
  <si>
    <t>Mwamba II F04</t>
  </si>
  <si>
    <t>ELI-137</t>
  </si>
  <si>
    <t>ELI-879</t>
  </si>
  <si>
    <t>ELI-880</t>
  </si>
  <si>
    <t>ELI-881</t>
  </si>
  <si>
    <t>ELI-882</t>
  </si>
  <si>
    <t>Mwamba II F07</t>
  </si>
  <si>
    <t>Mwamba II F08</t>
  </si>
  <si>
    <t>ELI-990</t>
  </si>
  <si>
    <t>ELI-989</t>
  </si>
  <si>
    <t>ELI-962</t>
  </si>
  <si>
    <t>ELI-963</t>
  </si>
  <si>
    <t>ELI-991</t>
  </si>
  <si>
    <t>ELI-918</t>
  </si>
  <si>
    <t>ELI-919</t>
  </si>
  <si>
    <t>ELI-985</t>
  </si>
  <si>
    <t>Mvuu</t>
  </si>
  <si>
    <t>Mvuu M01</t>
  </si>
  <si>
    <t>Mvuu M02</t>
  </si>
  <si>
    <t>Mvuu M03</t>
  </si>
  <si>
    <t>ELI-965</t>
  </si>
  <si>
    <t>ELI-966</t>
  </si>
  <si>
    <t>ELI-967</t>
  </si>
  <si>
    <t>ELI-968</t>
  </si>
  <si>
    <t>ELI-972</t>
  </si>
  <si>
    <t>ELI-982</t>
  </si>
  <si>
    <t>ELI-983</t>
  </si>
  <si>
    <t>ELI-984</t>
  </si>
  <si>
    <t>ELI-986</t>
  </si>
  <si>
    <t>ELI-987</t>
  </si>
  <si>
    <t>ELI-976</t>
  </si>
  <si>
    <t>Chamilandu Cub 2013</t>
  </si>
  <si>
    <t>ELI-961</t>
  </si>
  <si>
    <t>ELI-598</t>
  </si>
  <si>
    <t>ELI-599</t>
  </si>
  <si>
    <t>collaredgroup</t>
  </si>
  <si>
    <t>ELI-992</t>
  </si>
  <si>
    <t>Stumpy/Scar Coa</t>
  </si>
  <si>
    <t>ELI-606</t>
  </si>
  <si>
    <t>ELI-969</t>
  </si>
  <si>
    <t>ELI-970</t>
  </si>
  <si>
    <t>ELI-971</t>
  </si>
  <si>
    <t xml:space="preserve"> </t>
  </si>
  <si>
    <t>New Luwi Coa</t>
  </si>
  <si>
    <t>ELI-779</t>
  </si>
  <si>
    <t>ELI-757</t>
  </si>
  <si>
    <t>ELI-260</t>
  </si>
  <si>
    <t>Nsefu 2014 Cub3</t>
  </si>
  <si>
    <t>ELI-715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</si>
</sst>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19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3" borderId="0" xfId="0" applyFill="1" applyBorder="1"/>
    <xf numFmtId="0" fontId="0" fillId="3" borderId="3" xfId="0" applyFill="1" applyBorder="1"/>
    <xf numFmtId="0" fontId="2" fillId="3" borderId="7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0" fillId="3" borderId="0" xfId="0" applyFill="1"/>
    <xf numFmtId="0" fontId="1" fillId="0" borderId="4" xfId="0" applyFont="1" applyBorder="1" applyAlignment="1">
      <alignment horizontal="center" vertical="center"/>
    </xf>
    <xf numFmtId="0" fontId="0" fillId="3" borderId="15" xfId="0" applyFill="1" applyBorder="1"/>
    <xf numFmtId="0" fontId="0" fillId="0" borderId="0" xfId="0" applyBorder="1"/>
    <xf numFmtId="0" fontId="0" fillId="0" borderId="11" xfId="0" applyBorder="1"/>
    <xf numFmtId="0" fontId="3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3" borderId="4" xfId="0" applyFill="1" applyBorder="1"/>
    <xf numFmtId="0" fontId="3" fillId="0" borderId="10" xfId="0" applyFont="1" applyBorder="1" applyAlignment="1"/>
    <xf numFmtId="0" fontId="1" fillId="0" borderId="14" xfId="0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1" fillId="0" borderId="27" xfId="0" applyFont="1" applyBorder="1" applyAlignment="1"/>
    <xf numFmtId="0" fontId="1" fillId="0" borderId="30" xfId="0" applyFont="1" applyBorder="1" applyAlignment="1"/>
    <xf numFmtId="0" fontId="1" fillId="0" borderId="28" xfId="0" applyFont="1" applyBorder="1" applyAlignment="1"/>
    <xf numFmtId="0" fontId="0" fillId="0" borderId="0" xfId="0" applyAlignment="1"/>
    <xf numFmtId="0" fontId="0" fillId="0" borderId="0" xfId="0" applyNumberFormat="1"/>
    <xf numFmtId="0" fontId="0" fillId="3" borderId="14" xfId="0" applyFill="1" applyBorder="1"/>
    <xf numFmtId="0" fontId="0" fillId="3" borderId="29" xfId="0" applyFill="1" applyBorder="1"/>
    <xf numFmtId="0" fontId="2" fillId="0" borderId="3" xfId="0" applyFont="1" applyBorder="1" applyAlignment="1">
      <alignment horizontal="right" vertical="center"/>
    </xf>
    <xf numFmtId="0" fontId="3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3" borderId="7" xfId="0" applyFill="1" applyBorder="1"/>
    <xf numFmtId="0" fontId="0" fillId="3" borderId="10" xfId="0" applyFill="1" applyBorder="1"/>
    <xf numFmtId="0" fontId="0" fillId="3" borderId="33" xfId="0" applyFill="1" applyBorder="1"/>
    <xf numFmtId="0" fontId="0" fillId="3" borderId="9" xfId="0" applyFill="1" applyBorder="1"/>
    <xf numFmtId="0" fontId="2" fillId="0" borderId="34" xfId="0" applyFont="1" applyBorder="1" applyAlignment="1">
      <alignment vertical="center"/>
    </xf>
    <xf numFmtId="0" fontId="0" fillId="0" borderId="9" xfId="0" applyBorder="1"/>
    <xf numFmtId="0" fontId="0" fillId="0" borderId="34" xfId="0" applyBorder="1"/>
    <xf numFmtId="0" fontId="3" fillId="0" borderId="35" xfId="0" applyFont="1" applyBorder="1" applyAlignment="1">
      <alignment vertical="center"/>
    </xf>
    <xf numFmtId="0" fontId="1" fillId="0" borderId="36" xfId="0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/>
    </xf>
    <xf numFmtId="0" fontId="0" fillId="3" borderId="38" xfId="0" applyFill="1" applyBorder="1"/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3" borderId="39" xfId="0" applyFill="1" applyBorder="1"/>
    <xf numFmtId="0" fontId="4" fillId="0" borderId="4" xfId="0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0" borderId="4" xfId="0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" xfId="0" applyFont="1" applyFill="1" applyBorder="1"/>
    <xf numFmtId="0" fontId="5" fillId="0" borderId="3" xfId="0" applyFont="1" applyFill="1" applyBorder="1" applyAlignment="1">
      <alignment horizontal="center"/>
    </xf>
    <xf numFmtId="14" fontId="5" fillId="0" borderId="3" xfId="0" applyNumberFormat="1" applyFont="1" applyFill="1" applyBorder="1"/>
    <xf numFmtId="0" fontId="5" fillId="0" borderId="0" xfId="0" applyFont="1" applyFill="1"/>
    <xf numFmtId="0" fontId="0" fillId="3" borderId="11" xfId="0" applyFill="1" applyBorder="1"/>
    <xf numFmtId="0" fontId="0" fillId="3" borderId="29" xfId="0" applyFill="1" applyBorder="1"/>
    <xf numFmtId="0" fontId="2" fillId="0" borderId="3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3" xfId="0" applyBorder="1"/>
    <xf numFmtId="0" fontId="0" fillId="0" borderId="11" xfId="0" applyBorder="1"/>
    <xf numFmtId="0" fontId="0" fillId="0" borderId="16" xfId="0" applyBorder="1"/>
    <xf numFmtId="0" fontId="0" fillId="0" borderId="42" xfId="0" applyBorder="1"/>
    <xf numFmtId="0" fontId="0" fillId="0" borderId="0" xfId="0" applyFont="1" applyFill="1" applyBorder="1" applyAlignment="1">
      <alignment horizontal="left"/>
    </xf>
    <xf numFmtId="0" fontId="4" fillId="0" borderId="2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0" fillId="3" borderId="3" xfId="0" applyFill="1" applyBorder="1"/>
    <xf numFmtId="0" fontId="4" fillId="0" borderId="3" xfId="0" applyFont="1" applyBorder="1" applyAlignment="1">
      <alignment vertical="center"/>
    </xf>
    <xf numFmtId="0" fontId="0" fillId="4" borderId="3" xfId="0" applyFill="1" applyBorder="1"/>
    <xf numFmtId="0" fontId="2" fillId="4" borderId="39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0" fillId="4" borderId="0" xfId="0" applyFill="1"/>
    <xf numFmtId="0" fontId="2" fillId="4" borderId="7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4" borderId="7" xfId="0" applyFill="1" applyBorder="1"/>
    <xf numFmtId="0" fontId="4" fillId="4" borderId="3" xfId="0" applyFont="1" applyFill="1" applyBorder="1" applyAlignment="1">
      <alignment vertical="center"/>
    </xf>
    <xf numFmtId="0" fontId="0" fillId="4" borderId="10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33" xfId="0" applyFill="1" applyBorder="1"/>
    <xf numFmtId="0" fontId="0" fillId="4" borderId="9" xfId="0" applyFill="1" applyBorder="1"/>
    <xf numFmtId="0" fontId="0" fillId="4" borderId="11" xfId="0" applyFill="1" applyBorder="1"/>
    <xf numFmtId="0" fontId="4" fillId="0" borderId="0" xfId="0" applyFont="1" applyFill="1" applyBorder="1" applyAlignment="1">
      <alignment vertical="center"/>
    </xf>
    <xf numFmtId="0" fontId="0" fillId="4" borderId="3" xfId="0" applyFill="1" applyBorder="1"/>
    <xf numFmtId="0" fontId="0" fillId="0" borderId="21" xfId="0" applyFill="1" applyBorder="1"/>
    <xf numFmtId="0" fontId="2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right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  <xf numFmtId="0" fontId="6" fillId="0" borderId="3" xfId="0" applyFont="1" applyFill="1" applyBorder="1"/>
    <xf numFmtId="0" fontId="0" fillId="0" borderId="3" xfId="0" applyFill="1" applyBorder="1"/>
    <xf numFmtId="0" fontId="0" fillId="0" borderId="0" xfId="0" applyFill="1"/>
    <xf numFmtId="0" fontId="0" fillId="0" borderId="3" xfId="0" applyFont="1" applyFill="1" applyBorder="1" applyAlignment="1">
      <alignment horizontal="right"/>
    </xf>
    <xf numFmtId="0" fontId="7" fillId="0" borderId="3" xfId="0" applyFont="1" applyFill="1" applyBorder="1" applyAlignment="1">
      <alignment horizontal="right" vertical="center"/>
    </xf>
    <xf numFmtId="0" fontId="6" fillId="0" borderId="0" xfId="0" applyFont="1" applyFill="1"/>
    <xf numFmtId="0" fontId="0" fillId="0" borderId="3" xfId="0" applyFill="1" applyBorder="1" applyAlignment="1">
      <alignment vertical="center"/>
    </xf>
    <xf numFmtId="0" fontId="0" fillId="0" borderId="3" xfId="0" applyFont="1" applyFill="1" applyBorder="1" applyAlignment="1">
      <alignment horizontal="left"/>
    </xf>
    <xf numFmtId="0" fontId="0" fillId="0" borderId="0" xfId="0" applyFill="1" applyBorder="1"/>
    <xf numFmtId="0" fontId="0" fillId="5" borderId="3" xfId="0" applyFont="1" applyFill="1" applyBorder="1"/>
    <xf numFmtId="0" fontId="0" fillId="5" borderId="3" xfId="0" applyFill="1" applyBorder="1"/>
    <xf numFmtId="0" fontId="2" fillId="5" borderId="3" xfId="0" applyFont="1" applyFill="1" applyBorder="1" applyAlignment="1">
      <alignment horizontal="right" vertical="center"/>
    </xf>
    <xf numFmtId="0" fontId="0" fillId="5" borderId="0" xfId="0" applyFill="1"/>
    <xf numFmtId="0" fontId="2" fillId="5" borderId="43" xfId="0" applyFont="1" applyFill="1" applyBorder="1" applyAlignment="1">
      <alignment horizontal="right" vertical="center"/>
    </xf>
    <xf numFmtId="0" fontId="0" fillId="5" borderId="27" xfId="0" applyFill="1" applyBorder="1"/>
    <xf numFmtId="0" fontId="0" fillId="5" borderId="26" xfId="0" applyFill="1" applyBorder="1"/>
    <xf numFmtId="0" fontId="0" fillId="5" borderId="3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right" vertical="center"/>
    </xf>
    <xf numFmtId="0" fontId="8" fillId="0" borderId="3" xfId="1" applyFill="1" applyBorder="1"/>
    <xf numFmtId="0" fontId="2" fillId="4" borderId="3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4" xfId="0" applyFill="1" applyBorder="1"/>
    <xf numFmtId="0" fontId="4" fillId="4" borderId="21" xfId="0" applyFont="1" applyFill="1" applyBorder="1" applyAlignment="1">
      <alignment vertical="center"/>
    </xf>
    <xf numFmtId="0" fontId="0" fillId="4" borderId="3" xfId="0" applyFont="1" applyFill="1" applyBorder="1" applyAlignment="1">
      <alignment horizontal="right"/>
    </xf>
    <xf numFmtId="0" fontId="2" fillId="5" borderId="4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1" fillId="5" borderId="29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admin\Dropbox\thandi\lion_capture_history\lion_id_2014_7mar16_t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"/>
      <sheetName val="NHK"/>
      <sheetName val="CH"/>
      <sheetName val="LM"/>
      <sheetName val="NS"/>
      <sheetName val="Coa"/>
      <sheetName val="allpri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ELI-583</v>
          </cell>
          <cell r="D2">
            <v>0</v>
          </cell>
          <cell r="E2">
            <v>0</v>
          </cell>
          <cell r="F2">
            <v>0</v>
          </cell>
          <cell r="G2">
            <v>1</v>
          </cell>
          <cell r="H2">
            <v>1</v>
          </cell>
          <cell r="I2">
            <v>1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2013</v>
          </cell>
          <cell r="U2">
            <v>7</v>
          </cell>
          <cell r="V2">
            <v>0</v>
          </cell>
          <cell r="W2">
            <v>1</v>
          </cell>
          <cell r="X2">
            <v>1</v>
          </cell>
        </row>
        <row r="3">
          <cell r="C3" t="str">
            <v>ELI-584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0</v>
          </cell>
          <cell r="P3">
            <v>1</v>
          </cell>
          <cell r="Q3">
            <v>0</v>
          </cell>
          <cell r="R3">
            <v>0</v>
          </cell>
          <cell r="S3">
            <v>1</v>
          </cell>
          <cell r="T3">
            <v>2013</v>
          </cell>
          <cell r="U3">
            <v>7</v>
          </cell>
          <cell r="V3">
            <v>0</v>
          </cell>
          <cell r="W3">
            <v>1</v>
          </cell>
          <cell r="X3">
            <v>1</v>
          </cell>
        </row>
        <row r="4">
          <cell r="C4" t="str">
            <v>ELI-585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0</v>
          </cell>
          <cell r="P4">
            <v>1</v>
          </cell>
          <cell r="Q4">
            <v>0</v>
          </cell>
          <cell r="R4">
            <v>0</v>
          </cell>
          <cell r="S4">
            <v>1</v>
          </cell>
          <cell r="T4">
            <v>2013</v>
          </cell>
          <cell r="U4">
            <v>7</v>
          </cell>
          <cell r="V4">
            <v>0</v>
          </cell>
          <cell r="W4">
            <v>1</v>
          </cell>
          <cell r="X4">
            <v>1</v>
          </cell>
        </row>
        <row r="5">
          <cell r="C5" t="str">
            <v>ELI-586</v>
          </cell>
          <cell r="D5">
            <v>0</v>
          </cell>
          <cell r="E5">
            <v>0</v>
          </cell>
          <cell r="F5">
            <v>0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0</v>
          </cell>
          <cell r="P5">
            <v>1</v>
          </cell>
          <cell r="Q5">
            <v>1</v>
          </cell>
          <cell r="R5">
            <v>0</v>
          </cell>
          <cell r="S5">
            <v>1</v>
          </cell>
          <cell r="T5">
            <v>2013</v>
          </cell>
          <cell r="U5">
            <v>7</v>
          </cell>
          <cell r="V5">
            <v>0</v>
          </cell>
          <cell r="W5">
            <v>1</v>
          </cell>
          <cell r="X5">
            <v>1</v>
          </cell>
        </row>
        <row r="6">
          <cell r="C6" t="str">
            <v>ELI-587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0</v>
          </cell>
          <cell r="P6">
            <v>1</v>
          </cell>
          <cell r="Q6">
            <v>0</v>
          </cell>
          <cell r="R6">
            <v>0</v>
          </cell>
          <cell r="S6">
            <v>1</v>
          </cell>
          <cell r="T6">
            <v>2013</v>
          </cell>
          <cell r="U6">
            <v>7</v>
          </cell>
          <cell r="V6">
            <v>0</v>
          </cell>
          <cell r="W6">
            <v>1</v>
          </cell>
          <cell r="X6">
            <v>1</v>
          </cell>
        </row>
        <row r="7">
          <cell r="C7" t="str">
            <v>ELI-590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0</v>
          </cell>
          <cell r="P7">
            <v>1</v>
          </cell>
          <cell r="Q7">
            <v>0</v>
          </cell>
          <cell r="R7">
            <v>0</v>
          </cell>
          <cell r="S7">
            <v>1</v>
          </cell>
          <cell r="T7">
            <v>2013</v>
          </cell>
          <cell r="U7">
            <v>4</v>
          </cell>
          <cell r="V7">
            <v>0</v>
          </cell>
          <cell r="W7">
            <v>1</v>
          </cell>
          <cell r="X7">
            <v>1</v>
          </cell>
        </row>
        <row r="8">
          <cell r="C8" t="str">
            <v>ELI-592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0</v>
          </cell>
          <cell r="P8">
            <v>1</v>
          </cell>
          <cell r="Q8">
            <v>0</v>
          </cell>
          <cell r="R8">
            <v>0</v>
          </cell>
          <cell r="S8">
            <v>1</v>
          </cell>
          <cell r="T8">
            <v>2013</v>
          </cell>
          <cell r="U8">
            <v>4</v>
          </cell>
          <cell r="V8">
            <v>0</v>
          </cell>
          <cell r="W8">
            <v>1</v>
          </cell>
          <cell r="X8">
            <v>1</v>
          </cell>
        </row>
        <row r="9">
          <cell r="C9" t="str">
            <v>ELI-593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1</v>
          </cell>
          <cell r="T9">
            <v>2013</v>
          </cell>
          <cell r="U9">
            <v>7</v>
          </cell>
          <cell r="V9">
            <v>0</v>
          </cell>
          <cell r="W9">
            <v>1</v>
          </cell>
          <cell r="X9">
            <v>1</v>
          </cell>
        </row>
        <row r="10">
          <cell r="C10" t="str">
            <v>ELI-594</v>
          </cell>
          <cell r="D10">
            <v>0</v>
          </cell>
          <cell r="E10">
            <v>0</v>
          </cell>
          <cell r="F10">
            <v>0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</v>
          </cell>
          <cell r="P10">
            <v>1</v>
          </cell>
          <cell r="Q10">
            <v>0</v>
          </cell>
          <cell r="R10">
            <v>0</v>
          </cell>
          <cell r="S10">
            <v>1</v>
          </cell>
          <cell r="T10">
            <v>2013</v>
          </cell>
          <cell r="U10">
            <v>7</v>
          </cell>
          <cell r="V10">
            <v>0</v>
          </cell>
          <cell r="W10">
            <v>1</v>
          </cell>
          <cell r="X10">
            <v>1</v>
          </cell>
        </row>
        <row r="11">
          <cell r="C11" t="str">
            <v>ELI-595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2013</v>
          </cell>
          <cell r="U11">
            <v>7</v>
          </cell>
          <cell r="V11">
            <v>0</v>
          </cell>
          <cell r="W11">
            <v>1</v>
          </cell>
          <cell r="X11">
            <v>1</v>
          </cell>
        </row>
        <row r="12">
          <cell r="C12" t="str">
            <v>ELI-243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  <cell r="Q12">
            <v>0</v>
          </cell>
          <cell r="R12">
            <v>0</v>
          </cell>
          <cell r="S12">
            <v>1</v>
          </cell>
          <cell r="T12">
            <v>2008</v>
          </cell>
          <cell r="U12">
            <v>10</v>
          </cell>
          <cell r="V12">
            <v>3</v>
          </cell>
          <cell r="W12">
            <v>1</v>
          </cell>
          <cell r="X12">
            <v>1</v>
          </cell>
        </row>
        <row r="13">
          <cell r="C13" t="str">
            <v>ELI-242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1</v>
          </cell>
          <cell r="Q13">
            <v>0</v>
          </cell>
          <cell r="R13">
            <v>0</v>
          </cell>
          <cell r="S13">
            <v>1</v>
          </cell>
          <cell r="T13">
            <v>2008</v>
          </cell>
          <cell r="U13">
            <v>10</v>
          </cell>
          <cell r="V13">
            <v>6</v>
          </cell>
          <cell r="W13">
            <v>1</v>
          </cell>
          <cell r="X13">
            <v>1</v>
          </cell>
        </row>
        <row r="14">
          <cell r="C14" t="str">
            <v>ELI-224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  <cell r="Q14">
            <v>0</v>
          </cell>
          <cell r="R14">
            <v>0</v>
          </cell>
          <cell r="S14">
            <v>1</v>
          </cell>
          <cell r="T14">
            <v>2009</v>
          </cell>
          <cell r="U14">
            <v>4</v>
          </cell>
          <cell r="V14">
            <v>4</v>
          </cell>
          <cell r="W14">
            <v>1</v>
          </cell>
          <cell r="X14">
            <v>1</v>
          </cell>
        </row>
        <row r="15">
          <cell r="C15" t="str">
            <v>ELI-245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  <cell r="Q15">
            <v>0</v>
          </cell>
          <cell r="R15">
            <v>0</v>
          </cell>
          <cell r="S15">
            <v>1</v>
          </cell>
          <cell r="T15">
            <v>2008</v>
          </cell>
          <cell r="U15">
            <v>10</v>
          </cell>
          <cell r="V15">
            <v>1</v>
          </cell>
          <cell r="W15">
            <v>1</v>
          </cell>
          <cell r="X15">
            <v>1</v>
          </cell>
        </row>
        <row r="16">
          <cell r="C16" t="str">
            <v>ELI-223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S16">
            <v>1</v>
          </cell>
          <cell r="T16">
            <v>2008</v>
          </cell>
          <cell r="U16">
            <v>10</v>
          </cell>
          <cell r="V16">
            <v>1</v>
          </cell>
          <cell r="W16">
            <v>1</v>
          </cell>
          <cell r="X16">
            <v>1</v>
          </cell>
        </row>
        <row r="17">
          <cell r="C17" t="str">
            <v>ELI-220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  <cell r="Q17">
            <v>0</v>
          </cell>
          <cell r="R17">
            <v>0</v>
          </cell>
          <cell r="S17">
            <v>1</v>
          </cell>
          <cell r="T17">
            <v>2008</v>
          </cell>
          <cell r="U17">
            <v>10</v>
          </cell>
          <cell r="V17">
            <v>0</v>
          </cell>
          <cell r="W17">
            <v>1</v>
          </cell>
          <cell r="X17">
            <v>1</v>
          </cell>
        </row>
        <row r="18">
          <cell r="C18" t="str">
            <v>ELI-218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0</v>
          </cell>
          <cell r="R18">
            <v>0</v>
          </cell>
          <cell r="S18">
            <v>1</v>
          </cell>
          <cell r="T18">
            <v>2009</v>
          </cell>
          <cell r="U18">
            <v>4</v>
          </cell>
          <cell r="V18">
            <v>1</v>
          </cell>
          <cell r="W18">
            <v>1</v>
          </cell>
          <cell r="X18">
            <v>1</v>
          </cell>
        </row>
        <row r="19">
          <cell r="C19" t="str">
            <v>ELI-219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S19">
            <v>1</v>
          </cell>
          <cell r="T19">
            <v>2008</v>
          </cell>
          <cell r="U19">
            <v>10</v>
          </cell>
          <cell r="V19">
            <v>0</v>
          </cell>
          <cell r="W19">
            <v>1</v>
          </cell>
          <cell r="X19">
            <v>1</v>
          </cell>
        </row>
        <row r="20">
          <cell r="C20" t="str">
            <v>ELI-765</v>
          </cell>
          <cell r="D20">
            <v>0</v>
          </cell>
          <cell r="E20">
            <v>0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  <cell r="Q20">
            <v>1</v>
          </cell>
          <cell r="R20">
            <v>0</v>
          </cell>
          <cell r="S20">
            <v>1</v>
          </cell>
          <cell r="T20">
            <v>2014</v>
          </cell>
          <cell r="U20">
            <v>4</v>
          </cell>
          <cell r="V20">
            <v>0</v>
          </cell>
          <cell r="W20">
            <v>1</v>
          </cell>
          <cell r="X20">
            <v>1</v>
          </cell>
        </row>
        <row r="21">
          <cell r="C21" t="str">
            <v>ELI-766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0</v>
          </cell>
          <cell r="I21">
            <v>0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  <cell r="Q21">
            <v>1</v>
          </cell>
          <cell r="R21">
            <v>0</v>
          </cell>
          <cell r="S21">
            <v>1</v>
          </cell>
          <cell r="T21">
            <v>2014</v>
          </cell>
          <cell r="U21">
            <v>4</v>
          </cell>
          <cell r="V21">
            <v>0</v>
          </cell>
          <cell r="W21">
            <v>1</v>
          </cell>
          <cell r="X21">
            <v>1</v>
          </cell>
        </row>
        <row r="22">
          <cell r="C22" t="str">
            <v>ELI-767</v>
          </cell>
          <cell r="D22">
            <v>0</v>
          </cell>
          <cell r="E22">
            <v>0</v>
          </cell>
          <cell r="F22">
            <v>0</v>
          </cell>
          <cell r="G22">
            <v>1</v>
          </cell>
          <cell r="H22">
            <v>0</v>
          </cell>
          <cell r="I22">
            <v>0</v>
          </cell>
          <cell r="J22">
            <v>1</v>
          </cell>
          <cell r="K22">
            <v>0</v>
          </cell>
          <cell r="L22">
            <v>1</v>
          </cell>
          <cell r="M22">
            <v>1</v>
          </cell>
          <cell r="N22">
            <v>1</v>
          </cell>
          <cell r="O22">
            <v>0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2014</v>
          </cell>
          <cell r="U22">
            <v>4</v>
          </cell>
          <cell r="V22">
            <v>0</v>
          </cell>
          <cell r="W22">
            <v>1</v>
          </cell>
          <cell r="X22">
            <v>1</v>
          </cell>
        </row>
        <row r="23">
          <cell r="C23" t="str">
            <v>ELI-768</v>
          </cell>
          <cell r="D23">
            <v>0</v>
          </cell>
          <cell r="E23">
            <v>0</v>
          </cell>
          <cell r="F23">
            <v>0</v>
          </cell>
          <cell r="G23">
            <v>1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0</v>
          </cell>
          <cell r="P23">
            <v>1</v>
          </cell>
          <cell r="Q23">
            <v>1</v>
          </cell>
          <cell r="R23">
            <v>0</v>
          </cell>
          <cell r="S23">
            <v>1</v>
          </cell>
          <cell r="T23">
            <v>2014</v>
          </cell>
          <cell r="U23">
            <v>4</v>
          </cell>
          <cell r="V23">
            <v>0</v>
          </cell>
          <cell r="W23">
            <v>1</v>
          </cell>
          <cell r="X23">
            <v>1</v>
          </cell>
        </row>
        <row r="24">
          <cell r="C24" t="str">
            <v>ELI-769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1</v>
          </cell>
          <cell r="O24">
            <v>0</v>
          </cell>
          <cell r="P24">
            <v>1</v>
          </cell>
          <cell r="Q24">
            <v>1</v>
          </cell>
          <cell r="R24">
            <v>0</v>
          </cell>
          <cell r="S24">
            <v>1</v>
          </cell>
          <cell r="T24">
            <v>2014</v>
          </cell>
          <cell r="U24">
            <v>4</v>
          </cell>
          <cell r="V24">
            <v>0</v>
          </cell>
          <cell r="W24">
            <v>1</v>
          </cell>
          <cell r="X24">
            <v>1</v>
          </cell>
        </row>
        <row r="25">
          <cell r="C25" t="str">
            <v>ELI-414</v>
          </cell>
          <cell r="D25">
            <v>0</v>
          </cell>
          <cell r="E25">
            <v>0</v>
          </cell>
          <cell r="F25">
            <v>1</v>
          </cell>
          <cell r="G25">
            <v>0</v>
          </cell>
          <cell r="H25">
            <v>1</v>
          </cell>
          <cell r="I25">
            <v>0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1</v>
          </cell>
          <cell r="T25">
            <v>2011</v>
          </cell>
          <cell r="U25">
            <v>7</v>
          </cell>
          <cell r="V25">
            <v>3</v>
          </cell>
          <cell r="W25">
            <v>1</v>
          </cell>
          <cell r="X25">
            <v>1</v>
          </cell>
        </row>
        <row r="26">
          <cell r="C26" t="str">
            <v>ELI-493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1</v>
          </cell>
          <cell r="T26">
            <v>2012</v>
          </cell>
          <cell r="U26">
            <v>6</v>
          </cell>
          <cell r="V26">
            <v>4</v>
          </cell>
          <cell r="W26">
            <v>1</v>
          </cell>
          <cell r="X26">
            <v>1</v>
          </cell>
        </row>
        <row r="27">
          <cell r="C27" t="str">
            <v>ELI-494</v>
          </cell>
          <cell r="D27">
            <v>0</v>
          </cell>
          <cell r="E27">
            <v>0</v>
          </cell>
          <cell r="F27">
            <v>1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  <cell r="Q27">
            <v>0</v>
          </cell>
          <cell r="R27">
            <v>0</v>
          </cell>
          <cell r="S27">
            <v>1</v>
          </cell>
          <cell r="T27">
            <v>2012</v>
          </cell>
          <cell r="U27">
            <v>6</v>
          </cell>
          <cell r="V27">
            <v>1</v>
          </cell>
          <cell r="W27">
            <v>1</v>
          </cell>
          <cell r="X27">
            <v>1</v>
          </cell>
        </row>
        <row r="28">
          <cell r="C28" t="str">
            <v>ELI-524</v>
          </cell>
          <cell r="D28">
            <v>0</v>
          </cell>
          <cell r="E28">
            <v>0</v>
          </cell>
          <cell r="F28">
            <v>1</v>
          </cell>
          <cell r="G28">
            <v>0</v>
          </cell>
          <cell r="H28">
            <v>1</v>
          </cell>
          <cell r="I28">
            <v>0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0</v>
          </cell>
          <cell r="P28">
            <v>1</v>
          </cell>
          <cell r="Q28">
            <v>0</v>
          </cell>
          <cell r="R28">
            <v>0</v>
          </cell>
          <cell r="S28">
            <v>1</v>
          </cell>
          <cell r="T28">
            <v>2012</v>
          </cell>
          <cell r="U28">
            <v>10</v>
          </cell>
          <cell r="V28">
            <v>0</v>
          </cell>
          <cell r="W28">
            <v>1</v>
          </cell>
          <cell r="X28">
            <v>1</v>
          </cell>
        </row>
        <row r="29">
          <cell r="C29" t="str">
            <v>ELI-598</v>
          </cell>
          <cell r="D29">
            <v>0</v>
          </cell>
          <cell r="E29">
            <v>0</v>
          </cell>
          <cell r="F29">
            <v>1</v>
          </cell>
          <cell r="G29">
            <v>0</v>
          </cell>
          <cell r="H29">
            <v>1</v>
          </cell>
          <cell r="I29">
            <v>0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0</v>
          </cell>
          <cell r="P29">
            <v>1</v>
          </cell>
          <cell r="Q29">
            <v>0</v>
          </cell>
          <cell r="R29">
            <v>0</v>
          </cell>
          <cell r="S29">
            <v>1</v>
          </cell>
          <cell r="T29">
            <v>2013</v>
          </cell>
          <cell r="U29">
            <v>4</v>
          </cell>
          <cell r="V29">
            <v>0</v>
          </cell>
          <cell r="W29">
            <v>1</v>
          </cell>
          <cell r="X29">
            <v>1</v>
          </cell>
        </row>
        <row r="30">
          <cell r="C30" t="str">
            <v>ELI-599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1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0</v>
          </cell>
          <cell r="P30">
            <v>1</v>
          </cell>
          <cell r="Q30">
            <v>0</v>
          </cell>
          <cell r="R30">
            <v>0</v>
          </cell>
          <cell r="S30">
            <v>1</v>
          </cell>
          <cell r="T30">
            <v>2013</v>
          </cell>
          <cell r="U30">
            <v>4</v>
          </cell>
          <cell r="V30">
            <v>0</v>
          </cell>
          <cell r="W30">
            <v>1</v>
          </cell>
          <cell r="X30">
            <v>1</v>
          </cell>
        </row>
        <row r="31">
          <cell r="C31" t="str">
            <v>ELI-236</v>
          </cell>
          <cell r="D31">
            <v>0</v>
          </cell>
          <cell r="E31">
            <v>0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0</v>
          </cell>
          <cell r="P31">
            <v>1</v>
          </cell>
          <cell r="Q31">
            <v>0</v>
          </cell>
          <cell r="R31">
            <v>0</v>
          </cell>
          <cell r="S31">
            <v>1</v>
          </cell>
          <cell r="T31">
            <v>2008</v>
          </cell>
          <cell r="U31">
            <v>9</v>
          </cell>
          <cell r="V31">
            <v>5</v>
          </cell>
          <cell r="W31">
            <v>1</v>
          </cell>
          <cell r="X31">
            <v>1</v>
          </cell>
        </row>
        <row r="32">
          <cell r="C32" t="str">
            <v>ELI-235</v>
          </cell>
          <cell r="D32">
            <v>0</v>
          </cell>
          <cell r="E32">
            <v>0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0</v>
          </cell>
          <cell r="P32">
            <v>1</v>
          </cell>
          <cell r="Q32">
            <v>0</v>
          </cell>
          <cell r="R32">
            <v>0</v>
          </cell>
          <cell r="S32">
            <v>1</v>
          </cell>
          <cell r="T32">
            <v>2008</v>
          </cell>
          <cell r="U32">
            <v>9</v>
          </cell>
          <cell r="V32">
            <v>2</v>
          </cell>
          <cell r="W32">
            <v>1</v>
          </cell>
          <cell r="X32">
            <v>1</v>
          </cell>
        </row>
        <row r="33">
          <cell r="C33" t="str">
            <v>ELI-604</v>
          </cell>
          <cell r="D33">
            <v>0</v>
          </cell>
          <cell r="E33">
            <v>0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0</v>
          </cell>
          <cell r="P33">
            <v>1</v>
          </cell>
          <cell r="Q33">
            <v>1</v>
          </cell>
          <cell r="R33">
            <v>0</v>
          </cell>
          <cell r="S33">
            <v>1</v>
          </cell>
          <cell r="T33">
            <v>2014</v>
          </cell>
          <cell r="U33">
            <v>4</v>
          </cell>
          <cell r="V33">
            <v>0</v>
          </cell>
          <cell r="W33">
            <v>1</v>
          </cell>
          <cell r="X33">
            <v>1</v>
          </cell>
        </row>
        <row r="34">
          <cell r="C34" t="str">
            <v>ELI-606</v>
          </cell>
          <cell r="D34">
            <v>0</v>
          </cell>
          <cell r="E34">
            <v>0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0</v>
          </cell>
          <cell r="P34">
            <v>1</v>
          </cell>
          <cell r="Q34">
            <v>0</v>
          </cell>
          <cell r="R34">
            <v>1</v>
          </cell>
          <cell r="S34">
            <v>1</v>
          </cell>
          <cell r="T34">
            <v>2014</v>
          </cell>
          <cell r="U34">
            <v>4</v>
          </cell>
          <cell r="V34">
            <v>0</v>
          </cell>
          <cell r="W34">
            <v>1</v>
          </cell>
          <cell r="X34">
            <v>1</v>
          </cell>
        </row>
        <row r="35">
          <cell r="C35" t="str">
            <v>ELI-607</v>
          </cell>
          <cell r="D35">
            <v>0</v>
          </cell>
          <cell r="E35">
            <v>0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0</v>
          </cell>
          <cell r="P35">
            <v>1</v>
          </cell>
          <cell r="Q35">
            <v>0</v>
          </cell>
          <cell r="R35">
            <v>0</v>
          </cell>
          <cell r="S35">
            <v>1</v>
          </cell>
          <cell r="T35">
            <v>2014</v>
          </cell>
          <cell r="U35">
            <v>4</v>
          </cell>
          <cell r="V35">
            <v>0</v>
          </cell>
          <cell r="W35">
            <v>1</v>
          </cell>
          <cell r="X35">
            <v>1</v>
          </cell>
        </row>
        <row r="36">
          <cell r="C36" t="str">
            <v>ELI-143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0</v>
          </cell>
          <cell r="S36">
            <v>1</v>
          </cell>
          <cell r="T36">
            <v>2012</v>
          </cell>
          <cell r="U36">
            <v>4</v>
          </cell>
          <cell r="V36">
            <v>4</v>
          </cell>
          <cell r="W36">
            <v>1</v>
          </cell>
          <cell r="X36">
            <v>0</v>
          </cell>
        </row>
        <row r="37">
          <cell r="C37" t="str">
            <v>ELI-496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0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0</v>
          </cell>
          <cell r="R37">
            <v>0</v>
          </cell>
          <cell r="S37">
            <v>1</v>
          </cell>
          <cell r="T37">
            <v>2014</v>
          </cell>
          <cell r="U37">
            <v>5</v>
          </cell>
          <cell r="V37">
            <v>2</v>
          </cell>
          <cell r="W37">
            <v>1</v>
          </cell>
          <cell r="X37">
            <v>0</v>
          </cell>
        </row>
        <row r="38">
          <cell r="C38" t="str">
            <v>ELI-703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0</v>
          </cell>
          <cell r="R38">
            <v>0</v>
          </cell>
          <cell r="S38">
            <v>1</v>
          </cell>
          <cell r="T38">
            <v>2014</v>
          </cell>
          <cell r="U38">
            <v>5</v>
          </cell>
          <cell r="V38">
            <v>0</v>
          </cell>
          <cell r="W38">
            <v>1</v>
          </cell>
          <cell r="X38">
            <v>0</v>
          </cell>
        </row>
        <row r="39">
          <cell r="C39" t="str">
            <v>ELI-173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>
            <v>0</v>
          </cell>
          <cell r="L39">
            <v>1</v>
          </cell>
          <cell r="M39">
            <v>1</v>
          </cell>
          <cell r="N39">
            <v>1</v>
          </cell>
          <cell r="O39">
            <v>0</v>
          </cell>
          <cell r="P39">
            <v>1</v>
          </cell>
          <cell r="Q39">
            <v>0</v>
          </cell>
          <cell r="R39">
            <v>0</v>
          </cell>
          <cell r="S39">
            <v>1</v>
          </cell>
          <cell r="T39">
            <v>2008</v>
          </cell>
          <cell r="U39">
            <v>8</v>
          </cell>
          <cell r="V39">
            <v>2</v>
          </cell>
          <cell r="W39">
            <v>1</v>
          </cell>
          <cell r="X39">
            <v>1</v>
          </cell>
        </row>
        <row r="40">
          <cell r="C40" t="str">
            <v>ELI-174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1</v>
          </cell>
          <cell r="M40">
            <v>0</v>
          </cell>
          <cell r="N40">
            <v>1</v>
          </cell>
          <cell r="O40">
            <v>0</v>
          </cell>
          <cell r="P40">
            <v>1</v>
          </cell>
          <cell r="Q40">
            <v>0</v>
          </cell>
          <cell r="R40">
            <v>0</v>
          </cell>
          <cell r="S40">
            <v>1</v>
          </cell>
          <cell r="T40">
            <v>2008</v>
          </cell>
          <cell r="U40">
            <v>8</v>
          </cell>
          <cell r="V40">
            <v>6</v>
          </cell>
          <cell r="W40">
            <v>1</v>
          </cell>
          <cell r="X40">
            <v>1</v>
          </cell>
        </row>
        <row r="41">
          <cell r="C41" t="str">
            <v>ELI-247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  <cell r="J41">
            <v>1</v>
          </cell>
          <cell r="K41">
            <v>0</v>
          </cell>
          <cell r="L41">
            <v>1</v>
          </cell>
          <cell r="M41">
            <v>1</v>
          </cell>
          <cell r="N41">
            <v>1</v>
          </cell>
          <cell r="O41">
            <v>0</v>
          </cell>
          <cell r="P41">
            <v>1</v>
          </cell>
          <cell r="Q41">
            <v>0</v>
          </cell>
          <cell r="R41">
            <v>0</v>
          </cell>
          <cell r="S41">
            <v>1</v>
          </cell>
          <cell r="T41">
            <v>2009</v>
          </cell>
          <cell r="U41">
            <v>8</v>
          </cell>
          <cell r="V41">
            <v>3</v>
          </cell>
          <cell r="W41">
            <v>1</v>
          </cell>
          <cell r="X41">
            <v>1</v>
          </cell>
        </row>
        <row r="42">
          <cell r="C42" t="str">
            <v>ELI-248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1</v>
          </cell>
          <cell r="T42">
            <v>2009</v>
          </cell>
          <cell r="U42">
            <v>11</v>
          </cell>
          <cell r="V42">
            <v>3</v>
          </cell>
          <cell r="W42">
            <v>1</v>
          </cell>
          <cell r="X42">
            <v>1</v>
          </cell>
        </row>
        <row r="43">
          <cell r="C43" t="str">
            <v>ELI-249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</v>
          </cell>
          <cell r="Q43">
            <v>0</v>
          </cell>
          <cell r="R43">
            <v>0</v>
          </cell>
          <cell r="S43">
            <v>1</v>
          </cell>
          <cell r="T43">
            <v>2009</v>
          </cell>
          <cell r="U43">
            <v>8</v>
          </cell>
          <cell r="V43">
            <v>6</v>
          </cell>
          <cell r="W43">
            <v>1</v>
          </cell>
          <cell r="X43">
            <v>1</v>
          </cell>
        </row>
        <row r="44">
          <cell r="C44" t="str">
            <v>ELI-250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0</v>
          </cell>
          <cell r="P44">
            <v>1</v>
          </cell>
          <cell r="Q44">
            <v>0</v>
          </cell>
          <cell r="R44">
            <v>0</v>
          </cell>
          <cell r="S44">
            <v>1</v>
          </cell>
          <cell r="T44">
            <v>2009</v>
          </cell>
          <cell r="U44">
            <v>7</v>
          </cell>
          <cell r="V44">
            <v>6</v>
          </cell>
          <cell r="W44">
            <v>1</v>
          </cell>
          <cell r="X44">
            <v>1</v>
          </cell>
        </row>
        <row r="45">
          <cell r="C45" t="str">
            <v>ELI-462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1</v>
          </cell>
          <cell r="N45">
            <v>1</v>
          </cell>
          <cell r="O45">
            <v>0</v>
          </cell>
          <cell r="P45">
            <v>1</v>
          </cell>
          <cell r="Q45">
            <v>0</v>
          </cell>
          <cell r="R45">
            <v>0</v>
          </cell>
          <cell r="S45">
            <v>1</v>
          </cell>
          <cell r="T45">
            <v>2011</v>
          </cell>
          <cell r="U45">
            <v>10</v>
          </cell>
          <cell r="V45">
            <v>7</v>
          </cell>
          <cell r="W45">
            <v>1</v>
          </cell>
          <cell r="X45">
            <v>1</v>
          </cell>
        </row>
        <row r="46">
          <cell r="C46" t="str">
            <v>ELI-378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0</v>
          </cell>
          <cell r="P46">
            <v>1</v>
          </cell>
          <cell r="Q46">
            <v>0</v>
          </cell>
          <cell r="R46">
            <v>0</v>
          </cell>
          <cell r="S46">
            <v>1</v>
          </cell>
          <cell r="T46">
            <v>2010</v>
          </cell>
          <cell r="U46">
            <v>10</v>
          </cell>
          <cell r="V46">
            <v>0</v>
          </cell>
          <cell r="W46">
            <v>1</v>
          </cell>
          <cell r="X46">
            <v>1</v>
          </cell>
        </row>
        <row r="47">
          <cell r="C47" t="str">
            <v>ELI-463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0</v>
          </cell>
          <cell r="L47">
            <v>0</v>
          </cell>
          <cell r="M47">
            <v>1</v>
          </cell>
          <cell r="N47">
            <v>1</v>
          </cell>
          <cell r="O47">
            <v>0</v>
          </cell>
          <cell r="P47">
            <v>1</v>
          </cell>
          <cell r="Q47">
            <v>0</v>
          </cell>
          <cell r="R47">
            <v>0</v>
          </cell>
          <cell r="S47">
            <v>1</v>
          </cell>
          <cell r="T47">
            <v>2012</v>
          </cell>
          <cell r="U47">
            <v>9</v>
          </cell>
          <cell r="V47">
            <v>0</v>
          </cell>
          <cell r="W47">
            <v>1</v>
          </cell>
          <cell r="X47">
            <v>1</v>
          </cell>
        </row>
        <row r="48">
          <cell r="C48" t="str">
            <v>ELI-464</v>
          </cell>
          <cell r="D48">
            <v>0</v>
          </cell>
          <cell r="E48">
            <v>0</v>
          </cell>
          <cell r="F48">
            <v>0</v>
          </cell>
          <cell r="G48">
            <v>1</v>
          </cell>
          <cell r="H48">
            <v>0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0</v>
          </cell>
          <cell r="S48">
            <v>1</v>
          </cell>
          <cell r="T48">
            <v>2012</v>
          </cell>
          <cell r="U48">
            <v>9</v>
          </cell>
          <cell r="V48">
            <v>0</v>
          </cell>
          <cell r="W48">
            <v>1</v>
          </cell>
          <cell r="X48">
            <v>1</v>
          </cell>
        </row>
        <row r="49">
          <cell r="C49" t="str">
            <v>ELI-553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1</v>
          </cell>
          <cell r="M49">
            <v>0</v>
          </cell>
          <cell r="N49">
            <v>1</v>
          </cell>
          <cell r="O49">
            <v>0</v>
          </cell>
          <cell r="P49">
            <v>1</v>
          </cell>
          <cell r="Q49">
            <v>1</v>
          </cell>
          <cell r="R49">
            <v>0</v>
          </cell>
          <cell r="S49">
            <v>1</v>
          </cell>
          <cell r="T49">
            <v>2012</v>
          </cell>
          <cell r="U49">
            <v>11</v>
          </cell>
          <cell r="V49">
            <v>0</v>
          </cell>
          <cell r="W49">
            <v>1</v>
          </cell>
          <cell r="X49">
            <v>1</v>
          </cell>
        </row>
        <row r="50">
          <cell r="C50" t="str">
            <v>ELI-589</v>
          </cell>
          <cell r="D50">
            <v>0</v>
          </cell>
          <cell r="E50">
            <v>0</v>
          </cell>
          <cell r="F50">
            <v>0</v>
          </cell>
          <cell r="G50">
            <v>1</v>
          </cell>
          <cell r="H50">
            <v>0</v>
          </cell>
          <cell r="I50">
            <v>1</v>
          </cell>
          <cell r="J50">
            <v>1</v>
          </cell>
          <cell r="K50">
            <v>0</v>
          </cell>
          <cell r="L50">
            <v>1</v>
          </cell>
          <cell r="M50">
            <v>0</v>
          </cell>
          <cell r="N50">
            <v>1</v>
          </cell>
          <cell r="O50">
            <v>0</v>
          </cell>
          <cell r="P50">
            <v>1</v>
          </cell>
          <cell r="Q50">
            <v>0</v>
          </cell>
          <cell r="R50">
            <v>0</v>
          </cell>
          <cell r="S50">
            <v>1</v>
          </cell>
          <cell r="T50">
            <v>2013</v>
          </cell>
          <cell r="U50">
            <v>5</v>
          </cell>
          <cell r="V50">
            <v>0</v>
          </cell>
          <cell r="W50">
            <v>1</v>
          </cell>
          <cell r="X50">
            <v>1</v>
          </cell>
        </row>
        <row r="51">
          <cell r="C51" t="str">
            <v>ELI-713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0</v>
          </cell>
          <cell r="P51">
            <v>1</v>
          </cell>
          <cell r="Q51">
            <v>1</v>
          </cell>
          <cell r="R51">
            <v>0</v>
          </cell>
          <cell r="S51">
            <v>1</v>
          </cell>
          <cell r="T51">
            <v>2014</v>
          </cell>
          <cell r="U51">
            <v>7</v>
          </cell>
          <cell r="V51">
            <v>0</v>
          </cell>
          <cell r="W51">
            <v>1</v>
          </cell>
          <cell r="X51">
            <v>1</v>
          </cell>
        </row>
        <row r="52">
          <cell r="C52" t="str">
            <v>ELI-714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0</v>
          </cell>
          <cell r="P52">
            <v>1</v>
          </cell>
          <cell r="Q52">
            <v>0</v>
          </cell>
          <cell r="R52">
            <v>0</v>
          </cell>
          <cell r="S52">
            <v>1</v>
          </cell>
          <cell r="T52">
            <v>2014</v>
          </cell>
          <cell r="U52">
            <v>7</v>
          </cell>
          <cell r="V52">
            <v>0</v>
          </cell>
          <cell r="W52">
            <v>1</v>
          </cell>
          <cell r="X52">
            <v>1</v>
          </cell>
        </row>
        <row r="53">
          <cell r="C53" t="str">
            <v>ELI-715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</v>
          </cell>
          <cell r="K53">
            <v>0</v>
          </cell>
          <cell r="L53">
            <v>1</v>
          </cell>
          <cell r="M53">
            <v>1</v>
          </cell>
          <cell r="N53">
            <v>1</v>
          </cell>
          <cell r="O53">
            <v>0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2014</v>
          </cell>
          <cell r="U53">
            <v>7</v>
          </cell>
          <cell r="V53">
            <v>0</v>
          </cell>
          <cell r="W53">
            <v>1</v>
          </cell>
          <cell r="X53">
            <v>1</v>
          </cell>
        </row>
        <row r="54">
          <cell r="C54" t="str">
            <v>ELI-716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0</v>
          </cell>
          <cell r="P54">
            <v>1</v>
          </cell>
          <cell r="Q54">
            <v>1</v>
          </cell>
          <cell r="R54">
            <v>0</v>
          </cell>
          <cell r="S54">
            <v>1</v>
          </cell>
          <cell r="T54">
            <v>2014</v>
          </cell>
          <cell r="U54">
            <v>7</v>
          </cell>
          <cell r="V54">
            <v>0</v>
          </cell>
          <cell r="W54">
            <v>1</v>
          </cell>
          <cell r="X54">
            <v>1</v>
          </cell>
        </row>
        <row r="55">
          <cell r="C55" t="str">
            <v>ELI-717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1</v>
          </cell>
          <cell r="M55">
            <v>1</v>
          </cell>
          <cell r="N55">
            <v>1</v>
          </cell>
          <cell r="O55">
            <v>0</v>
          </cell>
          <cell r="P55">
            <v>1</v>
          </cell>
          <cell r="Q55">
            <v>1</v>
          </cell>
          <cell r="R55">
            <v>0</v>
          </cell>
          <cell r="S55">
            <v>1</v>
          </cell>
          <cell r="T55">
            <v>2014</v>
          </cell>
          <cell r="U55">
            <v>7</v>
          </cell>
          <cell r="V55">
            <v>0</v>
          </cell>
          <cell r="W55">
            <v>1</v>
          </cell>
          <cell r="X55">
            <v>1</v>
          </cell>
        </row>
        <row r="56">
          <cell r="C56" t="str">
            <v>ELI-718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1</v>
          </cell>
          <cell r="M56">
            <v>1</v>
          </cell>
          <cell r="N56">
            <v>1</v>
          </cell>
          <cell r="O56">
            <v>0</v>
          </cell>
          <cell r="P56">
            <v>1</v>
          </cell>
          <cell r="Q56">
            <v>1</v>
          </cell>
          <cell r="R56">
            <v>0</v>
          </cell>
          <cell r="S56">
            <v>1</v>
          </cell>
          <cell r="T56">
            <v>2014</v>
          </cell>
          <cell r="U56">
            <v>7</v>
          </cell>
          <cell r="V56">
            <v>0</v>
          </cell>
          <cell r="W56">
            <v>1</v>
          </cell>
          <cell r="X56">
            <v>1</v>
          </cell>
        </row>
        <row r="57">
          <cell r="C57" t="str">
            <v>ELI-719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1</v>
          </cell>
          <cell r="N57">
            <v>1</v>
          </cell>
          <cell r="O57">
            <v>0</v>
          </cell>
          <cell r="P57">
            <v>1</v>
          </cell>
          <cell r="Q57">
            <v>1</v>
          </cell>
          <cell r="R57">
            <v>0</v>
          </cell>
          <cell r="S57">
            <v>1</v>
          </cell>
          <cell r="T57">
            <v>2014</v>
          </cell>
          <cell r="U57">
            <v>7</v>
          </cell>
          <cell r="V57">
            <v>0</v>
          </cell>
          <cell r="W57">
            <v>1</v>
          </cell>
          <cell r="X57">
            <v>1</v>
          </cell>
        </row>
        <row r="58">
          <cell r="C58" t="str">
            <v>ELI-698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0</v>
          </cell>
          <cell r="Q58" t="str">
            <v>NA</v>
          </cell>
          <cell r="R58">
            <v>1</v>
          </cell>
          <cell r="S58">
            <v>1</v>
          </cell>
          <cell r="T58">
            <v>2014</v>
          </cell>
          <cell r="U58">
            <v>10</v>
          </cell>
          <cell r="V58">
            <v>0</v>
          </cell>
          <cell r="W58">
            <v>1</v>
          </cell>
          <cell r="X58">
            <v>1</v>
          </cell>
        </row>
        <row r="59">
          <cell r="C59" t="str">
            <v>ELI-258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</v>
          </cell>
          <cell r="N59">
            <v>1</v>
          </cell>
          <cell r="O59">
            <v>0</v>
          </cell>
          <cell r="P59">
            <v>1</v>
          </cell>
          <cell r="Q59">
            <v>0</v>
          </cell>
          <cell r="R59">
            <v>0</v>
          </cell>
          <cell r="S59">
            <v>1</v>
          </cell>
          <cell r="T59">
            <v>2009</v>
          </cell>
          <cell r="U59">
            <v>8</v>
          </cell>
          <cell r="V59">
            <v>2</v>
          </cell>
          <cell r="W59">
            <v>1</v>
          </cell>
          <cell r="X59">
            <v>1</v>
          </cell>
        </row>
        <row r="60">
          <cell r="C60" t="str">
            <v>ELI-256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1</v>
          </cell>
          <cell r="O60">
            <v>0</v>
          </cell>
          <cell r="P60">
            <v>1</v>
          </cell>
          <cell r="Q60">
            <v>0</v>
          </cell>
          <cell r="R60">
            <v>0</v>
          </cell>
          <cell r="S60">
            <v>1</v>
          </cell>
          <cell r="T60">
            <v>2009</v>
          </cell>
          <cell r="U60">
            <v>8</v>
          </cell>
          <cell r="V60">
            <v>2</v>
          </cell>
          <cell r="W60">
            <v>1</v>
          </cell>
          <cell r="X60">
            <v>1</v>
          </cell>
        </row>
        <row r="61">
          <cell r="C61" t="str">
            <v>ELI-608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0</v>
          </cell>
          <cell r="R61">
            <v>1</v>
          </cell>
          <cell r="S61">
            <v>1</v>
          </cell>
          <cell r="T61">
            <v>2013</v>
          </cell>
          <cell r="U61">
            <v>7</v>
          </cell>
          <cell r="V61">
            <v>0</v>
          </cell>
          <cell r="W61">
            <v>1</v>
          </cell>
          <cell r="X61">
            <v>1</v>
          </cell>
        </row>
        <row r="62">
          <cell r="C62" t="str">
            <v>ELI-609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1</v>
          </cell>
          <cell r="O62">
            <v>0</v>
          </cell>
          <cell r="P62">
            <v>1</v>
          </cell>
          <cell r="Q62">
            <v>1</v>
          </cell>
          <cell r="R62">
            <v>0</v>
          </cell>
          <cell r="S62">
            <v>1</v>
          </cell>
          <cell r="T62">
            <v>2013</v>
          </cell>
          <cell r="U62">
            <v>7</v>
          </cell>
          <cell r="V62">
            <v>0</v>
          </cell>
          <cell r="W62">
            <v>1</v>
          </cell>
          <cell r="X62">
            <v>1</v>
          </cell>
        </row>
        <row r="63">
          <cell r="C63" t="str">
            <v>ELI-611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1</v>
          </cell>
          <cell r="O63">
            <v>0</v>
          </cell>
          <cell r="P63">
            <v>1</v>
          </cell>
          <cell r="Q63">
            <v>1</v>
          </cell>
          <cell r="R63">
            <v>0</v>
          </cell>
          <cell r="S63">
            <v>1</v>
          </cell>
          <cell r="T63">
            <v>2013</v>
          </cell>
          <cell r="U63">
            <v>7</v>
          </cell>
          <cell r="V63">
            <v>0</v>
          </cell>
          <cell r="W63">
            <v>1</v>
          </cell>
          <cell r="X63">
            <v>1</v>
          </cell>
        </row>
        <row r="64">
          <cell r="C64" t="str">
            <v>ELI-204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</v>
          </cell>
          <cell r="Q64">
            <v>0</v>
          </cell>
          <cell r="R64">
            <v>0</v>
          </cell>
          <cell r="S64">
            <v>1</v>
          </cell>
          <cell r="T64">
            <v>2012</v>
          </cell>
          <cell r="U64">
            <v>10</v>
          </cell>
          <cell r="V64">
            <v>9</v>
          </cell>
          <cell r="W64">
            <v>0</v>
          </cell>
          <cell r="X64">
            <v>0</v>
          </cell>
        </row>
        <row r="65">
          <cell r="C65" t="str">
            <v>ELI-481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1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</v>
          </cell>
          <cell r="T65">
            <v>2012</v>
          </cell>
          <cell r="U65">
            <v>11</v>
          </cell>
          <cell r="V65">
            <v>3</v>
          </cell>
          <cell r="W65">
            <v>0</v>
          </cell>
          <cell r="X65">
            <v>0</v>
          </cell>
        </row>
        <row r="66">
          <cell r="C66" t="str">
            <v>ELI-480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1</v>
          </cell>
          <cell r="J66">
            <v>0</v>
          </cell>
          <cell r="K66">
            <v>1</v>
          </cell>
          <cell r="L66">
            <v>0</v>
          </cell>
          <cell r="M66">
            <v>1</v>
          </cell>
          <cell r="N66">
            <v>0</v>
          </cell>
          <cell r="O66">
            <v>0</v>
          </cell>
          <cell r="P66">
            <v>1</v>
          </cell>
          <cell r="Q66">
            <v>0</v>
          </cell>
          <cell r="R66">
            <v>0</v>
          </cell>
          <cell r="S66">
            <v>1</v>
          </cell>
          <cell r="T66">
            <v>2012</v>
          </cell>
          <cell r="U66">
            <v>11</v>
          </cell>
          <cell r="V66">
            <v>3</v>
          </cell>
          <cell r="W66">
            <v>0</v>
          </cell>
          <cell r="X66">
            <v>0</v>
          </cell>
        </row>
        <row r="67">
          <cell r="C67" t="str">
            <v>ELI-482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  <cell r="P67">
            <v>1</v>
          </cell>
          <cell r="Q67">
            <v>0</v>
          </cell>
          <cell r="R67">
            <v>0</v>
          </cell>
          <cell r="S67">
            <v>1</v>
          </cell>
          <cell r="T67">
            <v>2012</v>
          </cell>
          <cell r="U67">
            <v>11</v>
          </cell>
          <cell r="V67">
            <v>3</v>
          </cell>
          <cell r="W67">
            <v>0</v>
          </cell>
          <cell r="X67">
            <v>0</v>
          </cell>
        </row>
        <row r="68">
          <cell r="C68" t="str">
            <v>ELI-470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</v>
          </cell>
          <cell r="L68">
            <v>0</v>
          </cell>
          <cell r="M68">
            <v>1</v>
          </cell>
          <cell r="N68">
            <v>0</v>
          </cell>
          <cell r="O68">
            <v>0</v>
          </cell>
          <cell r="P68">
            <v>1</v>
          </cell>
          <cell r="Q68">
            <v>0</v>
          </cell>
          <cell r="R68">
            <v>0</v>
          </cell>
          <cell r="S68">
            <v>1</v>
          </cell>
          <cell r="T68">
            <v>2011</v>
          </cell>
          <cell r="U68">
            <v>8</v>
          </cell>
          <cell r="V68">
            <v>4</v>
          </cell>
          <cell r="W68">
            <v>0</v>
          </cell>
          <cell r="X68">
            <v>0</v>
          </cell>
        </row>
        <row r="69">
          <cell r="C69" t="str">
            <v>ELI-438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str">
            <v>NA</v>
          </cell>
          <cell r="R69">
            <v>0</v>
          </cell>
          <cell r="S69">
            <v>1</v>
          </cell>
          <cell r="T69">
            <v>2011</v>
          </cell>
          <cell r="U69">
            <v>9</v>
          </cell>
          <cell r="V69">
            <v>0</v>
          </cell>
          <cell r="W69">
            <v>0</v>
          </cell>
          <cell r="X69">
            <v>0</v>
          </cell>
        </row>
        <row r="70">
          <cell r="C70" t="str">
            <v>ELI-440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1</v>
          </cell>
          <cell r="Q70">
            <v>0</v>
          </cell>
          <cell r="R70">
            <v>0</v>
          </cell>
          <cell r="S70">
            <v>1</v>
          </cell>
          <cell r="T70">
            <v>2011</v>
          </cell>
          <cell r="U70">
            <v>9</v>
          </cell>
          <cell r="V70">
            <v>0</v>
          </cell>
          <cell r="W70">
            <v>0</v>
          </cell>
          <cell r="X70">
            <v>0</v>
          </cell>
        </row>
        <row r="71">
          <cell r="C71" t="str">
            <v>ELI-197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>
            <v>1</v>
          </cell>
          <cell r="L71">
            <v>0</v>
          </cell>
          <cell r="M71">
            <v>0</v>
          </cell>
          <cell r="N71">
            <v>1</v>
          </cell>
          <cell r="O71">
            <v>0</v>
          </cell>
          <cell r="P71">
            <v>1</v>
          </cell>
          <cell r="Q71">
            <v>0</v>
          </cell>
          <cell r="R71">
            <v>0</v>
          </cell>
          <cell r="S71">
            <v>1</v>
          </cell>
          <cell r="T71">
            <v>2009</v>
          </cell>
          <cell r="U71">
            <v>8</v>
          </cell>
          <cell r="V71">
            <v>2</v>
          </cell>
          <cell r="W71">
            <v>0</v>
          </cell>
          <cell r="X71">
            <v>0</v>
          </cell>
        </row>
        <row r="72">
          <cell r="C72" t="str">
            <v>ELI-198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1</v>
          </cell>
          <cell r="L72">
            <v>0</v>
          </cell>
          <cell r="M72">
            <v>0</v>
          </cell>
          <cell r="N72">
            <v>1</v>
          </cell>
          <cell r="O72">
            <v>0</v>
          </cell>
          <cell r="P72">
            <v>1</v>
          </cell>
          <cell r="Q72">
            <v>0</v>
          </cell>
          <cell r="R72">
            <v>0</v>
          </cell>
          <cell r="S72">
            <v>1</v>
          </cell>
          <cell r="T72">
            <v>2009</v>
          </cell>
          <cell r="U72">
            <v>8</v>
          </cell>
          <cell r="V72">
            <v>5</v>
          </cell>
          <cell r="W72">
            <v>0</v>
          </cell>
          <cell r="X72">
            <v>0</v>
          </cell>
        </row>
        <row r="73">
          <cell r="C73" t="str">
            <v>ELI-230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</v>
          </cell>
          <cell r="L73">
            <v>1</v>
          </cell>
          <cell r="M73">
            <v>0</v>
          </cell>
          <cell r="N73">
            <v>1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S73">
            <v>1</v>
          </cell>
          <cell r="T73">
            <v>2009</v>
          </cell>
          <cell r="U73">
            <v>8</v>
          </cell>
          <cell r="V73">
            <v>4</v>
          </cell>
          <cell r="W73">
            <v>0</v>
          </cell>
          <cell r="X73">
            <v>0</v>
          </cell>
        </row>
        <row r="74">
          <cell r="C74" t="str">
            <v>ELI-231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1</v>
          </cell>
          <cell r="L74">
            <v>0</v>
          </cell>
          <cell r="M74">
            <v>0</v>
          </cell>
          <cell r="N74">
            <v>1</v>
          </cell>
          <cell r="O74">
            <v>0</v>
          </cell>
          <cell r="P74">
            <v>1</v>
          </cell>
          <cell r="Q74">
            <v>0</v>
          </cell>
          <cell r="R74">
            <v>0</v>
          </cell>
          <cell r="S74">
            <v>1</v>
          </cell>
          <cell r="T74">
            <v>2009</v>
          </cell>
          <cell r="U74">
            <v>8</v>
          </cell>
          <cell r="V74">
            <v>0</v>
          </cell>
          <cell r="W74">
            <v>0</v>
          </cell>
          <cell r="X74">
            <v>0</v>
          </cell>
        </row>
        <row r="75">
          <cell r="C75" t="str">
            <v>ELI-232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</v>
          </cell>
          <cell r="Q75">
            <v>0</v>
          </cell>
          <cell r="R75">
            <v>0</v>
          </cell>
          <cell r="S75">
            <v>1</v>
          </cell>
          <cell r="T75">
            <v>2009</v>
          </cell>
          <cell r="U75">
            <v>8</v>
          </cell>
          <cell r="V75">
            <v>0</v>
          </cell>
          <cell r="W75">
            <v>0</v>
          </cell>
          <cell r="X75">
            <v>0</v>
          </cell>
        </row>
        <row r="76">
          <cell r="C76" t="str">
            <v>ELI-424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1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S76">
            <v>1</v>
          </cell>
          <cell r="T76">
            <v>2012</v>
          </cell>
          <cell r="U76">
            <v>10</v>
          </cell>
          <cell r="V76">
            <v>3</v>
          </cell>
          <cell r="W76">
            <v>0</v>
          </cell>
          <cell r="X76">
            <v>0</v>
          </cell>
        </row>
        <row r="77">
          <cell r="C77" t="str">
            <v>ELI-425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1</v>
          </cell>
          <cell r="K77">
            <v>1</v>
          </cell>
          <cell r="L77">
            <v>0</v>
          </cell>
          <cell r="M77">
            <v>0</v>
          </cell>
          <cell r="N77">
            <v>1</v>
          </cell>
          <cell r="O77">
            <v>0</v>
          </cell>
          <cell r="P77">
            <v>1</v>
          </cell>
          <cell r="Q77">
            <v>0</v>
          </cell>
          <cell r="R77">
            <v>0</v>
          </cell>
          <cell r="S77">
            <v>1</v>
          </cell>
          <cell r="T77">
            <v>2011</v>
          </cell>
          <cell r="U77">
            <v>6</v>
          </cell>
          <cell r="V77">
            <v>2</v>
          </cell>
          <cell r="W77">
            <v>0</v>
          </cell>
          <cell r="X77">
            <v>0</v>
          </cell>
        </row>
        <row r="78">
          <cell r="C78" t="str">
            <v>ELI-612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1</v>
          </cell>
          <cell r="L78">
            <v>0</v>
          </cell>
          <cell r="M78">
            <v>0</v>
          </cell>
          <cell r="N78">
            <v>1</v>
          </cell>
          <cell r="O78">
            <v>0</v>
          </cell>
          <cell r="P78">
            <v>1</v>
          </cell>
          <cell r="Q78">
            <v>0</v>
          </cell>
          <cell r="R78">
            <v>1</v>
          </cell>
          <cell r="S78">
            <v>1</v>
          </cell>
          <cell r="T78">
            <v>2013</v>
          </cell>
          <cell r="U78">
            <v>9</v>
          </cell>
          <cell r="V78">
            <v>0</v>
          </cell>
          <cell r="W78">
            <v>0</v>
          </cell>
          <cell r="X78">
            <v>0</v>
          </cell>
        </row>
        <row r="79">
          <cell r="C79" t="str">
            <v>ELI-613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</v>
          </cell>
          <cell r="K79">
            <v>1</v>
          </cell>
          <cell r="L79">
            <v>0</v>
          </cell>
          <cell r="M79">
            <v>0</v>
          </cell>
          <cell r="N79">
            <v>1</v>
          </cell>
          <cell r="O79">
            <v>0</v>
          </cell>
          <cell r="P79">
            <v>1</v>
          </cell>
          <cell r="Q79">
            <v>0</v>
          </cell>
          <cell r="R79">
            <v>0</v>
          </cell>
          <cell r="S79">
            <v>1</v>
          </cell>
          <cell r="T79">
            <v>2013</v>
          </cell>
          <cell r="U79">
            <v>9</v>
          </cell>
          <cell r="V79">
            <v>0</v>
          </cell>
          <cell r="W79">
            <v>0</v>
          </cell>
          <cell r="X79">
            <v>0</v>
          </cell>
        </row>
        <row r="80">
          <cell r="C80" t="str">
            <v>ELI-615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</v>
          </cell>
          <cell r="K80">
            <v>1</v>
          </cell>
          <cell r="L80">
            <v>0</v>
          </cell>
          <cell r="M80">
            <v>0</v>
          </cell>
          <cell r="N80">
            <v>1</v>
          </cell>
          <cell r="O80">
            <v>0</v>
          </cell>
          <cell r="P80">
            <v>1</v>
          </cell>
          <cell r="Q80">
            <v>1</v>
          </cell>
          <cell r="R80">
            <v>0</v>
          </cell>
          <cell r="S80">
            <v>1</v>
          </cell>
          <cell r="T80">
            <v>2013</v>
          </cell>
          <cell r="U80">
            <v>9</v>
          </cell>
          <cell r="V80">
            <v>0</v>
          </cell>
          <cell r="W80">
            <v>0</v>
          </cell>
          <cell r="X80">
            <v>0</v>
          </cell>
        </row>
        <row r="81">
          <cell r="C81" t="str">
            <v>ELI-616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</v>
          </cell>
          <cell r="K81">
            <v>1</v>
          </cell>
          <cell r="L81">
            <v>0</v>
          </cell>
          <cell r="M81">
            <v>0</v>
          </cell>
          <cell r="N81">
            <v>1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1</v>
          </cell>
          <cell r="T81">
            <v>2013</v>
          </cell>
          <cell r="U81">
            <v>9</v>
          </cell>
          <cell r="V81">
            <v>0</v>
          </cell>
          <cell r="W81">
            <v>0</v>
          </cell>
          <cell r="X81">
            <v>0</v>
          </cell>
        </row>
        <row r="82">
          <cell r="C82" t="str">
            <v>ELI-617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1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1</v>
          </cell>
          <cell r="Q82">
            <v>1</v>
          </cell>
          <cell r="R82">
            <v>0</v>
          </cell>
          <cell r="S82">
            <v>1</v>
          </cell>
          <cell r="T82">
            <v>2013</v>
          </cell>
          <cell r="U82">
            <v>9</v>
          </cell>
          <cell r="V82">
            <v>0</v>
          </cell>
          <cell r="W82">
            <v>0</v>
          </cell>
          <cell r="X82">
            <v>0</v>
          </cell>
        </row>
        <row r="83">
          <cell r="C83" t="str">
            <v>ELI-618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1</v>
          </cell>
          <cell r="L83">
            <v>0</v>
          </cell>
          <cell r="M83">
            <v>0</v>
          </cell>
          <cell r="N83">
            <v>1</v>
          </cell>
          <cell r="O83">
            <v>0</v>
          </cell>
          <cell r="P83">
            <v>1</v>
          </cell>
          <cell r="Q83">
            <v>0</v>
          </cell>
          <cell r="R83">
            <v>0</v>
          </cell>
          <cell r="S83">
            <v>1</v>
          </cell>
          <cell r="T83">
            <v>2013</v>
          </cell>
          <cell r="U83">
            <v>9</v>
          </cell>
          <cell r="V83">
            <v>0</v>
          </cell>
          <cell r="W83">
            <v>0</v>
          </cell>
          <cell r="X83">
            <v>0</v>
          </cell>
        </row>
        <row r="84">
          <cell r="C84" t="str">
            <v>ELI-735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0</v>
          </cell>
          <cell r="N84">
            <v>1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S84">
            <v>1</v>
          </cell>
          <cell r="T84">
            <v>2014</v>
          </cell>
          <cell r="U84">
            <v>8</v>
          </cell>
          <cell r="V84">
            <v>0</v>
          </cell>
          <cell r="W84">
            <v>0</v>
          </cell>
          <cell r="X84">
            <v>0</v>
          </cell>
        </row>
        <row r="85">
          <cell r="C85" t="str">
            <v>ELI-736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</v>
          </cell>
          <cell r="M85">
            <v>0</v>
          </cell>
          <cell r="N85">
            <v>1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1</v>
          </cell>
          <cell r="T85">
            <v>2014</v>
          </cell>
          <cell r="U85">
            <v>8</v>
          </cell>
          <cell r="V85">
            <v>0</v>
          </cell>
          <cell r="W85">
            <v>0</v>
          </cell>
          <cell r="X85">
            <v>0</v>
          </cell>
        </row>
        <row r="86">
          <cell r="C86" t="str">
            <v>ELI-737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1</v>
          </cell>
          <cell r="O86">
            <v>0</v>
          </cell>
          <cell r="P86">
            <v>1</v>
          </cell>
          <cell r="Q86">
            <v>1</v>
          </cell>
          <cell r="R86">
            <v>0</v>
          </cell>
          <cell r="S86">
            <v>1</v>
          </cell>
          <cell r="T86">
            <v>2014</v>
          </cell>
          <cell r="U86">
            <v>8</v>
          </cell>
          <cell r="V86">
            <v>0</v>
          </cell>
          <cell r="W86">
            <v>0</v>
          </cell>
          <cell r="X86">
            <v>0</v>
          </cell>
        </row>
        <row r="87">
          <cell r="C87" t="str">
            <v>ELI-738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1</v>
          </cell>
          <cell r="T87">
            <v>2014</v>
          </cell>
          <cell r="U87">
            <v>9</v>
          </cell>
          <cell r="V87">
            <v>0</v>
          </cell>
          <cell r="W87">
            <v>0</v>
          </cell>
          <cell r="X87">
            <v>0</v>
          </cell>
        </row>
        <row r="88">
          <cell r="C88" t="str">
            <v>ELI-739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1</v>
          </cell>
          <cell r="S88">
            <v>1</v>
          </cell>
          <cell r="T88">
            <v>2014</v>
          </cell>
          <cell r="U88">
            <v>9</v>
          </cell>
          <cell r="V88">
            <v>0</v>
          </cell>
          <cell r="W88">
            <v>0</v>
          </cell>
          <cell r="X88">
            <v>0</v>
          </cell>
        </row>
        <row r="89">
          <cell r="C89" t="str">
            <v>ELI-619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 t="str">
            <v>NA</v>
          </cell>
          <cell r="R89">
            <v>1</v>
          </cell>
          <cell r="S89">
            <v>1</v>
          </cell>
          <cell r="T89">
            <v>2013</v>
          </cell>
          <cell r="U89">
            <v>10</v>
          </cell>
          <cell r="V89">
            <v>0</v>
          </cell>
          <cell r="W89">
            <v>0</v>
          </cell>
          <cell r="X89">
            <v>0</v>
          </cell>
        </row>
        <row r="90">
          <cell r="C90" t="str">
            <v>ELI-154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0</v>
          </cell>
          <cell r="P90">
            <v>1</v>
          </cell>
          <cell r="Q90">
            <v>0</v>
          </cell>
          <cell r="R90">
            <v>0</v>
          </cell>
          <cell r="S90">
            <v>1</v>
          </cell>
          <cell r="T90">
            <v>2008</v>
          </cell>
          <cell r="U90">
            <v>7</v>
          </cell>
          <cell r="V90">
            <v>4</v>
          </cell>
          <cell r="W90">
            <v>1</v>
          </cell>
          <cell r="X90">
            <v>1</v>
          </cell>
        </row>
        <row r="91">
          <cell r="C91" t="str">
            <v>ELI-155</v>
          </cell>
          <cell r="D91">
            <v>0</v>
          </cell>
          <cell r="E91">
            <v>0</v>
          </cell>
          <cell r="F91">
            <v>0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0</v>
          </cell>
          <cell r="P91">
            <v>1</v>
          </cell>
          <cell r="Q91">
            <v>0</v>
          </cell>
          <cell r="R91">
            <v>0</v>
          </cell>
          <cell r="S91">
            <v>1</v>
          </cell>
          <cell r="T91">
            <v>2008</v>
          </cell>
          <cell r="U91">
            <v>5</v>
          </cell>
          <cell r="V91">
            <v>2</v>
          </cell>
          <cell r="W91">
            <v>1</v>
          </cell>
          <cell r="X91">
            <v>1</v>
          </cell>
        </row>
        <row r="92">
          <cell r="C92" t="str">
            <v>ELI-369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1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0</v>
          </cell>
          <cell r="P92">
            <v>1</v>
          </cell>
          <cell r="Q92">
            <v>0</v>
          </cell>
          <cell r="R92">
            <v>0</v>
          </cell>
          <cell r="S92">
            <v>1</v>
          </cell>
          <cell r="T92">
            <v>2010</v>
          </cell>
          <cell r="U92">
            <v>5</v>
          </cell>
          <cell r="V92">
            <v>0</v>
          </cell>
          <cell r="W92">
            <v>1</v>
          </cell>
          <cell r="X92">
            <v>1</v>
          </cell>
        </row>
        <row r="93">
          <cell r="C93" t="str">
            <v>ELI-159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0</v>
          </cell>
          <cell r="P93">
            <v>1</v>
          </cell>
          <cell r="Q93">
            <v>0</v>
          </cell>
          <cell r="R93">
            <v>0</v>
          </cell>
          <cell r="S93">
            <v>1</v>
          </cell>
          <cell r="T93">
            <v>2008</v>
          </cell>
          <cell r="U93">
            <v>6</v>
          </cell>
          <cell r="V93">
            <v>0</v>
          </cell>
          <cell r="W93">
            <v>1</v>
          </cell>
          <cell r="X93">
            <v>1</v>
          </cell>
        </row>
        <row r="94">
          <cell r="C94" t="str">
            <v>ELI-720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1</v>
          </cell>
          <cell r="J94">
            <v>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</v>
          </cell>
          <cell r="Q94">
            <v>0</v>
          </cell>
          <cell r="R94">
            <v>1</v>
          </cell>
          <cell r="S94">
            <v>1</v>
          </cell>
          <cell r="T94">
            <v>2014</v>
          </cell>
          <cell r="U94">
            <v>5</v>
          </cell>
          <cell r="V94">
            <v>0</v>
          </cell>
          <cell r="W94">
            <v>1</v>
          </cell>
          <cell r="X94">
            <v>1</v>
          </cell>
        </row>
        <row r="95">
          <cell r="C95" t="str">
            <v>ELI-750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O95">
            <v>0</v>
          </cell>
          <cell r="P95">
            <v>0</v>
          </cell>
          <cell r="Q95" t="str">
            <v>NA</v>
          </cell>
          <cell r="R95">
            <v>1</v>
          </cell>
          <cell r="S95">
            <v>1</v>
          </cell>
          <cell r="T95">
            <v>2014</v>
          </cell>
          <cell r="U95">
            <v>10</v>
          </cell>
          <cell r="V95">
            <v>0</v>
          </cell>
          <cell r="W95">
            <v>1</v>
          </cell>
          <cell r="X95">
            <v>1</v>
          </cell>
        </row>
        <row r="96">
          <cell r="C96" t="str">
            <v>ELI-751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  <cell r="O96">
            <v>0</v>
          </cell>
          <cell r="P96">
            <v>0</v>
          </cell>
          <cell r="Q96" t="str">
            <v>NA</v>
          </cell>
          <cell r="R96">
            <v>1</v>
          </cell>
          <cell r="S96">
            <v>1</v>
          </cell>
          <cell r="T96">
            <v>2014</v>
          </cell>
          <cell r="U96">
            <v>10</v>
          </cell>
          <cell r="V96">
            <v>0</v>
          </cell>
          <cell r="W96">
            <v>1</v>
          </cell>
          <cell r="X96">
            <v>1</v>
          </cell>
        </row>
        <row r="97">
          <cell r="C97" t="str">
            <v>ELI-124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</v>
          </cell>
          <cell r="Q97">
            <v>0</v>
          </cell>
          <cell r="R97">
            <v>0</v>
          </cell>
          <cell r="S97">
            <v>1</v>
          </cell>
          <cell r="T97">
            <v>2008</v>
          </cell>
          <cell r="U97">
            <v>9</v>
          </cell>
          <cell r="V97">
            <v>6</v>
          </cell>
          <cell r="W97">
            <v>1</v>
          </cell>
          <cell r="X97">
            <v>1</v>
          </cell>
        </row>
        <row r="98">
          <cell r="C98" t="str">
            <v>ELI-125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0</v>
          </cell>
          <cell r="P98">
            <v>1</v>
          </cell>
          <cell r="Q98">
            <v>0</v>
          </cell>
          <cell r="R98">
            <v>1</v>
          </cell>
          <cell r="S98">
            <v>1</v>
          </cell>
          <cell r="T98">
            <v>2008</v>
          </cell>
          <cell r="U98">
            <v>9</v>
          </cell>
          <cell r="V98">
            <v>7</v>
          </cell>
          <cell r="W98">
            <v>1</v>
          </cell>
          <cell r="X98">
            <v>1</v>
          </cell>
        </row>
        <row r="99">
          <cell r="C99" t="str">
            <v>ELI-126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0</v>
          </cell>
          <cell r="R99">
            <v>0</v>
          </cell>
          <cell r="S99">
            <v>1</v>
          </cell>
          <cell r="T99">
            <v>2008</v>
          </cell>
          <cell r="U99">
            <v>9</v>
          </cell>
          <cell r="V99">
            <v>3</v>
          </cell>
          <cell r="W99">
            <v>1</v>
          </cell>
          <cell r="X99">
            <v>1</v>
          </cell>
        </row>
        <row r="100">
          <cell r="C100" t="str">
            <v>ELI-127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0</v>
          </cell>
          <cell r="R100">
            <v>0</v>
          </cell>
          <cell r="S100">
            <v>1</v>
          </cell>
          <cell r="T100">
            <v>2008</v>
          </cell>
          <cell r="U100">
            <v>9</v>
          </cell>
          <cell r="V100">
            <v>2</v>
          </cell>
          <cell r="W100">
            <v>1</v>
          </cell>
          <cell r="X100">
            <v>1</v>
          </cell>
        </row>
        <row r="101">
          <cell r="C101" t="str">
            <v>ELI-138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0</v>
          </cell>
          <cell r="R101">
            <v>0</v>
          </cell>
          <cell r="S101">
            <v>1</v>
          </cell>
          <cell r="T101">
            <v>2008</v>
          </cell>
          <cell r="U101">
            <v>10</v>
          </cell>
          <cell r="V101">
            <v>5</v>
          </cell>
          <cell r="W101">
            <v>1</v>
          </cell>
          <cell r="X101">
            <v>1</v>
          </cell>
        </row>
        <row r="102">
          <cell r="C102" t="str">
            <v>ELI-469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0</v>
          </cell>
          <cell r="R102">
            <v>0</v>
          </cell>
          <cell r="S102">
            <v>1</v>
          </cell>
          <cell r="T102">
            <v>2014</v>
          </cell>
          <cell r="U102">
            <v>7</v>
          </cell>
          <cell r="V102">
            <v>6</v>
          </cell>
          <cell r="W102">
            <v>1</v>
          </cell>
          <cell r="X102">
            <v>1</v>
          </cell>
        </row>
        <row r="103">
          <cell r="C103" t="str">
            <v>ELI-657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</v>
          </cell>
          <cell r="I103">
            <v>0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0</v>
          </cell>
          <cell r="S103">
            <v>1</v>
          </cell>
          <cell r="T103">
            <v>2013</v>
          </cell>
          <cell r="U103">
            <v>8</v>
          </cell>
          <cell r="V103">
            <v>0</v>
          </cell>
          <cell r="W103">
            <v>1</v>
          </cell>
          <cell r="X103">
            <v>1</v>
          </cell>
        </row>
        <row r="104">
          <cell r="C104" t="str">
            <v>ELI-658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1</v>
          </cell>
          <cell r="I104">
            <v>0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0</v>
          </cell>
          <cell r="R104">
            <v>0</v>
          </cell>
          <cell r="S104">
            <v>1</v>
          </cell>
          <cell r="T104">
            <v>2013</v>
          </cell>
          <cell r="U104">
            <v>11</v>
          </cell>
          <cell r="V104">
            <v>1</v>
          </cell>
          <cell r="W104">
            <v>1</v>
          </cell>
          <cell r="X104">
            <v>1</v>
          </cell>
        </row>
        <row r="105">
          <cell r="C105" t="str">
            <v>ELI-659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0</v>
          </cell>
          <cell r="R105">
            <v>0</v>
          </cell>
          <cell r="S105">
            <v>1</v>
          </cell>
          <cell r="T105">
            <v>2013</v>
          </cell>
          <cell r="U105">
            <v>8</v>
          </cell>
          <cell r="V105">
            <v>0</v>
          </cell>
          <cell r="W105">
            <v>1</v>
          </cell>
          <cell r="X105">
            <v>1</v>
          </cell>
        </row>
        <row r="106">
          <cell r="C106" t="str">
            <v>ELI-660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0</v>
          </cell>
          <cell r="R106">
            <v>0</v>
          </cell>
          <cell r="S106">
            <v>1</v>
          </cell>
          <cell r="T106">
            <v>2013</v>
          </cell>
          <cell r="U106">
            <v>8</v>
          </cell>
          <cell r="V106">
            <v>0</v>
          </cell>
          <cell r="W106">
            <v>1</v>
          </cell>
          <cell r="X106">
            <v>1</v>
          </cell>
        </row>
        <row r="107">
          <cell r="C107" t="str">
            <v>ELI-661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</v>
          </cell>
          <cell r="K107">
            <v>1</v>
          </cell>
          <cell r="L107">
            <v>0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0</v>
          </cell>
          <cell r="R107">
            <v>0</v>
          </cell>
          <cell r="S107">
            <v>1</v>
          </cell>
          <cell r="T107">
            <v>2013</v>
          </cell>
          <cell r="U107">
            <v>8</v>
          </cell>
          <cell r="V107">
            <v>0</v>
          </cell>
          <cell r="W107">
            <v>1</v>
          </cell>
          <cell r="X107">
            <v>1</v>
          </cell>
        </row>
        <row r="108">
          <cell r="C108" t="str">
            <v>ELI-662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0</v>
          </cell>
          <cell r="R108">
            <v>0</v>
          </cell>
          <cell r="S108">
            <v>1</v>
          </cell>
          <cell r="T108">
            <v>2013</v>
          </cell>
          <cell r="U108">
            <v>8</v>
          </cell>
          <cell r="V108">
            <v>0</v>
          </cell>
          <cell r="W108">
            <v>1</v>
          </cell>
          <cell r="X108">
            <v>1</v>
          </cell>
        </row>
        <row r="109">
          <cell r="C109" t="str">
            <v>ELI-663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0</v>
          </cell>
          <cell r="P109">
            <v>1</v>
          </cell>
          <cell r="Q109">
            <v>1</v>
          </cell>
          <cell r="R109">
            <v>0</v>
          </cell>
          <cell r="S109">
            <v>1</v>
          </cell>
          <cell r="T109">
            <v>2013</v>
          </cell>
          <cell r="U109">
            <v>8</v>
          </cell>
          <cell r="V109">
            <v>2</v>
          </cell>
          <cell r="W109">
            <v>1</v>
          </cell>
          <cell r="X109">
            <v>1</v>
          </cell>
        </row>
        <row r="110">
          <cell r="C110" t="str">
            <v>ELI-664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1</v>
          </cell>
          <cell r="T110">
            <v>2013</v>
          </cell>
          <cell r="U110">
            <v>8</v>
          </cell>
          <cell r="V110">
            <v>1</v>
          </cell>
          <cell r="W110">
            <v>1</v>
          </cell>
          <cell r="X110">
            <v>1</v>
          </cell>
        </row>
        <row r="111">
          <cell r="C111" t="str">
            <v>ELI-665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0</v>
          </cell>
          <cell r="P111">
            <v>1</v>
          </cell>
          <cell r="Q111">
            <v>1</v>
          </cell>
          <cell r="R111">
            <v>0</v>
          </cell>
          <cell r="S111">
            <v>1</v>
          </cell>
          <cell r="T111">
            <v>2013</v>
          </cell>
          <cell r="U111">
            <v>8</v>
          </cell>
          <cell r="V111">
            <v>2</v>
          </cell>
          <cell r="W111">
            <v>1</v>
          </cell>
          <cell r="X111">
            <v>1</v>
          </cell>
        </row>
        <row r="112">
          <cell r="C112" t="str">
            <v>ELI-666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0</v>
          </cell>
          <cell r="S112">
            <v>1</v>
          </cell>
          <cell r="T112">
            <v>2013</v>
          </cell>
          <cell r="U112">
            <v>11</v>
          </cell>
          <cell r="V112">
            <v>1</v>
          </cell>
          <cell r="W112">
            <v>1</v>
          </cell>
          <cell r="X112">
            <v>1</v>
          </cell>
        </row>
        <row r="113">
          <cell r="C113" t="str">
            <v>ELI-697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1</v>
          </cell>
          <cell r="J113">
            <v>1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0</v>
          </cell>
          <cell r="P113">
            <v>1</v>
          </cell>
          <cell r="Q113">
            <v>0</v>
          </cell>
          <cell r="R113">
            <v>1</v>
          </cell>
          <cell r="S113">
            <v>1</v>
          </cell>
          <cell r="T113">
            <v>2013</v>
          </cell>
          <cell r="U113">
            <v>11</v>
          </cell>
          <cell r="V113">
            <v>12</v>
          </cell>
          <cell r="W113">
            <v>1</v>
          </cell>
          <cell r="X113">
            <v>1</v>
          </cell>
        </row>
        <row r="114">
          <cell r="C114" t="str">
            <v>ELI-721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0</v>
          </cell>
          <cell r="P114">
            <v>0</v>
          </cell>
          <cell r="Q114" t="str">
            <v>NA</v>
          </cell>
          <cell r="R114">
            <v>1</v>
          </cell>
          <cell r="S114">
            <v>1</v>
          </cell>
          <cell r="T114">
            <v>2014</v>
          </cell>
          <cell r="U114">
            <v>7</v>
          </cell>
          <cell r="V114">
            <v>0</v>
          </cell>
          <cell r="W114">
            <v>1</v>
          </cell>
          <cell r="X114">
            <v>1</v>
          </cell>
        </row>
        <row r="115">
          <cell r="C115" t="str">
            <v>ELI-722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 t="str">
            <v>NA</v>
          </cell>
          <cell r="R115">
            <v>1</v>
          </cell>
          <cell r="S115">
            <v>1</v>
          </cell>
          <cell r="T115">
            <v>2014</v>
          </cell>
          <cell r="U115">
            <v>7</v>
          </cell>
          <cell r="V115">
            <v>0</v>
          </cell>
          <cell r="W115">
            <v>1</v>
          </cell>
          <cell r="X115">
            <v>1</v>
          </cell>
        </row>
        <row r="116">
          <cell r="C116" t="str">
            <v>ELI-700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0</v>
          </cell>
          <cell r="P116">
            <v>1</v>
          </cell>
          <cell r="Q116">
            <v>0</v>
          </cell>
          <cell r="R116">
            <v>0</v>
          </cell>
          <cell r="S116">
            <v>1</v>
          </cell>
          <cell r="T116">
            <v>2013</v>
          </cell>
          <cell r="U116">
            <v>4</v>
          </cell>
          <cell r="V116">
            <v>6</v>
          </cell>
          <cell r="W116">
            <v>1</v>
          </cell>
          <cell r="X116">
            <v>1</v>
          </cell>
        </row>
        <row r="117">
          <cell r="C117" t="str">
            <v>ELI-701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0</v>
          </cell>
          <cell r="P117">
            <v>1</v>
          </cell>
          <cell r="Q117">
            <v>0</v>
          </cell>
          <cell r="R117">
            <v>0</v>
          </cell>
          <cell r="S117">
            <v>1</v>
          </cell>
          <cell r="T117">
            <v>2013</v>
          </cell>
          <cell r="U117">
            <v>4</v>
          </cell>
          <cell r="V117">
            <v>4</v>
          </cell>
          <cell r="W117">
            <v>1</v>
          </cell>
          <cell r="X117">
            <v>1</v>
          </cell>
        </row>
        <row r="118">
          <cell r="C118" t="str">
            <v>ELI-702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S118">
            <v>1</v>
          </cell>
          <cell r="T118">
            <v>2013</v>
          </cell>
          <cell r="U118">
            <v>4</v>
          </cell>
          <cell r="V118">
            <v>5</v>
          </cell>
          <cell r="W118">
            <v>1</v>
          </cell>
          <cell r="X118">
            <v>1</v>
          </cell>
        </row>
        <row r="119">
          <cell r="C119" t="str">
            <v>ELI-708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1</v>
          </cell>
          <cell r="J119">
            <v>0</v>
          </cell>
          <cell r="K119">
            <v>1</v>
          </cell>
          <cell r="L119">
            <v>0</v>
          </cell>
          <cell r="M119">
            <v>1</v>
          </cell>
          <cell r="N119">
            <v>0</v>
          </cell>
          <cell r="O119">
            <v>0</v>
          </cell>
          <cell r="P119">
            <v>1</v>
          </cell>
          <cell r="Q119">
            <v>0</v>
          </cell>
          <cell r="R119">
            <v>0</v>
          </cell>
          <cell r="S119">
            <v>1</v>
          </cell>
          <cell r="T119">
            <v>2014</v>
          </cell>
          <cell r="U119">
            <v>6</v>
          </cell>
          <cell r="V119">
            <v>0</v>
          </cell>
          <cell r="W119">
            <v>1</v>
          </cell>
          <cell r="X119">
            <v>1</v>
          </cell>
        </row>
        <row r="120">
          <cell r="C120" t="str">
            <v>ELI-709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1</v>
          </cell>
          <cell r="L120">
            <v>0</v>
          </cell>
          <cell r="M120">
            <v>1</v>
          </cell>
          <cell r="N120">
            <v>0</v>
          </cell>
          <cell r="O120">
            <v>0</v>
          </cell>
          <cell r="P120">
            <v>1</v>
          </cell>
          <cell r="Q120">
            <v>0</v>
          </cell>
          <cell r="R120">
            <v>0</v>
          </cell>
          <cell r="S120">
            <v>1</v>
          </cell>
          <cell r="T120">
            <v>2014</v>
          </cell>
          <cell r="U120">
            <v>6</v>
          </cell>
          <cell r="V120">
            <v>0</v>
          </cell>
          <cell r="W120">
            <v>1</v>
          </cell>
          <cell r="X120">
            <v>1</v>
          </cell>
        </row>
        <row r="121">
          <cell r="C121" t="str">
            <v>ELI-710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1</v>
          </cell>
          <cell r="L121">
            <v>0</v>
          </cell>
          <cell r="M121">
            <v>1</v>
          </cell>
          <cell r="N121">
            <v>0</v>
          </cell>
          <cell r="O121">
            <v>0</v>
          </cell>
          <cell r="P121">
            <v>1</v>
          </cell>
          <cell r="Q121">
            <v>0</v>
          </cell>
          <cell r="R121">
            <v>0</v>
          </cell>
          <cell r="S121">
            <v>1</v>
          </cell>
          <cell r="T121">
            <v>2014</v>
          </cell>
          <cell r="U121">
            <v>6</v>
          </cell>
          <cell r="V121">
            <v>0</v>
          </cell>
          <cell r="W121">
            <v>1</v>
          </cell>
          <cell r="X121">
            <v>1</v>
          </cell>
        </row>
        <row r="122">
          <cell r="C122" t="str">
            <v>ELI-711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1</v>
          </cell>
          <cell r="J122">
            <v>0</v>
          </cell>
          <cell r="K122">
            <v>1</v>
          </cell>
          <cell r="L122">
            <v>0</v>
          </cell>
          <cell r="M122">
            <v>1</v>
          </cell>
          <cell r="N122">
            <v>0</v>
          </cell>
          <cell r="O122">
            <v>0</v>
          </cell>
          <cell r="P122">
            <v>1</v>
          </cell>
          <cell r="Q122">
            <v>0</v>
          </cell>
          <cell r="R122">
            <v>0</v>
          </cell>
          <cell r="S122">
            <v>1</v>
          </cell>
          <cell r="T122">
            <v>2014</v>
          </cell>
          <cell r="U122">
            <v>6</v>
          </cell>
          <cell r="V122">
            <v>0</v>
          </cell>
          <cell r="W122">
            <v>1</v>
          </cell>
          <cell r="X122">
            <v>1</v>
          </cell>
        </row>
        <row r="123">
          <cell r="C123" t="str">
            <v>ELI-468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</v>
          </cell>
          <cell r="M123">
            <v>1</v>
          </cell>
          <cell r="N123">
            <v>0</v>
          </cell>
          <cell r="O123">
            <v>0</v>
          </cell>
          <cell r="P123">
            <v>0</v>
          </cell>
          <cell r="Q123" t="str">
            <v>NA</v>
          </cell>
          <cell r="R123">
            <v>0</v>
          </cell>
          <cell r="S123">
            <v>1</v>
          </cell>
          <cell r="T123">
            <v>2011</v>
          </cell>
          <cell r="U123">
            <v>10</v>
          </cell>
          <cell r="V123">
            <v>0</v>
          </cell>
          <cell r="W123">
            <v>0</v>
          </cell>
          <cell r="X123">
            <v>0</v>
          </cell>
        </row>
        <row r="124">
          <cell r="C124" t="str">
            <v>ELI-261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1</v>
          </cell>
          <cell r="N124">
            <v>0</v>
          </cell>
          <cell r="O124">
            <v>0</v>
          </cell>
          <cell r="P124">
            <v>1</v>
          </cell>
          <cell r="Q124">
            <v>0</v>
          </cell>
          <cell r="R124">
            <v>0</v>
          </cell>
          <cell r="S124">
            <v>1</v>
          </cell>
          <cell r="T124">
            <v>2008</v>
          </cell>
          <cell r="U124">
            <v>8</v>
          </cell>
          <cell r="V124">
            <v>0</v>
          </cell>
          <cell r="W124">
            <v>0</v>
          </cell>
          <cell r="X124">
            <v>0</v>
          </cell>
        </row>
        <row r="125">
          <cell r="C125" t="str">
            <v>ELI-257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</v>
          </cell>
          <cell r="M125">
            <v>1</v>
          </cell>
          <cell r="N125">
            <v>0</v>
          </cell>
          <cell r="O125">
            <v>0</v>
          </cell>
          <cell r="P125">
            <v>1</v>
          </cell>
          <cell r="Q125">
            <v>0</v>
          </cell>
          <cell r="R125">
            <v>0</v>
          </cell>
          <cell r="S125">
            <v>1</v>
          </cell>
          <cell r="T125">
            <v>2009</v>
          </cell>
          <cell r="U125">
            <v>11</v>
          </cell>
          <cell r="V125">
            <v>1</v>
          </cell>
          <cell r="W125">
            <v>0</v>
          </cell>
          <cell r="X125">
            <v>0</v>
          </cell>
        </row>
        <row r="126">
          <cell r="C126" t="str">
            <v>ELI-183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</v>
          </cell>
          <cell r="M126">
            <v>1</v>
          </cell>
          <cell r="N126">
            <v>0</v>
          </cell>
          <cell r="O126">
            <v>0</v>
          </cell>
          <cell r="P126">
            <v>1</v>
          </cell>
          <cell r="Q126">
            <v>0</v>
          </cell>
          <cell r="R126">
            <v>0</v>
          </cell>
          <cell r="S126">
            <v>1</v>
          </cell>
          <cell r="T126">
            <v>2009</v>
          </cell>
          <cell r="U126">
            <v>9</v>
          </cell>
          <cell r="V126">
            <v>7</v>
          </cell>
          <cell r="W126">
            <v>0</v>
          </cell>
          <cell r="X126">
            <v>0</v>
          </cell>
        </row>
        <row r="127">
          <cell r="C127" t="str">
            <v>ELI-189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0</v>
          </cell>
          <cell r="R127">
            <v>0</v>
          </cell>
          <cell r="S127">
            <v>1</v>
          </cell>
          <cell r="T127">
            <v>2008</v>
          </cell>
          <cell r="U127">
            <v>8</v>
          </cell>
          <cell r="V127">
            <v>1</v>
          </cell>
          <cell r="W127">
            <v>0</v>
          </cell>
          <cell r="X127">
            <v>0</v>
          </cell>
        </row>
        <row r="128">
          <cell r="C128" t="str">
            <v>ELI-465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</v>
          </cell>
          <cell r="Q128">
            <v>0</v>
          </cell>
          <cell r="R128">
            <v>0</v>
          </cell>
          <cell r="S128">
            <v>1</v>
          </cell>
          <cell r="T128">
            <v>2011</v>
          </cell>
          <cell r="U128">
            <v>10</v>
          </cell>
          <cell r="V128">
            <v>8</v>
          </cell>
          <cell r="W128">
            <v>0</v>
          </cell>
          <cell r="X128">
            <v>0</v>
          </cell>
        </row>
        <row r="129">
          <cell r="C129" t="str">
            <v>ELI-467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</v>
          </cell>
          <cell r="M129">
            <v>1</v>
          </cell>
          <cell r="N129">
            <v>0</v>
          </cell>
          <cell r="O129">
            <v>0</v>
          </cell>
          <cell r="P129">
            <v>1</v>
          </cell>
          <cell r="Q129">
            <v>0</v>
          </cell>
          <cell r="R129">
            <v>0</v>
          </cell>
          <cell r="S129">
            <v>1</v>
          </cell>
          <cell r="T129">
            <v>2011</v>
          </cell>
          <cell r="U129">
            <v>10</v>
          </cell>
          <cell r="V129">
            <v>0</v>
          </cell>
          <cell r="W129">
            <v>0</v>
          </cell>
          <cell r="X129">
            <v>0</v>
          </cell>
        </row>
        <row r="130">
          <cell r="C130" t="str">
            <v>ELI-770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1</v>
          </cell>
          <cell r="N130">
            <v>0</v>
          </cell>
          <cell r="O130">
            <v>0</v>
          </cell>
          <cell r="P130">
            <v>1</v>
          </cell>
          <cell r="Q130">
            <v>0</v>
          </cell>
          <cell r="R130">
            <v>0</v>
          </cell>
          <cell r="S130">
            <v>1</v>
          </cell>
          <cell r="T130">
            <v>2014</v>
          </cell>
          <cell r="U130">
            <v>10</v>
          </cell>
          <cell r="V130">
            <v>1</v>
          </cell>
          <cell r="W130">
            <v>0</v>
          </cell>
          <cell r="X130">
            <v>0</v>
          </cell>
        </row>
        <row r="131">
          <cell r="C131" t="str">
            <v>ELI-771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O131">
            <v>0</v>
          </cell>
          <cell r="P131">
            <v>1</v>
          </cell>
          <cell r="Q131">
            <v>0</v>
          </cell>
          <cell r="R131">
            <v>0</v>
          </cell>
          <cell r="S131">
            <v>1</v>
          </cell>
          <cell r="T131">
            <v>2014</v>
          </cell>
          <cell r="U131">
            <v>10</v>
          </cell>
          <cell r="V131">
            <v>0</v>
          </cell>
          <cell r="W131">
            <v>0</v>
          </cell>
          <cell r="X131">
            <v>0</v>
          </cell>
        </row>
        <row r="132">
          <cell r="C132" t="str">
            <v>ELI-772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1</v>
          </cell>
          <cell r="N132">
            <v>0</v>
          </cell>
          <cell r="O132">
            <v>0</v>
          </cell>
          <cell r="P132">
            <v>0</v>
          </cell>
          <cell r="Q132" t="str">
            <v>NA</v>
          </cell>
          <cell r="R132">
            <v>0</v>
          </cell>
          <cell r="S132">
            <v>1</v>
          </cell>
          <cell r="T132">
            <v>2014</v>
          </cell>
          <cell r="U132">
            <v>10</v>
          </cell>
          <cell r="V132">
            <v>0</v>
          </cell>
          <cell r="W132">
            <v>0</v>
          </cell>
          <cell r="X132">
            <v>0</v>
          </cell>
        </row>
        <row r="133">
          <cell r="C133" t="str">
            <v>ELI-773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1</v>
          </cell>
          <cell r="N133">
            <v>0</v>
          </cell>
          <cell r="O133">
            <v>0</v>
          </cell>
          <cell r="P133">
            <v>0</v>
          </cell>
          <cell r="Q133" t="str">
            <v>NA</v>
          </cell>
          <cell r="R133">
            <v>0</v>
          </cell>
          <cell r="S133">
            <v>1</v>
          </cell>
          <cell r="T133">
            <v>2014</v>
          </cell>
          <cell r="U133">
            <v>10</v>
          </cell>
          <cell r="V133">
            <v>0</v>
          </cell>
          <cell r="W133">
            <v>0</v>
          </cell>
          <cell r="X133">
            <v>0</v>
          </cell>
        </row>
        <row r="134">
          <cell r="C134" t="str">
            <v>ELI-774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1</v>
          </cell>
          <cell r="N134">
            <v>0</v>
          </cell>
          <cell r="O134">
            <v>0</v>
          </cell>
          <cell r="P134">
            <v>0</v>
          </cell>
          <cell r="Q134" t="str">
            <v>NA</v>
          </cell>
          <cell r="R134">
            <v>0</v>
          </cell>
          <cell r="S134">
            <v>1</v>
          </cell>
          <cell r="T134">
            <v>2014</v>
          </cell>
          <cell r="U134">
            <v>10</v>
          </cell>
          <cell r="V134">
            <v>0</v>
          </cell>
          <cell r="W134">
            <v>0</v>
          </cell>
          <cell r="X134">
            <v>0</v>
          </cell>
        </row>
        <row r="135">
          <cell r="C135" t="str">
            <v>ELI-775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S135">
            <v>1</v>
          </cell>
          <cell r="T135">
            <v>2014</v>
          </cell>
          <cell r="U135">
            <v>9</v>
          </cell>
          <cell r="V135">
            <v>1</v>
          </cell>
          <cell r="W135">
            <v>1</v>
          </cell>
          <cell r="X135">
            <v>0</v>
          </cell>
        </row>
        <row r="136">
          <cell r="C136" t="str">
            <v>ELI-776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1</v>
          </cell>
          <cell r="T136">
            <v>2014</v>
          </cell>
          <cell r="U136">
            <v>9</v>
          </cell>
          <cell r="V136">
            <v>1</v>
          </cell>
          <cell r="W136">
            <v>1</v>
          </cell>
          <cell r="X136">
            <v>0</v>
          </cell>
        </row>
        <row r="137">
          <cell r="C137" t="str">
            <v>ELI-777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2014</v>
          </cell>
          <cell r="U137">
            <v>9</v>
          </cell>
          <cell r="V137">
            <v>1</v>
          </cell>
          <cell r="W137">
            <v>1</v>
          </cell>
          <cell r="X137">
            <v>0</v>
          </cell>
        </row>
        <row r="138">
          <cell r="C138" t="str">
            <v>ELI-778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S138">
            <v>1</v>
          </cell>
          <cell r="T138">
            <v>2014</v>
          </cell>
          <cell r="U138">
            <v>9</v>
          </cell>
          <cell r="V138">
            <v>1</v>
          </cell>
          <cell r="W138">
            <v>1</v>
          </cell>
          <cell r="X138">
            <v>0</v>
          </cell>
        </row>
        <row r="139">
          <cell r="C139" t="str">
            <v>ELI-786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1</v>
          </cell>
          <cell r="M139">
            <v>0</v>
          </cell>
          <cell r="N139">
            <v>0</v>
          </cell>
          <cell r="O139">
            <v>0</v>
          </cell>
          <cell r="P139">
            <v>1</v>
          </cell>
          <cell r="Q139">
            <v>0</v>
          </cell>
          <cell r="R139">
            <v>0</v>
          </cell>
          <cell r="S139">
            <v>1</v>
          </cell>
          <cell r="T139">
            <v>2014</v>
          </cell>
          <cell r="U139">
            <v>9</v>
          </cell>
          <cell r="V139">
            <v>5</v>
          </cell>
          <cell r="W139">
            <v>1</v>
          </cell>
          <cell r="X139">
            <v>0</v>
          </cell>
        </row>
        <row r="140">
          <cell r="C140" t="str">
            <v>ELI-NC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0</v>
          </cell>
          <cell r="N140">
            <v>0</v>
          </cell>
          <cell r="O140">
            <v>0</v>
          </cell>
          <cell r="P140">
            <v>1</v>
          </cell>
          <cell r="Q140">
            <v>0</v>
          </cell>
          <cell r="R140">
            <v>0</v>
          </cell>
          <cell r="S140">
            <v>1</v>
          </cell>
          <cell r="T140">
            <v>2014</v>
          </cell>
          <cell r="U140">
            <v>9</v>
          </cell>
          <cell r="V140">
            <v>6</v>
          </cell>
          <cell r="W140">
            <v>1</v>
          </cell>
          <cell r="X140">
            <v>0</v>
          </cell>
        </row>
        <row r="141">
          <cell r="C141" t="str">
            <v>ELI-260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</v>
          </cell>
          <cell r="Q141">
            <v>0</v>
          </cell>
          <cell r="R141">
            <v>0</v>
          </cell>
          <cell r="S141">
            <v>1</v>
          </cell>
          <cell r="T141">
            <v>2008</v>
          </cell>
          <cell r="U141">
            <v>6</v>
          </cell>
          <cell r="V141">
            <v>1</v>
          </cell>
          <cell r="W141">
            <v>0</v>
          </cell>
          <cell r="X141">
            <v>0</v>
          </cell>
        </row>
        <row r="142">
          <cell r="C142" t="str">
            <v>ELI-262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1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1</v>
          </cell>
          <cell r="Q142">
            <v>0</v>
          </cell>
          <cell r="R142">
            <v>0</v>
          </cell>
          <cell r="S142">
            <v>1</v>
          </cell>
          <cell r="T142">
            <v>2008</v>
          </cell>
          <cell r="U142">
            <v>6</v>
          </cell>
          <cell r="V142">
            <v>2</v>
          </cell>
          <cell r="W142">
            <v>0</v>
          </cell>
          <cell r="X142">
            <v>0</v>
          </cell>
        </row>
        <row r="143">
          <cell r="C143" t="str">
            <v>ELI-752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1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</v>
          </cell>
          <cell r="Q143">
            <v>1</v>
          </cell>
          <cell r="R143">
            <v>0</v>
          </cell>
          <cell r="S143">
            <v>1</v>
          </cell>
          <cell r="T143">
            <v>2014</v>
          </cell>
          <cell r="U143">
            <v>6</v>
          </cell>
          <cell r="V143">
            <v>0</v>
          </cell>
          <cell r="W143">
            <v>0</v>
          </cell>
          <cell r="X143">
            <v>0</v>
          </cell>
        </row>
        <row r="144">
          <cell r="C144" t="str">
            <v>ELI-753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1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1</v>
          </cell>
          <cell r="Q144">
            <v>0</v>
          </cell>
          <cell r="R144">
            <v>0</v>
          </cell>
          <cell r="S144">
            <v>1</v>
          </cell>
          <cell r="T144">
            <v>2014</v>
          </cell>
          <cell r="U144">
            <v>6</v>
          </cell>
          <cell r="V144">
            <v>0</v>
          </cell>
          <cell r="W144">
            <v>0</v>
          </cell>
          <cell r="X144">
            <v>0</v>
          </cell>
        </row>
        <row r="145">
          <cell r="C145" t="str">
            <v>ELI-754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 t="str">
            <v>NA</v>
          </cell>
          <cell r="R145">
            <v>0</v>
          </cell>
          <cell r="S145">
            <v>1</v>
          </cell>
          <cell r="T145">
            <v>2014</v>
          </cell>
          <cell r="U145">
            <v>6</v>
          </cell>
          <cell r="V145">
            <v>0</v>
          </cell>
          <cell r="W145">
            <v>0</v>
          </cell>
          <cell r="X145">
            <v>0</v>
          </cell>
        </row>
        <row r="146">
          <cell r="C146" t="str">
            <v>ELI-755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1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 t="str">
            <v>NA</v>
          </cell>
          <cell r="R146">
            <v>0</v>
          </cell>
          <cell r="S146">
            <v>1</v>
          </cell>
          <cell r="T146">
            <v>2014</v>
          </cell>
          <cell r="U146">
            <v>6</v>
          </cell>
          <cell r="V146">
            <v>0</v>
          </cell>
          <cell r="W146">
            <v>0</v>
          </cell>
          <cell r="X146">
            <v>0</v>
          </cell>
        </row>
        <row r="147">
          <cell r="C147" t="str">
            <v>ELI-756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1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 t="str">
            <v>NA</v>
          </cell>
          <cell r="R147">
            <v>0</v>
          </cell>
          <cell r="S147">
            <v>1</v>
          </cell>
          <cell r="T147">
            <v>2014</v>
          </cell>
          <cell r="U147">
            <v>6</v>
          </cell>
          <cell r="V147">
            <v>0</v>
          </cell>
          <cell r="W147">
            <v>0</v>
          </cell>
          <cell r="X147">
            <v>0</v>
          </cell>
        </row>
        <row r="148">
          <cell r="C148" t="str">
            <v>ELI-757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str">
            <v>NA</v>
          </cell>
          <cell r="R148">
            <v>0</v>
          </cell>
          <cell r="S148">
            <v>1</v>
          </cell>
          <cell r="T148">
            <v>2014</v>
          </cell>
          <cell r="U148">
            <v>6</v>
          </cell>
          <cell r="V148">
            <v>0</v>
          </cell>
          <cell r="W148">
            <v>0</v>
          </cell>
          <cell r="X148">
            <v>0</v>
          </cell>
        </row>
        <row r="149">
          <cell r="C149" t="str">
            <v>ELI-758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 t="str">
            <v>NA</v>
          </cell>
          <cell r="R149">
            <v>0</v>
          </cell>
          <cell r="S149">
            <v>1</v>
          </cell>
          <cell r="T149">
            <v>2014</v>
          </cell>
          <cell r="U149">
            <v>6</v>
          </cell>
          <cell r="V149">
            <v>0</v>
          </cell>
          <cell r="W149">
            <v>0</v>
          </cell>
          <cell r="X149">
            <v>0</v>
          </cell>
        </row>
        <row r="150">
          <cell r="C150" t="str">
            <v>ELI-759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1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str">
            <v>NA</v>
          </cell>
          <cell r="R150">
            <v>0</v>
          </cell>
          <cell r="S150">
            <v>1</v>
          </cell>
          <cell r="T150">
            <v>2014</v>
          </cell>
          <cell r="U150">
            <v>6</v>
          </cell>
          <cell r="V150">
            <v>0</v>
          </cell>
          <cell r="W150">
            <v>0</v>
          </cell>
          <cell r="X150">
            <v>0</v>
          </cell>
        </row>
        <row r="151">
          <cell r="C151" t="str">
            <v>ELI-168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1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O151">
            <v>0</v>
          </cell>
          <cell r="P151">
            <v>1</v>
          </cell>
          <cell r="Q151">
            <v>1</v>
          </cell>
          <cell r="R151">
            <v>0</v>
          </cell>
          <cell r="S151">
            <v>1</v>
          </cell>
          <cell r="T151">
            <v>2009</v>
          </cell>
          <cell r="U151">
            <v>4</v>
          </cell>
          <cell r="V151">
            <v>0</v>
          </cell>
          <cell r="W151">
            <v>0</v>
          </cell>
          <cell r="X151">
            <v>0</v>
          </cell>
        </row>
        <row r="152">
          <cell r="C152" t="str">
            <v>ELI-564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1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</v>
          </cell>
          <cell r="O152">
            <v>0</v>
          </cell>
          <cell r="P152">
            <v>1</v>
          </cell>
          <cell r="Q152">
            <v>1</v>
          </cell>
          <cell r="R152">
            <v>0</v>
          </cell>
          <cell r="S152">
            <v>1</v>
          </cell>
          <cell r="T152">
            <v>2012</v>
          </cell>
          <cell r="U152">
            <v>10</v>
          </cell>
          <cell r="V152">
            <v>3</v>
          </cell>
          <cell r="W152">
            <v>0</v>
          </cell>
          <cell r="X152">
            <v>0</v>
          </cell>
        </row>
        <row r="153">
          <cell r="C153" t="str">
            <v>ELI-565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1</v>
          </cell>
          <cell r="J153">
            <v>0</v>
          </cell>
          <cell r="K153">
            <v>0</v>
          </cell>
          <cell r="L153">
            <v>1</v>
          </cell>
          <cell r="M153">
            <v>1</v>
          </cell>
          <cell r="N153">
            <v>1</v>
          </cell>
          <cell r="O153">
            <v>0</v>
          </cell>
          <cell r="P153">
            <v>1</v>
          </cell>
          <cell r="Q153">
            <v>1</v>
          </cell>
          <cell r="R153">
            <v>0</v>
          </cell>
          <cell r="S153">
            <v>1</v>
          </cell>
          <cell r="T153">
            <v>2012</v>
          </cell>
          <cell r="U153">
            <v>10</v>
          </cell>
          <cell r="V153">
            <v>3</v>
          </cell>
          <cell r="W153">
            <v>0</v>
          </cell>
          <cell r="X153">
            <v>0</v>
          </cell>
        </row>
        <row r="154">
          <cell r="C154" t="str">
            <v>ELI-213</v>
          </cell>
          <cell r="D154">
            <v>0</v>
          </cell>
          <cell r="E154">
            <v>0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0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1</v>
          </cell>
          <cell r="T154">
            <v>2008</v>
          </cell>
          <cell r="U154">
            <v>10</v>
          </cell>
          <cell r="V154">
            <v>0</v>
          </cell>
          <cell r="W154">
            <v>0</v>
          </cell>
          <cell r="X154">
            <v>0</v>
          </cell>
        </row>
        <row r="155">
          <cell r="C155" t="str">
            <v>ELI-214</v>
          </cell>
          <cell r="D155">
            <v>0</v>
          </cell>
          <cell r="E155">
            <v>0</v>
          </cell>
          <cell r="F155">
            <v>1</v>
          </cell>
          <cell r="G155">
            <v>0</v>
          </cell>
          <cell r="H155">
            <v>1</v>
          </cell>
          <cell r="I155">
            <v>1</v>
          </cell>
          <cell r="J155">
            <v>0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0</v>
          </cell>
          <cell r="P155">
            <v>1</v>
          </cell>
          <cell r="Q155">
            <v>1</v>
          </cell>
          <cell r="R155">
            <v>0</v>
          </cell>
          <cell r="S155">
            <v>1</v>
          </cell>
          <cell r="T155">
            <v>2008</v>
          </cell>
          <cell r="U155">
            <v>10</v>
          </cell>
          <cell r="V155">
            <v>0</v>
          </cell>
          <cell r="W155">
            <v>0</v>
          </cell>
          <cell r="X155">
            <v>0</v>
          </cell>
        </row>
        <row r="156">
          <cell r="C156" t="str">
            <v>ELI-216</v>
          </cell>
          <cell r="D156">
            <v>0</v>
          </cell>
          <cell r="E156">
            <v>0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0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0</v>
          </cell>
          <cell r="P156">
            <v>1</v>
          </cell>
          <cell r="Q156">
            <v>1</v>
          </cell>
          <cell r="R156">
            <v>0</v>
          </cell>
          <cell r="S156">
            <v>1</v>
          </cell>
          <cell r="T156">
            <v>2008</v>
          </cell>
          <cell r="U156">
            <v>10</v>
          </cell>
          <cell r="V156">
            <v>2</v>
          </cell>
          <cell r="W156">
            <v>0</v>
          </cell>
          <cell r="X156">
            <v>0</v>
          </cell>
        </row>
        <row r="157">
          <cell r="C157" t="str">
            <v>ELI-420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</v>
          </cell>
          <cell r="J157">
            <v>0</v>
          </cell>
          <cell r="K157">
            <v>1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1</v>
          </cell>
          <cell r="Q157">
            <v>1</v>
          </cell>
          <cell r="R157">
            <v>0</v>
          </cell>
          <cell r="S157">
            <v>1</v>
          </cell>
          <cell r="T157">
            <v>2011</v>
          </cell>
          <cell r="U157">
            <v>7</v>
          </cell>
          <cell r="V157">
            <v>3</v>
          </cell>
          <cell r="W157">
            <v>0</v>
          </cell>
          <cell r="X157">
            <v>0</v>
          </cell>
        </row>
        <row r="158">
          <cell r="C158" t="str">
            <v>ELI-421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1</v>
          </cell>
          <cell r="J158">
            <v>1</v>
          </cell>
          <cell r="K158">
            <v>0</v>
          </cell>
          <cell r="L158">
            <v>0</v>
          </cell>
          <cell r="M158">
            <v>1</v>
          </cell>
          <cell r="N158">
            <v>0</v>
          </cell>
          <cell r="O158">
            <v>0</v>
          </cell>
          <cell r="P158">
            <v>1</v>
          </cell>
          <cell r="Q158">
            <v>1</v>
          </cell>
          <cell r="R158">
            <v>0</v>
          </cell>
          <cell r="S158">
            <v>1</v>
          </cell>
          <cell r="T158">
            <v>2011</v>
          </cell>
          <cell r="U158">
            <v>8</v>
          </cell>
          <cell r="V158">
            <v>3</v>
          </cell>
          <cell r="W158">
            <v>0</v>
          </cell>
          <cell r="X158">
            <v>0</v>
          </cell>
        </row>
        <row r="159">
          <cell r="C159" t="str">
            <v>ELI-422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0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2011</v>
          </cell>
          <cell r="U159">
            <v>8</v>
          </cell>
          <cell r="V159">
            <v>3</v>
          </cell>
          <cell r="W159">
            <v>0</v>
          </cell>
          <cell r="X159">
            <v>0</v>
          </cell>
        </row>
        <row r="160">
          <cell r="C160" t="str">
            <v>ELI-175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1</v>
          </cell>
          <cell r="Q160">
            <v>1</v>
          </cell>
          <cell r="R160">
            <v>0</v>
          </cell>
          <cell r="S160">
            <v>1</v>
          </cell>
          <cell r="T160">
            <v>2008</v>
          </cell>
          <cell r="U160">
            <v>7</v>
          </cell>
          <cell r="V160">
            <v>2</v>
          </cell>
          <cell r="W160">
            <v>1</v>
          </cell>
          <cell r="X160">
            <v>1</v>
          </cell>
        </row>
        <row r="161">
          <cell r="C161" t="str">
            <v>ELI-474</v>
          </cell>
          <cell r="D161">
            <v>0</v>
          </cell>
          <cell r="E161">
            <v>0</v>
          </cell>
          <cell r="F161">
            <v>1</v>
          </cell>
          <cell r="G161">
            <v>0</v>
          </cell>
          <cell r="H161">
            <v>1</v>
          </cell>
          <cell r="I161">
            <v>0</v>
          </cell>
          <cell r="J161">
            <v>0</v>
          </cell>
          <cell r="K161">
            <v>0</v>
          </cell>
          <cell r="L161">
            <v>1</v>
          </cell>
          <cell r="M161">
            <v>0</v>
          </cell>
          <cell r="N161">
            <v>0</v>
          </cell>
          <cell r="O161">
            <v>0</v>
          </cell>
          <cell r="P161">
            <v>1</v>
          </cell>
          <cell r="Q161">
            <v>1</v>
          </cell>
          <cell r="R161">
            <v>0</v>
          </cell>
          <cell r="S161">
            <v>1</v>
          </cell>
          <cell r="T161">
            <v>2011</v>
          </cell>
          <cell r="U161">
            <v>9</v>
          </cell>
          <cell r="V161">
            <v>3</v>
          </cell>
          <cell r="W161">
            <v>0</v>
          </cell>
          <cell r="X161">
            <v>0</v>
          </cell>
        </row>
        <row r="162">
          <cell r="C162" t="str">
            <v>ELI-130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1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1</v>
          </cell>
          <cell r="Q162">
            <v>1</v>
          </cell>
          <cell r="R162">
            <v>0</v>
          </cell>
          <cell r="S162">
            <v>1</v>
          </cell>
          <cell r="T162">
            <v>2008</v>
          </cell>
          <cell r="U162">
            <v>9</v>
          </cell>
          <cell r="V162">
            <v>0</v>
          </cell>
          <cell r="W162">
            <v>0</v>
          </cell>
          <cell r="X162">
            <v>0</v>
          </cell>
        </row>
        <row r="163">
          <cell r="C163" t="str">
            <v>ELI-699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1</v>
          </cell>
          <cell r="J163">
            <v>0</v>
          </cell>
          <cell r="K163">
            <v>1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1</v>
          </cell>
          <cell r="Q163">
            <v>1</v>
          </cell>
          <cell r="R163">
            <v>0</v>
          </cell>
          <cell r="S163">
            <v>1</v>
          </cell>
          <cell r="T163">
            <v>2013</v>
          </cell>
          <cell r="U163">
            <v>4</v>
          </cell>
          <cell r="V163">
            <v>3</v>
          </cell>
          <cell r="W163">
            <v>0</v>
          </cell>
          <cell r="X163">
            <v>0</v>
          </cell>
        </row>
        <row r="164">
          <cell r="C164" t="str">
            <v>ELI-628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0</v>
          </cell>
          <cell r="P164">
            <v>1</v>
          </cell>
          <cell r="Q164">
            <v>1</v>
          </cell>
          <cell r="R164">
            <v>0</v>
          </cell>
          <cell r="S164">
            <v>1</v>
          </cell>
          <cell r="T164">
            <v>2013</v>
          </cell>
          <cell r="U164">
            <v>8</v>
          </cell>
          <cell r="V164">
            <v>4</v>
          </cell>
          <cell r="W164">
            <v>0</v>
          </cell>
          <cell r="X164">
            <v>0</v>
          </cell>
        </row>
        <row r="165">
          <cell r="C165" t="str">
            <v>ELI-629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0</v>
          </cell>
          <cell r="P165">
            <v>1</v>
          </cell>
          <cell r="Q165">
            <v>1</v>
          </cell>
          <cell r="R165">
            <v>0</v>
          </cell>
          <cell r="S165">
            <v>1</v>
          </cell>
          <cell r="T165">
            <v>2013</v>
          </cell>
          <cell r="U165">
            <v>8</v>
          </cell>
          <cell r="V165">
            <v>4</v>
          </cell>
          <cell r="W165">
            <v>0</v>
          </cell>
          <cell r="X165">
            <v>0</v>
          </cell>
        </row>
        <row r="166">
          <cell r="C166" t="str">
            <v>ELI-779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0</v>
          </cell>
          <cell r="N166">
            <v>0</v>
          </cell>
          <cell r="O166">
            <v>0</v>
          </cell>
          <cell r="P166">
            <v>1</v>
          </cell>
          <cell r="Q166">
            <v>1</v>
          </cell>
          <cell r="R166">
            <v>0</v>
          </cell>
          <cell r="S166">
            <v>1</v>
          </cell>
          <cell r="T166">
            <v>2013</v>
          </cell>
          <cell r="U166">
            <v>5</v>
          </cell>
          <cell r="V166">
            <v>4</v>
          </cell>
          <cell r="W166">
            <v>0</v>
          </cell>
          <cell r="X166">
            <v>0</v>
          </cell>
        </row>
        <row r="167">
          <cell r="C167" t="str">
            <v>ELI-373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0</v>
          </cell>
          <cell r="P167">
            <v>1</v>
          </cell>
          <cell r="Q167">
            <v>1</v>
          </cell>
          <cell r="R167">
            <v>0</v>
          </cell>
          <cell r="S167">
            <v>1</v>
          </cell>
          <cell r="T167">
            <v>2010</v>
          </cell>
          <cell r="U167">
            <v>7</v>
          </cell>
          <cell r="V167">
            <v>0</v>
          </cell>
          <cell r="W167">
            <v>0</v>
          </cell>
          <cell r="X167">
            <v>0</v>
          </cell>
        </row>
        <row r="168">
          <cell r="C168" t="str">
            <v>ELI-375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  <cell r="L168">
            <v>1</v>
          </cell>
          <cell r="M168">
            <v>0</v>
          </cell>
          <cell r="N168">
            <v>0</v>
          </cell>
          <cell r="O168">
            <v>0</v>
          </cell>
          <cell r="P168">
            <v>1</v>
          </cell>
          <cell r="Q168">
            <v>1</v>
          </cell>
          <cell r="R168">
            <v>0</v>
          </cell>
          <cell r="S168">
            <v>1</v>
          </cell>
          <cell r="T168">
            <v>2010</v>
          </cell>
          <cell r="U168">
            <v>10</v>
          </cell>
          <cell r="V168">
            <v>0</v>
          </cell>
          <cell r="W168">
            <v>0</v>
          </cell>
          <cell r="X168">
            <v>0</v>
          </cell>
        </row>
        <row r="169">
          <cell r="C169" t="str">
            <v>ELI-377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1</v>
          </cell>
          <cell r="K169">
            <v>1</v>
          </cell>
          <cell r="L169">
            <v>1</v>
          </cell>
          <cell r="M169">
            <v>0</v>
          </cell>
          <cell r="N169">
            <v>0</v>
          </cell>
          <cell r="O169">
            <v>0</v>
          </cell>
          <cell r="P169">
            <v>1</v>
          </cell>
          <cell r="Q169">
            <v>1</v>
          </cell>
          <cell r="R169">
            <v>0</v>
          </cell>
          <cell r="S169">
            <v>1</v>
          </cell>
          <cell r="T169">
            <v>2010</v>
          </cell>
          <cell r="U169">
            <v>10</v>
          </cell>
          <cell r="V169">
            <v>0</v>
          </cell>
          <cell r="W169">
            <v>0</v>
          </cell>
          <cell r="X169">
            <v>0</v>
          </cell>
        </row>
        <row r="170">
          <cell r="C170" t="str">
            <v>ELI-376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</v>
          </cell>
          <cell r="K170">
            <v>1</v>
          </cell>
          <cell r="L170">
            <v>1</v>
          </cell>
          <cell r="M170">
            <v>0</v>
          </cell>
          <cell r="N170">
            <v>0</v>
          </cell>
          <cell r="O170">
            <v>0</v>
          </cell>
          <cell r="P170">
            <v>1</v>
          </cell>
          <cell r="Q170">
            <v>1</v>
          </cell>
          <cell r="R170">
            <v>0</v>
          </cell>
          <cell r="S170">
            <v>1</v>
          </cell>
          <cell r="T170">
            <v>2010</v>
          </cell>
          <cell r="U170">
            <v>10</v>
          </cell>
          <cell r="V170">
            <v>0</v>
          </cell>
          <cell r="W170">
            <v>0</v>
          </cell>
          <cell r="X1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zoomScaleSheetLayoutView="70" workbookViewId="0">
      <pane ySplit="1" topLeftCell="A8" activePane="bottomLeft" state="frozen"/>
      <selection pane="bottomLeft" activeCell="A2" sqref="A2:O70"/>
    </sheetView>
  </sheetViews>
  <sheetFormatPr defaultColWidth="9.140625" defaultRowHeight="11.1" customHeight="1" x14ac:dyDescent="0.25"/>
  <cols>
    <col min="1" max="1" width="15.85546875" style="4" customWidth="1"/>
    <col min="2" max="2" width="28.85546875" style="16" customWidth="1"/>
    <col min="3" max="3" width="9.85546875" style="16" bestFit="1" customWidth="1"/>
    <col min="4" max="4" width="7.42578125" style="16" customWidth="1"/>
    <col min="5" max="5" width="5.85546875" style="16" customWidth="1"/>
    <col min="6" max="6" width="5.140625" style="16" customWidth="1"/>
    <col min="7" max="7" width="5.42578125" style="16" customWidth="1"/>
    <col min="8" max="8" width="6.85546875" style="16" customWidth="1"/>
    <col min="9" max="9" width="7.5703125" style="16" customWidth="1"/>
    <col min="10" max="10" width="7.140625" style="16" customWidth="1"/>
    <col min="11" max="11" width="5.85546875" style="16" customWidth="1"/>
    <col min="12" max="12" width="6.42578125" style="16" customWidth="1"/>
    <col min="13" max="13" width="6.85546875" style="16" customWidth="1"/>
    <col min="14" max="14" width="6" style="16" customWidth="1"/>
    <col min="15" max="15" width="5.85546875" style="16" customWidth="1"/>
    <col min="16" max="16" width="9.140625" style="4" customWidth="1"/>
    <col min="17" max="16384" width="9.140625" style="4"/>
  </cols>
  <sheetData>
    <row r="1" spans="1:22" s="115" customFormat="1" ht="15" x14ac:dyDescent="0.25">
      <c r="A1" s="112" t="s">
        <v>388</v>
      </c>
      <c r="B1" s="112" t="s">
        <v>389</v>
      </c>
      <c r="C1" s="112" t="s">
        <v>390</v>
      </c>
      <c r="D1" s="113" t="s">
        <v>391</v>
      </c>
      <c r="E1" s="113" t="s">
        <v>392</v>
      </c>
      <c r="F1" s="113" t="s">
        <v>393</v>
      </c>
      <c r="G1" s="113" t="s">
        <v>394</v>
      </c>
      <c r="H1" s="113" t="s">
        <v>395</v>
      </c>
      <c r="I1" s="113" t="s">
        <v>396</v>
      </c>
      <c r="J1" s="113" t="s">
        <v>397</v>
      </c>
      <c r="K1" s="113" t="s">
        <v>398</v>
      </c>
      <c r="L1" s="113" t="s">
        <v>399</v>
      </c>
      <c r="M1" s="113" t="s">
        <v>400</v>
      </c>
      <c r="N1" s="113" t="s">
        <v>401</v>
      </c>
      <c r="O1" s="113" t="s">
        <v>402</v>
      </c>
      <c r="P1" s="112" t="s">
        <v>403</v>
      </c>
      <c r="Q1" s="112" t="s">
        <v>404</v>
      </c>
      <c r="R1" s="112" t="s">
        <v>405</v>
      </c>
      <c r="S1" s="112" t="s">
        <v>406</v>
      </c>
      <c r="T1" s="112" t="s">
        <v>407</v>
      </c>
      <c r="U1" s="112" t="s">
        <v>408</v>
      </c>
      <c r="V1" s="114" t="s">
        <v>409</v>
      </c>
    </row>
    <row r="2" spans="1:22" ht="15.75" customHeight="1" x14ac:dyDescent="0.25">
      <c r="B2" s="85" t="s">
        <v>48</v>
      </c>
      <c r="C2" s="76" t="s">
        <v>64</v>
      </c>
      <c r="D2" s="3">
        <v>0</v>
      </c>
      <c r="E2" s="3">
        <v>0</v>
      </c>
      <c r="F2" s="3"/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9">
        <v>0</v>
      </c>
    </row>
    <row r="3" spans="1:22" ht="15.75" customHeight="1" x14ac:dyDescent="0.25">
      <c r="B3" s="85" t="s">
        <v>49</v>
      </c>
      <c r="C3" s="76" t="s">
        <v>65</v>
      </c>
      <c r="D3" s="3">
        <v>0</v>
      </c>
      <c r="E3" s="3">
        <v>0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0</v>
      </c>
      <c r="N3" s="3">
        <v>1</v>
      </c>
      <c r="O3" s="9">
        <v>0</v>
      </c>
    </row>
    <row r="4" spans="1:22" s="10" customFormat="1" ht="15.75" customHeight="1" x14ac:dyDescent="0.25">
      <c r="B4" s="85" t="s">
        <v>50</v>
      </c>
      <c r="C4" s="76" t="s">
        <v>66</v>
      </c>
      <c r="D4" s="3">
        <v>0</v>
      </c>
      <c r="E4" s="3">
        <v>0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9">
        <v>0</v>
      </c>
    </row>
    <row r="5" spans="1:22" s="15" customFormat="1" ht="15.75" customHeight="1" x14ac:dyDescent="0.25">
      <c r="B5" s="85" t="s">
        <v>51</v>
      </c>
      <c r="C5" s="76" t="s">
        <v>67</v>
      </c>
      <c r="D5" s="3">
        <v>0</v>
      </c>
      <c r="E5" s="3">
        <v>0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9">
        <v>0</v>
      </c>
    </row>
    <row r="6" spans="1:22" s="15" customFormat="1" ht="15.75" customHeight="1" x14ac:dyDescent="0.25">
      <c r="B6" s="85" t="s">
        <v>324</v>
      </c>
      <c r="C6" s="76" t="s">
        <v>320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9">
        <v>0</v>
      </c>
    </row>
    <row r="7" spans="1:22" s="15" customFormat="1" ht="15.75" customHeight="1" x14ac:dyDescent="0.25">
      <c r="B7" s="85" t="s">
        <v>325</v>
      </c>
      <c r="C7" s="76" t="s">
        <v>321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>
        <v>1</v>
      </c>
      <c r="O7" s="9">
        <v>0</v>
      </c>
    </row>
    <row r="8" spans="1:22" s="15" customFormat="1" ht="15.75" customHeight="1" x14ac:dyDescent="0.25">
      <c r="B8" s="85" t="s">
        <v>326</v>
      </c>
      <c r="C8" s="76" t="s">
        <v>322</v>
      </c>
      <c r="D8" s="3">
        <v>0</v>
      </c>
      <c r="E8" s="3">
        <v>0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0</v>
      </c>
      <c r="N8" s="3">
        <v>1</v>
      </c>
      <c r="O8" s="9">
        <v>0</v>
      </c>
    </row>
    <row r="9" spans="1:22" s="15" customFormat="1" ht="15.75" customHeight="1" x14ac:dyDescent="0.25">
      <c r="B9" s="85" t="s">
        <v>327</v>
      </c>
      <c r="C9" s="76" t="s">
        <v>323</v>
      </c>
      <c r="D9" s="3">
        <v>0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9">
        <v>0</v>
      </c>
    </row>
    <row r="10" spans="1:22" ht="15.75" customHeight="1" x14ac:dyDescent="0.25">
      <c r="B10" s="85" t="s">
        <v>52</v>
      </c>
      <c r="C10" s="76" t="s">
        <v>68</v>
      </c>
      <c r="D10" s="3">
        <v>0</v>
      </c>
      <c r="E10" s="3">
        <v>0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0</v>
      </c>
      <c r="N10" s="3">
        <v>1</v>
      </c>
      <c r="O10" s="9">
        <v>0</v>
      </c>
    </row>
    <row r="11" spans="1:22" ht="15.75" customHeight="1" x14ac:dyDescent="0.25">
      <c r="B11" s="85" t="s">
        <v>53</v>
      </c>
      <c r="C11" s="76" t="s">
        <v>69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9">
        <v>0</v>
      </c>
    </row>
    <row r="12" spans="1:22" ht="15.75" customHeight="1" x14ac:dyDescent="0.25">
      <c r="B12" s="85" t="s">
        <v>54</v>
      </c>
      <c r="C12" s="76" t="s">
        <v>70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42">
        <v>0</v>
      </c>
      <c r="L12" s="3">
        <v>0</v>
      </c>
      <c r="M12" s="3">
        <v>0</v>
      </c>
      <c r="N12" s="3">
        <v>0</v>
      </c>
      <c r="O12" s="9">
        <v>0</v>
      </c>
    </row>
    <row r="13" spans="1:22" ht="15.75" customHeight="1" x14ac:dyDescent="0.25">
      <c r="B13" s="85" t="s">
        <v>55</v>
      </c>
      <c r="C13" s="76" t="s">
        <v>71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42">
        <v>0</v>
      </c>
      <c r="L13" s="3">
        <v>0</v>
      </c>
      <c r="M13" s="3">
        <v>1</v>
      </c>
      <c r="N13" s="3">
        <v>0</v>
      </c>
      <c r="O13" s="9">
        <v>0</v>
      </c>
    </row>
    <row r="14" spans="1:22" ht="15.75" customHeight="1" x14ac:dyDescent="0.25">
      <c r="B14" s="85" t="s">
        <v>56</v>
      </c>
      <c r="C14" s="76" t="s">
        <v>72</v>
      </c>
      <c r="D14" s="3">
        <v>0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1</v>
      </c>
      <c r="K14" s="42">
        <v>1</v>
      </c>
      <c r="L14" s="3">
        <v>0</v>
      </c>
      <c r="M14" s="3">
        <v>1</v>
      </c>
      <c r="N14" s="3">
        <v>0</v>
      </c>
      <c r="O14" s="9">
        <v>0</v>
      </c>
    </row>
    <row r="15" spans="1:22" ht="15.75" customHeight="1" x14ac:dyDescent="0.25">
      <c r="B15" s="85" t="s">
        <v>57</v>
      </c>
      <c r="C15" s="76" t="s">
        <v>73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42">
        <v>1</v>
      </c>
      <c r="L15" s="3">
        <v>0</v>
      </c>
      <c r="M15" s="3">
        <v>1</v>
      </c>
      <c r="N15" s="3">
        <v>0</v>
      </c>
      <c r="O15" s="9">
        <v>0</v>
      </c>
    </row>
    <row r="16" spans="1:22" ht="15.75" customHeight="1" x14ac:dyDescent="0.25">
      <c r="B16" s="85" t="s">
        <v>58</v>
      </c>
      <c r="C16" s="76" t="s">
        <v>74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2">
        <v>1</v>
      </c>
      <c r="L16" s="3">
        <v>0</v>
      </c>
      <c r="M16" s="3">
        <v>1</v>
      </c>
      <c r="N16" s="3">
        <v>0</v>
      </c>
      <c r="O16" s="9">
        <v>0</v>
      </c>
    </row>
    <row r="17" spans="2:15" ht="15.75" customHeight="1" x14ac:dyDescent="0.25">
      <c r="B17" s="85" t="s">
        <v>59</v>
      </c>
      <c r="C17" s="76" t="s">
        <v>75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42">
        <v>1</v>
      </c>
      <c r="L17" s="3">
        <v>0</v>
      </c>
      <c r="M17" s="3">
        <v>0</v>
      </c>
      <c r="N17" s="3">
        <v>0</v>
      </c>
      <c r="O17" s="9">
        <v>0</v>
      </c>
    </row>
    <row r="18" spans="2:15" ht="15.75" customHeight="1" x14ac:dyDescent="0.25">
      <c r="B18" s="85" t="s">
        <v>60</v>
      </c>
      <c r="C18" s="76" t="s">
        <v>77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42">
        <v>1</v>
      </c>
      <c r="L18" s="3">
        <v>0</v>
      </c>
      <c r="M18" s="3">
        <v>1</v>
      </c>
      <c r="N18" s="3">
        <v>0</v>
      </c>
      <c r="O18" s="9">
        <v>0</v>
      </c>
    </row>
    <row r="19" spans="2:15" ht="15.75" customHeight="1" x14ac:dyDescent="0.25">
      <c r="B19" s="85" t="s">
        <v>61</v>
      </c>
      <c r="C19" s="76" t="s">
        <v>79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9">
        <v>0</v>
      </c>
    </row>
    <row r="20" spans="2:15" ht="15.75" customHeight="1" x14ac:dyDescent="0.25">
      <c r="B20" s="85" t="s">
        <v>62</v>
      </c>
      <c r="C20" s="76" t="s">
        <v>80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9">
        <v>0</v>
      </c>
    </row>
    <row r="21" spans="2:15" ht="15.75" customHeight="1" x14ac:dyDescent="0.25">
      <c r="B21" s="86" t="s">
        <v>63</v>
      </c>
      <c r="C21" s="75" t="s">
        <v>81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9">
        <v>0</v>
      </c>
    </row>
    <row r="22" spans="2:15" ht="15.75" customHeight="1" x14ac:dyDescent="0.25">
      <c r="B22" s="86"/>
      <c r="C22" s="75" t="s">
        <v>332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1</v>
      </c>
      <c r="N22" s="3">
        <v>0</v>
      </c>
      <c r="O22" s="9">
        <v>0</v>
      </c>
    </row>
    <row r="23" spans="2:15" ht="15.75" customHeight="1" x14ac:dyDescent="0.25">
      <c r="B23" s="86"/>
      <c r="C23" s="75" t="s">
        <v>334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1</v>
      </c>
      <c r="N23" s="3">
        <v>0</v>
      </c>
      <c r="O23" s="9">
        <v>0</v>
      </c>
    </row>
    <row r="24" spans="2:15" ht="15.75" customHeight="1" x14ac:dyDescent="0.25">
      <c r="B24" s="85"/>
      <c r="C24" s="76" t="s">
        <v>330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9">
        <v>0</v>
      </c>
    </row>
    <row r="25" spans="2:15" ht="15.75" customHeight="1" x14ac:dyDescent="0.25">
      <c r="B25" s="85"/>
      <c r="C25" s="76" t="s">
        <v>333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1</v>
      </c>
      <c r="N25" s="3">
        <v>0</v>
      </c>
      <c r="O25" s="9">
        <v>0</v>
      </c>
    </row>
    <row r="26" spans="2:15" ht="15.75" customHeight="1" x14ac:dyDescent="0.25">
      <c r="B26" s="85"/>
      <c r="C26" s="76" t="s">
        <v>331</v>
      </c>
      <c r="D26" s="3">
        <v>0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9">
        <v>0</v>
      </c>
    </row>
    <row r="27" spans="2:15" ht="15.75" customHeight="1" x14ac:dyDescent="0.25">
      <c r="B27" s="85" t="s">
        <v>362</v>
      </c>
      <c r="C27" s="76"/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1</v>
      </c>
      <c r="N27" s="3">
        <v>0</v>
      </c>
      <c r="O27" s="9">
        <v>0</v>
      </c>
    </row>
    <row r="28" spans="2:15" ht="15.75" customHeight="1" x14ac:dyDescent="0.25">
      <c r="B28" s="85" t="s">
        <v>363</v>
      </c>
      <c r="C28" s="76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  <c r="M28" s="3">
        <v>1</v>
      </c>
      <c r="N28" s="3">
        <v>0</v>
      </c>
      <c r="O28" s="9">
        <v>0</v>
      </c>
    </row>
    <row r="29" spans="2:15" ht="15.75" customHeight="1" x14ac:dyDescent="0.25">
      <c r="B29" s="85" t="s">
        <v>364</v>
      </c>
      <c r="C29" s="76"/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1</v>
      </c>
      <c r="N29" s="3">
        <v>0</v>
      </c>
      <c r="O29" s="9">
        <v>0</v>
      </c>
    </row>
    <row r="30" spans="2:15" ht="15.75" customHeight="1" x14ac:dyDescent="0.25">
      <c r="B30" s="85" t="s">
        <v>365</v>
      </c>
      <c r="C30" s="76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1</v>
      </c>
      <c r="N30" s="3">
        <v>0</v>
      </c>
      <c r="O30" s="9">
        <v>0</v>
      </c>
    </row>
    <row r="31" spans="2:15" ht="15.75" customHeight="1" x14ac:dyDescent="0.25">
      <c r="B31" s="85" t="s">
        <v>374</v>
      </c>
      <c r="C31" s="76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>
        <v>1</v>
      </c>
      <c r="N31" s="3">
        <v>0</v>
      </c>
      <c r="O31" s="9">
        <v>0</v>
      </c>
    </row>
    <row r="32" spans="2:15" ht="15.75" customHeight="1" thickBot="1" x14ac:dyDescent="0.3">
      <c r="B32" s="87" t="s">
        <v>378</v>
      </c>
      <c r="C32" s="95"/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1</v>
      </c>
      <c r="L32" s="11">
        <v>0</v>
      </c>
      <c r="M32" s="11">
        <v>1</v>
      </c>
      <c r="N32" s="11">
        <v>0</v>
      </c>
      <c r="O32" s="89">
        <v>0</v>
      </c>
    </row>
    <row r="33" spans="2:15" s="30" customFormat="1" ht="15.75" customHeight="1" thickBot="1" x14ac:dyDescent="0.3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2:15" ht="15.75" customHeight="1" x14ac:dyDescent="0.25">
      <c r="B34" s="96"/>
      <c r="C34" s="97"/>
      <c r="D34" s="80" t="s">
        <v>37</v>
      </c>
      <c r="E34" s="81" t="s">
        <v>38</v>
      </c>
      <c r="F34" s="81" t="s">
        <v>39</v>
      </c>
      <c r="G34" s="98" t="s">
        <v>40</v>
      </c>
      <c r="H34" s="81" t="s">
        <v>36</v>
      </c>
      <c r="I34" s="80" t="s">
        <v>41</v>
      </c>
      <c r="J34" s="80" t="s">
        <v>42</v>
      </c>
      <c r="K34" s="80" t="s">
        <v>43</v>
      </c>
      <c r="L34" s="80" t="s">
        <v>44</v>
      </c>
      <c r="M34" s="80" t="s">
        <v>45</v>
      </c>
      <c r="N34" s="80" t="s">
        <v>46</v>
      </c>
      <c r="O34" s="82" t="s">
        <v>47</v>
      </c>
    </row>
    <row r="35" spans="2:15" ht="15.75" customHeight="1" x14ac:dyDescent="0.25">
      <c r="B35" s="99" t="s">
        <v>0</v>
      </c>
      <c r="C35" s="31" t="s">
        <v>1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84"/>
    </row>
    <row r="36" spans="2:15" s="25" customFormat="1" ht="15.75" customHeight="1" x14ac:dyDescent="0.25">
      <c r="B36" s="100" t="s">
        <v>23</v>
      </c>
      <c r="C36" s="66" t="s">
        <v>17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1</v>
      </c>
      <c r="M36" s="5">
        <v>1</v>
      </c>
      <c r="N36" s="5">
        <v>1</v>
      </c>
      <c r="O36" s="5">
        <v>0</v>
      </c>
    </row>
    <row r="37" spans="2:15" ht="15.75" customHeight="1" x14ac:dyDescent="0.25">
      <c r="B37" s="85" t="s">
        <v>24</v>
      </c>
      <c r="C37" s="40" t="s">
        <v>18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2:15" ht="15.75" customHeight="1" x14ac:dyDescent="0.25">
      <c r="B38" s="85" t="s">
        <v>25</v>
      </c>
      <c r="C38" s="40" t="s">
        <v>19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2:15" ht="15.75" customHeight="1" x14ac:dyDescent="0.25">
      <c r="B39" s="85" t="s">
        <v>26</v>
      </c>
      <c r="C39" s="40" t="s">
        <v>20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</row>
    <row r="40" spans="2:15" ht="15.75" customHeight="1" x14ac:dyDescent="0.25">
      <c r="B40" s="85" t="s">
        <v>27</v>
      </c>
      <c r="C40" s="40" t="s">
        <v>21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2:15" ht="15.75" customHeight="1" x14ac:dyDescent="0.25">
      <c r="B41" s="85" t="s">
        <v>28</v>
      </c>
      <c r="C41" s="40" t="s">
        <v>22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2:15" ht="15.75" customHeight="1" x14ac:dyDescent="0.25">
      <c r="B42" s="85" t="s">
        <v>82</v>
      </c>
      <c r="C42" s="40" t="s">
        <v>85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2:15" ht="15.75" customHeight="1" x14ac:dyDescent="0.25">
      <c r="B43" s="85" t="s">
        <v>83</v>
      </c>
      <c r="C43" s="40" t="s">
        <v>86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2:15" ht="15.75" customHeight="1" thickBot="1" x14ac:dyDescent="0.3">
      <c r="B44" s="87" t="s">
        <v>84</v>
      </c>
      <c r="C44" s="88" t="s">
        <v>87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6" spans="2:15" ht="11.1" customHeight="1" thickBot="1" x14ac:dyDescent="0.3"/>
    <row r="47" spans="2:15" ht="15.75" customHeight="1" thickBot="1" x14ac:dyDescent="0.3">
      <c r="B47" s="21"/>
      <c r="C47" s="22"/>
      <c r="D47" s="57" t="s">
        <v>37</v>
      </c>
      <c r="E47" s="64" t="s">
        <v>38</v>
      </c>
      <c r="F47" s="64" t="s">
        <v>39</v>
      </c>
      <c r="G47" s="65" t="s">
        <v>40</v>
      </c>
      <c r="H47" s="64" t="s">
        <v>36</v>
      </c>
      <c r="I47" s="64" t="s">
        <v>41</v>
      </c>
      <c r="J47" s="59" t="s">
        <v>42</v>
      </c>
      <c r="K47" s="59" t="s">
        <v>43</v>
      </c>
      <c r="L47" s="59" t="s">
        <v>44</v>
      </c>
      <c r="M47" s="59" t="s">
        <v>45</v>
      </c>
      <c r="N47" s="58" t="s">
        <v>46</v>
      </c>
      <c r="O47" s="59" t="s">
        <v>47</v>
      </c>
    </row>
    <row r="48" spans="2:15" ht="15.75" customHeight="1" thickBot="1" x14ac:dyDescent="0.3">
      <c r="B48" s="26" t="s">
        <v>0</v>
      </c>
      <c r="C48" s="28" t="s">
        <v>1</v>
      </c>
      <c r="D48" s="2"/>
      <c r="E48" s="2"/>
      <c r="F48" s="2"/>
      <c r="G48" s="2"/>
      <c r="H48" s="2"/>
      <c r="I48" s="1"/>
      <c r="J48" s="2"/>
      <c r="K48" s="2"/>
      <c r="L48" s="2"/>
      <c r="M48" s="2"/>
      <c r="N48" s="27"/>
      <c r="O48" s="2"/>
    </row>
    <row r="49" spans="1:15" ht="15.75" customHeight="1" x14ac:dyDescent="0.25">
      <c r="B49" s="40" t="s">
        <v>88</v>
      </c>
      <c r="C49" s="40" t="s">
        <v>15</v>
      </c>
      <c r="D49" s="101">
        <v>0</v>
      </c>
      <c r="E49" s="101">
        <v>0</v>
      </c>
      <c r="F49" s="101">
        <v>0</v>
      </c>
      <c r="G49" s="8">
        <v>1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  <c r="N49" s="101">
        <v>0</v>
      </c>
      <c r="O49" s="101">
        <v>0</v>
      </c>
    </row>
    <row r="50" spans="1:15" ht="15.75" customHeight="1" x14ac:dyDescent="0.25">
      <c r="B50" s="40" t="s">
        <v>89</v>
      </c>
      <c r="C50" s="40" t="s">
        <v>16</v>
      </c>
      <c r="D50" s="101">
        <v>0</v>
      </c>
      <c r="E50" s="101">
        <v>0</v>
      </c>
      <c r="F50" s="101">
        <v>0</v>
      </c>
      <c r="G50" s="8">
        <v>1</v>
      </c>
      <c r="H50" s="101">
        <v>0</v>
      </c>
      <c r="I50" s="101">
        <v>1</v>
      </c>
      <c r="J50" s="8">
        <v>1</v>
      </c>
      <c r="K50" s="3">
        <v>1</v>
      </c>
      <c r="L50" s="3">
        <v>1</v>
      </c>
      <c r="M50" s="101">
        <v>0</v>
      </c>
      <c r="N50" s="101">
        <v>1</v>
      </c>
      <c r="O50" s="101">
        <v>0</v>
      </c>
    </row>
    <row r="51" spans="1:15" ht="15.75" customHeight="1" x14ac:dyDescent="0.25">
      <c r="B51" s="40" t="s">
        <v>91</v>
      </c>
      <c r="C51" s="40" t="s">
        <v>90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  <c r="N51" s="101">
        <v>0</v>
      </c>
      <c r="O51" s="101">
        <v>0</v>
      </c>
    </row>
    <row r="52" spans="1:15" ht="15.75" customHeight="1" x14ac:dyDescent="0.25">
      <c r="B52" s="40" t="s">
        <v>93</v>
      </c>
      <c r="C52" s="40" t="s">
        <v>92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</row>
    <row r="53" spans="1:15" ht="15.75" customHeight="1" x14ac:dyDescent="0.25">
      <c r="B53" s="40" t="s">
        <v>95</v>
      </c>
      <c r="C53" s="40" t="s">
        <v>94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101">
        <v>0</v>
      </c>
      <c r="O53" s="101">
        <v>0</v>
      </c>
    </row>
    <row r="54" spans="1:15" ht="15.75" customHeight="1" x14ac:dyDescent="0.25">
      <c r="B54" s="40" t="s">
        <v>97</v>
      </c>
      <c r="C54" s="40" t="s">
        <v>96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</row>
    <row r="55" spans="1:15" ht="15.75" customHeight="1" x14ac:dyDescent="0.25">
      <c r="B55" s="40"/>
      <c r="C55" s="40" t="s">
        <v>335</v>
      </c>
      <c r="D55" s="101">
        <v>0</v>
      </c>
      <c r="E55" s="101">
        <v>0</v>
      </c>
      <c r="F55" s="101">
        <v>0</v>
      </c>
      <c r="G55" s="3">
        <v>1</v>
      </c>
      <c r="H55" s="101">
        <v>0</v>
      </c>
      <c r="I55" s="101">
        <v>1</v>
      </c>
      <c r="J55" s="3">
        <v>1</v>
      </c>
      <c r="K55" s="3">
        <v>1</v>
      </c>
      <c r="L55" s="3">
        <v>1</v>
      </c>
      <c r="M55" s="101">
        <v>0</v>
      </c>
      <c r="N55" s="101">
        <v>1</v>
      </c>
      <c r="O55" s="101">
        <v>0</v>
      </c>
    </row>
    <row r="56" spans="1:15" ht="15.75" customHeight="1" x14ac:dyDescent="0.25">
      <c r="B56" s="40"/>
      <c r="C56" s="40" t="s">
        <v>410</v>
      </c>
      <c r="D56" s="101">
        <v>0</v>
      </c>
      <c r="E56" s="101">
        <v>0</v>
      </c>
      <c r="F56" s="101">
        <v>0</v>
      </c>
      <c r="G56" s="3">
        <v>1</v>
      </c>
      <c r="H56" s="101">
        <v>0</v>
      </c>
      <c r="I56" s="101">
        <v>1</v>
      </c>
      <c r="J56" s="3">
        <v>1</v>
      </c>
      <c r="K56" s="3">
        <v>1</v>
      </c>
      <c r="L56" s="3">
        <v>1</v>
      </c>
      <c r="M56" s="101">
        <v>0</v>
      </c>
      <c r="N56" s="101">
        <v>1</v>
      </c>
      <c r="O56" s="101">
        <v>0</v>
      </c>
    </row>
    <row r="57" spans="1:15" ht="15.75" customHeight="1" x14ac:dyDescent="0.25">
      <c r="B57" s="116"/>
      <c r="C57" s="117"/>
      <c r="D57" s="101"/>
      <c r="E57" s="101"/>
      <c r="F57" s="101"/>
      <c r="G57" s="118"/>
      <c r="H57" s="101"/>
      <c r="I57" s="101"/>
      <c r="J57" s="118"/>
      <c r="K57" s="118"/>
      <c r="L57" s="118"/>
      <c r="M57" s="101"/>
      <c r="N57" s="101"/>
      <c r="O57" s="119"/>
    </row>
    <row r="58" spans="1:15" ht="15.75" customHeight="1" x14ac:dyDescent="0.25">
      <c r="B58" s="116"/>
      <c r="C58" s="117"/>
      <c r="D58" s="101"/>
      <c r="E58" s="101"/>
      <c r="F58" s="101"/>
      <c r="G58" s="118"/>
      <c r="H58" s="101"/>
      <c r="I58" s="101"/>
      <c r="J58" s="118"/>
      <c r="K58" s="118"/>
      <c r="L58" s="118"/>
      <c r="M58" s="101"/>
      <c r="N58" s="101"/>
      <c r="O58" s="119"/>
    </row>
    <row r="59" spans="1:15" ht="15.75" customHeight="1" x14ac:dyDescent="0.25">
      <c r="A59" s="120" t="s">
        <v>411</v>
      </c>
      <c r="B59" s="121" t="s">
        <v>412</v>
      </c>
      <c r="C59" s="76" t="s">
        <v>76</v>
      </c>
      <c r="D59" s="3">
        <v>0</v>
      </c>
      <c r="E59" s="3">
        <v>0</v>
      </c>
      <c r="F59" s="3">
        <v>0</v>
      </c>
      <c r="G59" s="3">
        <v>0</v>
      </c>
      <c r="H59" s="3">
        <v>1</v>
      </c>
      <c r="I59" s="3">
        <v>0</v>
      </c>
      <c r="J59" s="3">
        <v>1</v>
      </c>
      <c r="K59" s="42">
        <v>1</v>
      </c>
      <c r="L59" s="3">
        <v>0</v>
      </c>
      <c r="M59" s="3">
        <v>1</v>
      </c>
      <c r="N59" s="3">
        <v>0</v>
      </c>
      <c r="O59" s="9">
        <v>0</v>
      </c>
    </row>
    <row r="60" spans="1:15" ht="15.75" customHeight="1" x14ac:dyDescent="0.25">
      <c r="A60" s="120" t="s">
        <v>411</v>
      </c>
      <c r="B60" s="121" t="s">
        <v>413</v>
      </c>
      <c r="C60" s="76" t="s">
        <v>78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1</v>
      </c>
      <c r="K60" s="3">
        <v>0</v>
      </c>
      <c r="L60" s="3">
        <v>0</v>
      </c>
      <c r="M60" s="3">
        <v>1</v>
      </c>
      <c r="N60" s="3">
        <v>0</v>
      </c>
      <c r="O60" s="9">
        <v>0</v>
      </c>
    </row>
    <row r="61" spans="1:15" ht="15.75" customHeight="1" x14ac:dyDescent="0.25">
      <c r="A61" s="120" t="s">
        <v>411</v>
      </c>
      <c r="B61" s="121" t="s">
        <v>414</v>
      </c>
      <c r="C61" s="75" t="s">
        <v>350</v>
      </c>
      <c r="D61" s="3">
        <v>0</v>
      </c>
      <c r="E61" s="3">
        <v>0</v>
      </c>
      <c r="F61" s="3">
        <v>0</v>
      </c>
      <c r="G61" s="3">
        <v>0</v>
      </c>
      <c r="H61" s="3">
        <v>1</v>
      </c>
      <c r="I61" s="3">
        <v>0</v>
      </c>
      <c r="J61" s="3">
        <v>1</v>
      </c>
      <c r="K61" s="3">
        <v>0</v>
      </c>
      <c r="L61" s="3">
        <v>0</v>
      </c>
      <c r="M61" s="3">
        <v>1</v>
      </c>
      <c r="N61" s="3">
        <v>0</v>
      </c>
      <c r="O61" s="9">
        <v>0</v>
      </c>
    </row>
    <row r="62" spans="1:15" ht="11.1" customHeight="1" x14ac:dyDescent="0.25">
      <c r="A62" s="120" t="s">
        <v>426</v>
      </c>
      <c r="B62" s="120" t="s">
        <v>427</v>
      </c>
      <c r="C62" s="120" t="s">
        <v>428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1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</row>
    <row r="63" spans="1:15" ht="11.1" customHeight="1" x14ac:dyDescent="0.25">
      <c r="A63" s="120" t="s">
        <v>426</v>
      </c>
      <c r="B63" s="120" t="s">
        <v>429</v>
      </c>
      <c r="C63" s="120" t="s">
        <v>430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1</v>
      </c>
      <c r="L63" s="16">
        <v>0</v>
      </c>
      <c r="M63" s="16">
        <v>0</v>
      </c>
      <c r="N63" s="16">
        <v>0</v>
      </c>
      <c r="O63" s="16">
        <v>0</v>
      </c>
    </row>
    <row r="64" spans="1:15" ht="11.1" customHeight="1" x14ac:dyDescent="0.25">
      <c r="A64" s="120" t="s">
        <v>426</v>
      </c>
      <c r="B64" s="120" t="s">
        <v>431</v>
      </c>
      <c r="C64" s="120" t="s">
        <v>432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1</v>
      </c>
      <c r="K64" s="16">
        <v>1</v>
      </c>
      <c r="L64" s="16">
        <v>0</v>
      </c>
      <c r="M64" s="16">
        <v>0</v>
      </c>
      <c r="N64" s="16">
        <v>0</v>
      </c>
      <c r="O64" s="16">
        <v>0</v>
      </c>
    </row>
    <row r="65" spans="1:15" ht="11.1" customHeight="1" x14ac:dyDescent="0.25">
      <c r="A65" s="120" t="s">
        <v>380</v>
      </c>
      <c r="B65" s="120" t="s">
        <v>380</v>
      </c>
      <c r="C65" s="120" t="s">
        <v>381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M65" s="16">
        <v>0</v>
      </c>
      <c r="N65" s="16">
        <v>0</v>
      </c>
      <c r="O65" s="16">
        <v>0</v>
      </c>
    </row>
    <row r="66" spans="1:15" ht="11.1" customHeight="1" x14ac:dyDescent="0.25">
      <c r="A66" s="120" t="s">
        <v>380</v>
      </c>
      <c r="B66" s="120" t="s">
        <v>380</v>
      </c>
      <c r="C66" s="120" t="s">
        <v>382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1</v>
      </c>
      <c r="L66" s="16">
        <v>0</v>
      </c>
      <c r="M66" s="16">
        <v>0</v>
      </c>
      <c r="N66" s="16">
        <v>0</v>
      </c>
      <c r="O66" s="16">
        <v>0</v>
      </c>
    </row>
    <row r="67" spans="1:15" ht="11.1" customHeight="1" x14ac:dyDescent="0.25">
      <c r="A67" s="120" t="s">
        <v>380</v>
      </c>
      <c r="B67" s="120" t="s">
        <v>380</v>
      </c>
      <c r="C67" s="120" t="s">
        <v>383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1</v>
      </c>
      <c r="L67" s="16">
        <v>0</v>
      </c>
      <c r="M67" s="16">
        <v>0</v>
      </c>
      <c r="N67" s="16">
        <v>0</v>
      </c>
      <c r="O67" s="16">
        <v>0</v>
      </c>
    </row>
    <row r="68" spans="1:15" ht="11.1" customHeight="1" x14ac:dyDescent="0.25">
      <c r="A68" s="120" t="s">
        <v>380</v>
      </c>
      <c r="B68" s="120" t="s">
        <v>380</v>
      </c>
      <c r="C68" s="120" t="s">
        <v>384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1</v>
      </c>
      <c r="L68" s="16">
        <v>0</v>
      </c>
      <c r="M68" s="16">
        <v>0</v>
      </c>
      <c r="N68" s="16">
        <v>0</v>
      </c>
      <c r="O68" s="16">
        <v>0</v>
      </c>
    </row>
    <row r="69" spans="1:15" ht="11.1" customHeight="1" x14ac:dyDescent="0.25">
      <c r="A69" s="120" t="s">
        <v>380</v>
      </c>
      <c r="B69" s="120" t="s">
        <v>380</v>
      </c>
      <c r="C69" s="120" t="s">
        <v>385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1</v>
      </c>
      <c r="L69" s="16">
        <v>0</v>
      </c>
      <c r="M69" s="16">
        <v>0</v>
      </c>
      <c r="N69" s="16">
        <v>0</v>
      </c>
      <c r="O69" s="16">
        <v>0</v>
      </c>
    </row>
    <row r="70" spans="1:15" ht="11.1" customHeight="1" x14ac:dyDescent="0.25">
      <c r="A70" s="120" t="s">
        <v>380</v>
      </c>
      <c r="B70" s="120" t="s">
        <v>380</v>
      </c>
      <c r="C70" s="120" t="s">
        <v>434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1</v>
      </c>
      <c r="L70" s="16">
        <v>0</v>
      </c>
      <c r="M70" s="16">
        <v>0</v>
      </c>
      <c r="N70" s="16">
        <v>0</v>
      </c>
      <c r="O70" s="16">
        <v>0</v>
      </c>
    </row>
  </sheetData>
  <pageMargins left="0.45" right="0.45" top="0.5" bottom="0.5" header="0.3" footer="0.3"/>
  <pageSetup scale="69" orientation="landscape"/>
  <headerFooter alignWithMargins="0"/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1"/>
  <sheetViews>
    <sheetView zoomScale="70" zoomScaleNormal="70" workbookViewId="0">
      <pane ySplit="1" topLeftCell="A2" activePane="bottomLeft" state="frozen"/>
      <selection activeCell="R203" sqref="R203"/>
      <selection pane="bottomLeft" activeCell="C89" sqref="C89"/>
    </sheetView>
  </sheetViews>
  <sheetFormatPr defaultRowHeight="15" x14ac:dyDescent="0.25"/>
  <cols>
    <col min="1" max="1" width="15.5703125" customWidth="1"/>
    <col min="2" max="2" width="21.42578125" customWidth="1"/>
    <col min="18" max="18" width="11" customWidth="1"/>
    <col min="19" max="19" width="13.42578125" customWidth="1"/>
    <col min="20" max="20" width="11.5703125" customWidth="1"/>
    <col min="21" max="21" width="12.5703125" customWidth="1"/>
    <col min="23" max="23" width="17.85546875" customWidth="1"/>
  </cols>
  <sheetData>
    <row r="1" spans="1:24" s="115" customFormat="1" x14ac:dyDescent="0.25">
      <c r="A1" s="112" t="s">
        <v>388</v>
      </c>
      <c r="B1" s="112" t="s">
        <v>389</v>
      </c>
      <c r="C1" s="112" t="s">
        <v>390</v>
      </c>
      <c r="D1" s="113" t="s">
        <v>391</v>
      </c>
      <c r="E1" s="113" t="s">
        <v>392</v>
      </c>
      <c r="F1" s="113" t="s">
        <v>393</v>
      </c>
      <c r="G1" s="113" t="s">
        <v>394</v>
      </c>
      <c r="H1" s="113" t="s">
        <v>395</v>
      </c>
      <c r="I1" s="113" t="s">
        <v>396</v>
      </c>
      <c r="J1" s="113" t="s">
        <v>397</v>
      </c>
      <c r="K1" s="113" t="s">
        <v>398</v>
      </c>
      <c r="L1" s="113" t="s">
        <v>399</v>
      </c>
      <c r="M1" s="113" t="s">
        <v>400</v>
      </c>
      <c r="N1" s="113" t="s">
        <v>401</v>
      </c>
      <c r="O1" s="113" t="s">
        <v>402</v>
      </c>
      <c r="P1" s="112" t="s">
        <v>403</v>
      </c>
      <c r="Q1" s="112" t="s">
        <v>404</v>
      </c>
      <c r="R1" s="112" t="s">
        <v>405</v>
      </c>
      <c r="S1" s="112" t="s">
        <v>406</v>
      </c>
      <c r="T1" s="112" t="s">
        <v>407</v>
      </c>
      <c r="U1" s="112" t="s">
        <v>408</v>
      </c>
      <c r="V1" s="114" t="s">
        <v>409</v>
      </c>
      <c r="W1" s="112" t="s">
        <v>640</v>
      </c>
    </row>
    <row r="2" spans="1:24" s="169" customFormat="1" x14ac:dyDescent="0.25">
      <c r="A2" s="164" t="s">
        <v>478</v>
      </c>
      <c r="B2" s="168" t="s">
        <v>48</v>
      </c>
      <c r="C2" s="168" t="s">
        <v>64</v>
      </c>
      <c r="D2" s="162">
        <v>0</v>
      </c>
      <c r="E2" s="162">
        <v>0</v>
      </c>
      <c r="F2" s="162">
        <v>0</v>
      </c>
      <c r="G2" s="162">
        <v>1</v>
      </c>
      <c r="H2" s="162">
        <v>1</v>
      </c>
      <c r="I2" s="162">
        <v>1</v>
      </c>
      <c r="J2" s="162">
        <v>1</v>
      </c>
      <c r="K2" s="162">
        <v>1</v>
      </c>
      <c r="L2" s="162">
        <v>1</v>
      </c>
      <c r="M2" s="162">
        <v>1</v>
      </c>
      <c r="N2" s="162">
        <v>1</v>
      </c>
      <c r="O2" s="162">
        <v>0</v>
      </c>
      <c r="P2" s="168">
        <f>VLOOKUP(C2,[1]allprides!$C$2:$X$170,14,FALSE)</f>
        <v>1</v>
      </c>
      <c r="Q2" s="168">
        <f>VLOOKUP(C2,[1]allprides!$C$2:$X$170,15,FALSE)</f>
        <v>0</v>
      </c>
      <c r="R2" s="168">
        <f>VLOOKUP(C2,[1]allprides!$C$2:$X$170,16,FALSE)</f>
        <v>0</v>
      </c>
      <c r="S2" s="168">
        <f>VLOOKUP(C2,[1]allprides!$C$2:$X$170,17,FALSE)</f>
        <v>1</v>
      </c>
      <c r="T2" s="168">
        <f>VLOOKUP(C2,[1]allprides!$C$2:$X$170,18,FALSE)</f>
        <v>2013</v>
      </c>
      <c r="U2" s="168">
        <f>VLOOKUP(C2,[1]allprides!$C$2:$X$170,19,FALSE)</f>
        <v>7</v>
      </c>
      <c r="V2" s="168">
        <f>VLOOKUP(C2,[1]allprides!$C$2:$X$170,20,FALSE)</f>
        <v>0</v>
      </c>
      <c r="W2" s="164">
        <v>1</v>
      </c>
      <c r="X2" s="169" t="s">
        <v>647</v>
      </c>
    </row>
    <row r="3" spans="1:24" s="169" customFormat="1" x14ac:dyDescent="0.25">
      <c r="A3" s="164" t="s">
        <v>478</v>
      </c>
      <c r="B3" s="168" t="s">
        <v>49</v>
      </c>
      <c r="C3" s="168" t="s">
        <v>65</v>
      </c>
      <c r="D3" s="162">
        <v>0</v>
      </c>
      <c r="E3" s="162">
        <v>0</v>
      </c>
      <c r="F3" s="162">
        <v>1</v>
      </c>
      <c r="G3" s="162">
        <v>1</v>
      </c>
      <c r="H3" s="162">
        <v>1</v>
      </c>
      <c r="I3" s="162">
        <v>1</v>
      </c>
      <c r="J3" s="162">
        <v>1</v>
      </c>
      <c r="K3" s="162">
        <v>1</v>
      </c>
      <c r="L3" s="162">
        <v>1</v>
      </c>
      <c r="M3" s="162">
        <v>0</v>
      </c>
      <c r="N3" s="162">
        <v>1</v>
      </c>
      <c r="O3" s="162">
        <v>0</v>
      </c>
      <c r="P3" s="168">
        <f>VLOOKUP(C3,[1]allprides!$C$2:$X$170,14,FALSE)</f>
        <v>1</v>
      </c>
      <c r="Q3" s="168">
        <f>VLOOKUP(C3,[1]allprides!$C$2:$X$170,15,FALSE)</f>
        <v>0</v>
      </c>
      <c r="R3" s="168">
        <f>VLOOKUP(C3,[1]allprides!$C$2:$X$170,16,FALSE)</f>
        <v>0</v>
      </c>
      <c r="S3" s="168">
        <f>VLOOKUP(C3,[1]allprides!$C$2:$X$170,17,FALSE)</f>
        <v>1</v>
      </c>
      <c r="T3" s="168">
        <f>VLOOKUP(C3,[1]allprides!$C$2:$X$170,18,FALSE)</f>
        <v>2013</v>
      </c>
      <c r="U3" s="168">
        <f>VLOOKUP(C3,[1]allprides!$C$2:$X$170,19,FALSE)</f>
        <v>7</v>
      </c>
      <c r="V3" s="168">
        <f>VLOOKUP(C3,[1]allprides!$C$2:$X$170,20,FALSE)</f>
        <v>0</v>
      </c>
      <c r="W3" s="164">
        <v>1</v>
      </c>
      <c r="X3" s="169" t="str">
        <f t="shared" ref="X3:X70" si="0">CONCATENATE("/*",C3,"*/ ",G3,H3,I3,J3,K3,L3,M3,N3," 1;")</f>
        <v>/*ELI-585*/ 11111101 1;</v>
      </c>
    </row>
    <row r="4" spans="1:24" s="169" customFormat="1" x14ac:dyDescent="0.25">
      <c r="A4" s="164" t="s">
        <v>478</v>
      </c>
      <c r="B4" s="168" t="s">
        <v>50</v>
      </c>
      <c r="C4" s="168" t="s">
        <v>66</v>
      </c>
      <c r="D4" s="162">
        <v>0</v>
      </c>
      <c r="E4" s="162">
        <v>0</v>
      </c>
      <c r="F4" s="162">
        <v>1</v>
      </c>
      <c r="G4" s="162">
        <v>1</v>
      </c>
      <c r="H4" s="162">
        <v>1</v>
      </c>
      <c r="I4" s="162">
        <v>1</v>
      </c>
      <c r="J4" s="162">
        <v>1</v>
      </c>
      <c r="K4" s="162">
        <v>1</v>
      </c>
      <c r="L4" s="162">
        <v>1</v>
      </c>
      <c r="M4" s="162">
        <v>1</v>
      </c>
      <c r="N4" s="162">
        <v>1</v>
      </c>
      <c r="O4" s="162">
        <v>0</v>
      </c>
      <c r="P4" s="168">
        <f>VLOOKUP(C4,[1]allprides!$C$2:$X$170,14,FALSE)</f>
        <v>1</v>
      </c>
      <c r="Q4" s="168">
        <f>VLOOKUP(C4,[1]allprides!$C$2:$X$170,15,FALSE)</f>
        <v>1</v>
      </c>
      <c r="R4" s="168">
        <f>VLOOKUP(C4,[1]allprides!$C$2:$X$170,16,FALSE)</f>
        <v>0</v>
      </c>
      <c r="S4" s="168">
        <f>VLOOKUP(C4,[1]allprides!$C$2:$X$170,17,FALSE)</f>
        <v>1</v>
      </c>
      <c r="T4" s="168">
        <f>VLOOKUP(C4,[1]allprides!$C$2:$X$170,18,FALSE)</f>
        <v>2013</v>
      </c>
      <c r="U4" s="168">
        <f>VLOOKUP(C4,[1]allprides!$C$2:$X$170,19,FALSE)</f>
        <v>7</v>
      </c>
      <c r="V4" s="168">
        <f>VLOOKUP(C4,[1]allprides!$C$2:$X$170,20,FALSE)</f>
        <v>0</v>
      </c>
      <c r="W4" s="164">
        <v>1</v>
      </c>
      <c r="X4" s="169" t="str">
        <f t="shared" si="0"/>
        <v>/*ELI-586*/ 11111111 1;</v>
      </c>
    </row>
    <row r="5" spans="1:24" s="169" customFormat="1" x14ac:dyDescent="0.25">
      <c r="A5" s="164" t="s">
        <v>478</v>
      </c>
      <c r="B5" s="168" t="s">
        <v>51</v>
      </c>
      <c r="C5" s="168" t="s">
        <v>67</v>
      </c>
      <c r="D5" s="162">
        <v>0</v>
      </c>
      <c r="E5" s="162">
        <v>0</v>
      </c>
      <c r="F5" s="162">
        <v>1</v>
      </c>
      <c r="G5" s="162">
        <v>1</v>
      </c>
      <c r="H5" s="162">
        <v>1</v>
      </c>
      <c r="I5" s="162">
        <v>1</v>
      </c>
      <c r="J5" s="162">
        <v>1</v>
      </c>
      <c r="K5" s="162">
        <v>1</v>
      </c>
      <c r="L5" s="162">
        <v>1</v>
      </c>
      <c r="M5" s="162">
        <v>1</v>
      </c>
      <c r="N5" s="162">
        <v>1</v>
      </c>
      <c r="O5" s="162">
        <v>0</v>
      </c>
      <c r="P5" s="168">
        <f>VLOOKUP(C5,[1]allprides!$C$2:$X$170,14,FALSE)</f>
        <v>1</v>
      </c>
      <c r="Q5" s="168">
        <f>VLOOKUP(C5,[1]allprides!$C$2:$X$170,15,FALSE)</f>
        <v>0</v>
      </c>
      <c r="R5" s="168">
        <f>VLOOKUP(C5,[1]allprides!$C$2:$X$170,16,FALSE)</f>
        <v>0</v>
      </c>
      <c r="S5" s="168">
        <f>VLOOKUP(C5,[1]allprides!$C$2:$X$170,17,FALSE)</f>
        <v>1</v>
      </c>
      <c r="T5" s="168">
        <f>VLOOKUP(C5,[1]allprides!$C$2:$X$170,18,FALSE)</f>
        <v>2013</v>
      </c>
      <c r="U5" s="168">
        <f>VLOOKUP(C5,[1]allprides!$C$2:$X$170,19,FALSE)</f>
        <v>7</v>
      </c>
      <c r="V5" s="168">
        <f>VLOOKUP(C5,[1]allprides!$C$2:$X$170,20,FALSE)</f>
        <v>0</v>
      </c>
      <c r="W5" s="164">
        <v>1</v>
      </c>
      <c r="X5" s="169" t="str">
        <f t="shared" si="0"/>
        <v>/*ELI-587*/ 11111111 1;</v>
      </c>
    </row>
    <row r="6" spans="1:24" s="169" customFormat="1" x14ac:dyDescent="0.25">
      <c r="A6" s="164" t="s">
        <v>478</v>
      </c>
      <c r="B6" s="168" t="s">
        <v>324</v>
      </c>
      <c r="C6" s="168" t="s">
        <v>320</v>
      </c>
      <c r="D6" s="162">
        <v>0</v>
      </c>
      <c r="E6" s="162">
        <v>0</v>
      </c>
      <c r="F6" s="162">
        <v>1</v>
      </c>
      <c r="G6" s="162">
        <v>1</v>
      </c>
      <c r="H6" s="162">
        <v>1</v>
      </c>
      <c r="I6" s="162">
        <v>1</v>
      </c>
      <c r="J6" s="162">
        <v>1</v>
      </c>
      <c r="K6" s="162">
        <v>1</v>
      </c>
      <c r="L6" s="162">
        <v>1</v>
      </c>
      <c r="M6" s="162">
        <v>1</v>
      </c>
      <c r="N6" s="162">
        <v>1</v>
      </c>
      <c r="O6" s="162">
        <v>0</v>
      </c>
      <c r="P6" s="168">
        <f>VLOOKUP(C6,[1]allprides!$C$2:$X$170,14,FALSE)</f>
        <v>1</v>
      </c>
      <c r="Q6" s="168">
        <f>VLOOKUP(C6,[1]allprides!$C$2:$X$170,15,FALSE)</f>
        <v>0</v>
      </c>
      <c r="R6" s="168">
        <f>VLOOKUP(C6,[1]allprides!$C$2:$X$170,16,FALSE)</f>
        <v>0</v>
      </c>
      <c r="S6" s="168">
        <f>VLOOKUP(C6,[1]allprides!$C$2:$X$170,17,FALSE)</f>
        <v>1</v>
      </c>
      <c r="T6" s="168">
        <f>VLOOKUP(C6,[1]allprides!$C$2:$X$170,18,FALSE)</f>
        <v>2013</v>
      </c>
      <c r="U6" s="168">
        <f>VLOOKUP(C6,[1]allprides!$C$2:$X$170,19,FALSE)</f>
        <v>4</v>
      </c>
      <c r="V6" s="168">
        <f>VLOOKUP(C6,[1]allprides!$C$2:$X$170,20,FALSE)</f>
        <v>0</v>
      </c>
      <c r="W6" s="164">
        <v>1</v>
      </c>
      <c r="X6" s="169" t="str">
        <f t="shared" si="0"/>
        <v>/*ELI-590*/ 11111111 1;</v>
      </c>
    </row>
    <row r="7" spans="1:24" s="169" customFormat="1" x14ac:dyDescent="0.25">
      <c r="A7" s="164" t="s">
        <v>478</v>
      </c>
      <c r="B7" s="168" t="s">
        <v>325</v>
      </c>
      <c r="C7" s="168" t="s">
        <v>321</v>
      </c>
      <c r="D7" s="162">
        <v>0</v>
      </c>
      <c r="E7" s="162">
        <v>0</v>
      </c>
      <c r="F7" s="162">
        <v>1</v>
      </c>
      <c r="G7" s="162">
        <v>1</v>
      </c>
      <c r="H7" s="162">
        <v>1</v>
      </c>
      <c r="I7" s="162">
        <v>1</v>
      </c>
      <c r="J7" s="162">
        <v>1</v>
      </c>
      <c r="K7" s="162">
        <v>1</v>
      </c>
      <c r="L7" s="162">
        <v>1</v>
      </c>
      <c r="M7" s="162">
        <v>0</v>
      </c>
      <c r="N7" s="162">
        <v>1</v>
      </c>
      <c r="O7" s="162">
        <v>0</v>
      </c>
      <c r="P7" s="168">
        <f>VLOOKUP(C7,[1]allprides!$C$2:$X$170,14,FALSE)</f>
        <v>1</v>
      </c>
      <c r="Q7" s="168">
        <f>VLOOKUP(C7,[1]allprides!$C$2:$X$170,15,FALSE)</f>
        <v>0</v>
      </c>
      <c r="R7" s="168">
        <f>VLOOKUP(C7,[1]allprides!$C$2:$X$170,16,FALSE)</f>
        <v>0</v>
      </c>
      <c r="S7" s="168">
        <f>VLOOKUP(C7,[1]allprides!$C$2:$X$170,17,FALSE)</f>
        <v>1</v>
      </c>
      <c r="T7" s="168">
        <f>VLOOKUP(C7,[1]allprides!$C$2:$X$170,18,FALSE)</f>
        <v>2013</v>
      </c>
      <c r="U7" s="168">
        <f>VLOOKUP(C7,[1]allprides!$C$2:$X$170,19,FALSE)</f>
        <v>4</v>
      </c>
      <c r="V7" s="168">
        <f>VLOOKUP(C7,[1]allprides!$C$2:$X$170,20,FALSE)</f>
        <v>0</v>
      </c>
      <c r="W7" s="164">
        <v>1</v>
      </c>
      <c r="X7" s="169" t="str">
        <f t="shared" si="0"/>
        <v>/*ELI-592*/ 11111101 1;</v>
      </c>
    </row>
    <row r="8" spans="1:24" s="169" customFormat="1" x14ac:dyDescent="0.25">
      <c r="A8" s="164" t="s">
        <v>478</v>
      </c>
      <c r="B8" s="168" t="s">
        <v>326</v>
      </c>
      <c r="C8" s="168" t="s">
        <v>322</v>
      </c>
      <c r="D8" s="162">
        <v>0</v>
      </c>
      <c r="E8" s="162">
        <v>0</v>
      </c>
      <c r="F8" s="162">
        <v>1</v>
      </c>
      <c r="G8" s="162">
        <v>1</v>
      </c>
      <c r="H8" s="162">
        <v>1</v>
      </c>
      <c r="I8" s="162">
        <v>1</v>
      </c>
      <c r="J8" s="162">
        <v>1</v>
      </c>
      <c r="K8" s="162">
        <v>1</v>
      </c>
      <c r="L8" s="162">
        <v>1</v>
      </c>
      <c r="M8" s="162">
        <v>0</v>
      </c>
      <c r="N8" s="162">
        <v>1</v>
      </c>
      <c r="O8" s="162">
        <v>0</v>
      </c>
      <c r="P8" s="168">
        <f>VLOOKUP(C8,[1]allprides!$C$2:$X$170,14,FALSE)</f>
        <v>1</v>
      </c>
      <c r="Q8" s="168">
        <f>VLOOKUP(C8,[1]allprides!$C$2:$X$170,15,FALSE)</f>
        <v>1</v>
      </c>
      <c r="R8" s="168">
        <f>VLOOKUP(C8,[1]allprides!$C$2:$X$170,16,FALSE)</f>
        <v>0</v>
      </c>
      <c r="S8" s="168">
        <f>VLOOKUP(C8,[1]allprides!$C$2:$X$170,17,FALSE)</f>
        <v>1</v>
      </c>
      <c r="T8" s="168">
        <f>VLOOKUP(C8,[1]allprides!$C$2:$X$170,18,FALSE)</f>
        <v>2013</v>
      </c>
      <c r="U8" s="168">
        <f>VLOOKUP(C8,[1]allprides!$C$2:$X$170,19,FALSE)</f>
        <v>7</v>
      </c>
      <c r="V8" s="168">
        <f>VLOOKUP(C8,[1]allprides!$C$2:$X$170,20,FALSE)</f>
        <v>0</v>
      </c>
      <c r="W8" s="164">
        <v>1</v>
      </c>
      <c r="X8" s="169" t="str">
        <f t="shared" si="0"/>
        <v>/*ELI-593*/ 11111101 1;</v>
      </c>
    </row>
    <row r="9" spans="1:24" s="169" customFormat="1" x14ac:dyDescent="0.25">
      <c r="A9" s="164" t="s">
        <v>478</v>
      </c>
      <c r="B9" s="168" t="s">
        <v>327</v>
      </c>
      <c r="C9" s="168" t="s">
        <v>323</v>
      </c>
      <c r="D9" s="162">
        <v>0</v>
      </c>
      <c r="E9" s="162">
        <v>0</v>
      </c>
      <c r="F9" s="162">
        <v>1</v>
      </c>
      <c r="G9" s="162">
        <v>1</v>
      </c>
      <c r="H9" s="162">
        <v>1</v>
      </c>
      <c r="I9" s="162">
        <v>1</v>
      </c>
      <c r="J9" s="162">
        <v>1</v>
      </c>
      <c r="K9" s="162">
        <v>1</v>
      </c>
      <c r="L9" s="162">
        <v>1</v>
      </c>
      <c r="M9" s="162">
        <v>1</v>
      </c>
      <c r="N9" s="162">
        <v>1</v>
      </c>
      <c r="O9" s="162">
        <v>0</v>
      </c>
      <c r="P9" s="168">
        <f>VLOOKUP(C9,[1]allprides!$C$2:$X$170,14,FALSE)</f>
        <v>1</v>
      </c>
      <c r="Q9" s="168">
        <f>VLOOKUP(C9,[1]allprides!$C$2:$X$170,15,FALSE)</f>
        <v>0</v>
      </c>
      <c r="R9" s="168">
        <f>VLOOKUP(C9,[1]allprides!$C$2:$X$170,16,FALSE)</f>
        <v>0</v>
      </c>
      <c r="S9" s="168">
        <f>VLOOKUP(C9,[1]allprides!$C$2:$X$170,17,FALSE)</f>
        <v>1</v>
      </c>
      <c r="T9" s="168">
        <f>VLOOKUP(C9,[1]allprides!$C$2:$X$170,18,FALSE)</f>
        <v>2013</v>
      </c>
      <c r="U9" s="168">
        <f>VLOOKUP(C9,[1]allprides!$C$2:$X$170,19,FALSE)</f>
        <v>7</v>
      </c>
      <c r="V9" s="168">
        <f>VLOOKUP(C9,[1]allprides!$C$2:$X$170,20,FALSE)</f>
        <v>0</v>
      </c>
      <c r="W9" s="164">
        <v>1</v>
      </c>
      <c r="X9" s="169" t="str">
        <f t="shared" si="0"/>
        <v>/*ELI-594*/ 11111111 1;</v>
      </c>
    </row>
    <row r="10" spans="1:24" s="169" customFormat="1" x14ac:dyDescent="0.25">
      <c r="A10" s="164" t="s">
        <v>478</v>
      </c>
      <c r="B10" s="168" t="s">
        <v>52</v>
      </c>
      <c r="C10" s="168" t="s">
        <v>68</v>
      </c>
      <c r="D10" s="162">
        <v>0</v>
      </c>
      <c r="E10" s="162">
        <v>0</v>
      </c>
      <c r="F10" s="162">
        <v>1</v>
      </c>
      <c r="G10" s="162">
        <v>1</v>
      </c>
      <c r="H10" s="162">
        <v>1</v>
      </c>
      <c r="I10" s="162">
        <v>1</v>
      </c>
      <c r="J10" s="162">
        <v>1</v>
      </c>
      <c r="K10" s="162">
        <v>1</v>
      </c>
      <c r="L10" s="162">
        <v>1</v>
      </c>
      <c r="M10" s="162">
        <v>0</v>
      </c>
      <c r="N10" s="162">
        <v>1</v>
      </c>
      <c r="O10" s="162">
        <v>0</v>
      </c>
      <c r="P10" s="168">
        <f>VLOOKUP(C10,[1]allprides!$C$2:$X$170,14,FALSE)</f>
        <v>1</v>
      </c>
      <c r="Q10" s="168">
        <f>VLOOKUP(C10,[1]allprides!$C$2:$X$170,15,FALSE)</f>
        <v>0</v>
      </c>
      <c r="R10" s="168">
        <f>VLOOKUP(C10,[1]allprides!$C$2:$X$170,16,FALSE)</f>
        <v>0</v>
      </c>
      <c r="S10" s="168">
        <f>VLOOKUP(C10,[1]allprides!$C$2:$X$170,17,FALSE)</f>
        <v>1</v>
      </c>
      <c r="T10" s="168">
        <f>VLOOKUP(C10,[1]allprides!$C$2:$X$170,18,FALSE)</f>
        <v>2008</v>
      </c>
      <c r="U10" s="168">
        <f>VLOOKUP(C10,[1]allprides!$C$2:$X$170,19,FALSE)</f>
        <v>10</v>
      </c>
      <c r="V10" s="168">
        <f>VLOOKUP(C10,[1]allprides!$C$2:$X$170,20,FALSE)</f>
        <v>3</v>
      </c>
      <c r="W10" s="164">
        <v>1</v>
      </c>
      <c r="X10" s="169" t="str">
        <f t="shared" si="0"/>
        <v>/*ELI-243*/ 11111101 1;</v>
      </c>
    </row>
    <row r="11" spans="1:24" s="169" customFormat="1" x14ac:dyDescent="0.25">
      <c r="A11" s="164" t="s">
        <v>478</v>
      </c>
      <c r="B11" s="168" t="s">
        <v>55</v>
      </c>
      <c r="C11" s="168" t="s">
        <v>71</v>
      </c>
      <c r="D11" s="162">
        <v>0</v>
      </c>
      <c r="E11" s="162">
        <v>0</v>
      </c>
      <c r="F11" s="162">
        <v>0</v>
      </c>
      <c r="G11" s="162">
        <v>0</v>
      </c>
      <c r="H11" s="162">
        <v>0</v>
      </c>
      <c r="I11" s="178">
        <v>1</v>
      </c>
      <c r="J11" s="162">
        <v>1</v>
      </c>
      <c r="K11" s="162">
        <v>0</v>
      </c>
      <c r="L11" s="178">
        <v>1</v>
      </c>
      <c r="M11" s="162">
        <v>1</v>
      </c>
      <c r="N11" s="162">
        <v>0</v>
      </c>
      <c r="O11" s="162">
        <v>0</v>
      </c>
      <c r="P11" s="168">
        <f>VLOOKUP(C11,[1]allprides!$C$2:$X$170,14,FALSE)</f>
        <v>1</v>
      </c>
      <c r="Q11" s="168">
        <f>VLOOKUP(C11,[1]allprides!$C$2:$X$170,15,FALSE)</f>
        <v>0</v>
      </c>
      <c r="R11" s="168">
        <f>VLOOKUP(C11,[1]allprides!$C$2:$X$170,16,FALSE)</f>
        <v>0</v>
      </c>
      <c r="S11" s="168">
        <f>VLOOKUP(C11,[1]allprides!$C$2:$X$170,17,FALSE)</f>
        <v>1</v>
      </c>
      <c r="T11" s="168">
        <f>VLOOKUP(C11,[1]allprides!$C$2:$X$170,18,FALSE)</f>
        <v>2009</v>
      </c>
      <c r="U11" s="168">
        <f>VLOOKUP(C11,[1]allprides!$C$2:$X$170,19,FALSE)</f>
        <v>4</v>
      </c>
      <c r="V11" s="168">
        <f>VLOOKUP(C11,[1]allprides!$C$2:$X$170,20,FALSE)</f>
        <v>4</v>
      </c>
      <c r="W11" s="164">
        <v>1</v>
      </c>
      <c r="X11" s="169" t="str">
        <f t="shared" si="0"/>
        <v>/*ELI-224*/ 00110110 1;</v>
      </c>
    </row>
    <row r="12" spans="1:24" s="169" customFormat="1" x14ac:dyDescent="0.25">
      <c r="A12" s="164" t="s">
        <v>478</v>
      </c>
      <c r="B12" s="168" t="s">
        <v>56</v>
      </c>
      <c r="C12" s="168" t="s">
        <v>72</v>
      </c>
      <c r="D12" s="162">
        <v>0</v>
      </c>
      <c r="E12" s="162">
        <v>0</v>
      </c>
      <c r="F12" s="162">
        <v>0</v>
      </c>
      <c r="G12" s="162">
        <v>1</v>
      </c>
      <c r="H12" s="162">
        <v>0</v>
      </c>
      <c r="I12" s="178">
        <v>1</v>
      </c>
      <c r="J12" s="162">
        <v>1</v>
      </c>
      <c r="K12" s="162">
        <v>1</v>
      </c>
      <c r="L12" s="178">
        <v>1</v>
      </c>
      <c r="M12" s="162">
        <v>1</v>
      </c>
      <c r="N12" s="162">
        <v>0</v>
      </c>
      <c r="O12" s="162">
        <v>0</v>
      </c>
      <c r="P12" s="168">
        <f>VLOOKUP(C12,[1]allprides!$C$2:$X$170,14,FALSE)</f>
        <v>1</v>
      </c>
      <c r="Q12" s="168">
        <f>VLOOKUP(C12,[1]allprides!$C$2:$X$170,15,FALSE)</f>
        <v>0</v>
      </c>
      <c r="R12" s="168">
        <f>VLOOKUP(C12,[1]allprides!$C$2:$X$170,16,FALSE)</f>
        <v>0</v>
      </c>
      <c r="S12" s="168">
        <f>VLOOKUP(C12,[1]allprides!$C$2:$X$170,17,FALSE)</f>
        <v>1</v>
      </c>
      <c r="T12" s="168">
        <f>VLOOKUP(C12,[1]allprides!$C$2:$X$170,18,FALSE)</f>
        <v>2008</v>
      </c>
      <c r="U12" s="168">
        <f>VLOOKUP(C12,[1]allprides!$C$2:$X$170,19,FALSE)</f>
        <v>10</v>
      </c>
      <c r="V12" s="168">
        <f>VLOOKUP(C12,[1]allprides!$C$2:$X$170,20,FALSE)</f>
        <v>1</v>
      </c>
      <c r="W12" s="164">
        <v>1</v>
      </c>
      <c r="X12" s="169" t="str">
        <f t="shared" si="0"/>
        <v>/*ELI-245*/ 10111110 1;</v>
      </c>
    </row>
    <row r="13" spans="1:24" s="169" customFormat="1" x14ac:dyDescent="0.25">
      <c r="A13" s="164" t="s">
        <v>478</v>
      </c>
      <c r="B13" s="168" t="s">
        <v>57</v>
      </c>
      <c r="C13" s="168" t="s">
        <v>73</v>
      </c>
      <c r="D13" s="162">
        <v>0</v>
      </c>
      <c r="E13" s="162">
        <v>0</v>
      </c>
      <c r="F13" s="162">
        <v>0</v>
      </c>
      <c r="G13" s="162">
        <v>0</v>
      </c>
      <c r="H13" s="162">
        <v>0</v>
      </c>
      <c r="I13" s="162">
        <v>0</v>
      </c>
      <c r="J13" s="162">
        <v>0</v>
      </c>
      <c r="K13" s="162">
        <v>1</v>
      </c>
      <c r="L13" s="178">
        <v>1</v>
      </c>
      <c r="M13" s="162">
        <v>1</v>
      </c>
      <c r="N13" s="162">
        <v>0</v>
      </c>
      <c r="O13" s="162">
        <v>0</v>
      </c>
      <c r="P13" s="168">
        <f>VLOOKUP(C13,[1]allprides!$C$2:$X$170,14,FALSE)</f>
        <v>1</v>
      </c>
      <c r="Q13" s="168">
        <f>VLOOKUP(C13,[1]allprides!$C$2:$X$170,15,FALSE)</f>
        <v>0</v>
      </c>
      <c r="R13" s="168">
        <f>VLOOKUP(C13,[1]allprides!$C$2:$X$170,16,FALSE)</f>
        <v>0</v>
      </c>
      <c r="S13" s="168">
        <f>VLOOKUP(C13,[1]allprides!$C$2:$X$170,17,FALSE)</f>
        <v>1</v>
      </c>
      <c r="T13" s="168">
        <f>VLOOKUP(C13,[1]allprides!$C$2:$X$170,18,FALSE)</f>
        <v>2008</v>
      </c>
      <c r="U13" s="168">
        <f>VLOOKUP(C13,[1]allprides!$C$2:$X$170,19,FALSE)</f>
        <v>10</v>
      </c>
      <c r="V13" s="168">
        <f>VLOOKUP(C13,[1]allprides!$C$2:$X$170,20,FALSE)</f>
        <v>1</v>
      </c>
      <c r="W13" s="164">
        <v>1</v>
      </c>
      <c r="X13" s="169" t="str">
        <f t="shared" si="0"/>
        <v>/*ELI-223*/ 00001110 1;</v>
      </c>
    </row>
    <row r="14" spans="1:24" s="169" customFormat="1" x14ac:dyDescent="0.25">
      <c r="A14" s="164" t="s">
        <v>478</v>
      </c>
      <c r="B14" s="168" t="s">
        <v>58</v>
      </c>
      <c r="C14" s="168" t="s">
        <v>74</v>
      </c>
      <c r="D14" s="162">
        <v>0</v>
      </c>
      <c r="E14" s="162">
        <v>0</v>
      </c>
      <c r="F14" s="162">
        <v>0</v>
      </c>
      <c r="G14" s="162">
        <v>0</v>
      </c>
      <c r="H14" s="162">
        <v>0</v>
      </c>
      <c r="I14" s="162">
        <v>0</v>
      </c>
      <c r="J14" s="162">
        <v>0</v>
      </c>
      <c r="K14" s="162">
        <v>1</v>
      </c>
      <c r="L14" s="178">
        <v>1</v>
      </c>
      <c r="M14" s="162">
        <v>1</v>
      </c>
      <c r="N14" s="162">
        <v>0</v>
      </c>
      <c r="O14" s="162">
        <v>0</v>
      </c>
      <c r="P14" s="168">
        <f>VLOOKUP(C14,[1]allprides!$C$2:$X$170,14,FALSE)</f>
        <v>1</v>
      </c>
      <c r="Q14" s="168">
        <f>VLOOKUP(C14,[1]allprides!$C$2:$X$170,15,FALSE)</f>
        <v>0</v>
      </c>
      <c r="R14" s="168">
        <f>VLOOKUP(C14,[1]allprides!$C$2:$X$170,16,FALSE)</f>
        <v>0</v>
      </c>
      <c r="S14" s="168">
        <f>VLOOKUP(C14,[1]allprides!$C$2:$X$170,17,FALSE)</f>
        <v>1</v>
      </c>
      <c r="T14" s="168">
        <f>VLOOKUP(C14,[1]allprides!$C$2:$X$170,18,FALSE)</f>
        <v>2008</v>
      </c>
      <c r="U14" s="168">
        <f>VLOOKUP(C14,[1]allprides!$C$2:$X$170,19,FALSE)</f>
        <v>10</v>
      </c>
      <c r="V14" s="168">
        <f>VLOOKUP(C14,[1]allprides!$C$2:$X$170,20,FALSE)</f>
        <v>0</v>
      </c>
      <c r="W14" s="164">
        <v>1</v>
      </c>
      <c r="X14" s="169" t="str">
        <f t="shared" si="0"/>
        <v>/*ELI-220*/ 00001110 1;</v>
      </c>
    </row>
    <row r="15" spans="1:24" s="169" customFormat="1" x14ac:dyDescent="0.25">
      <c r="A15" s="164" t="s">
        <v>478</v>
      </c>
      <c r="B15" s="168" t="s">
        <v>59</v>
      </c>
      <c r="C15" s="168" t="s">
        <v>75</v>
      </c>
      <c r="D15" s="162">
        <v>0</v>
      </c>
      <c r="E15" s="162">
        <v>0</v>
      </c>
      <c r="F15" s="162">
        <v>0</v>
      </c>
      <c r="G15" s="162">
        <v>0</v>
      </c>
      <c r="H15" s="162">
        <v>0</v>
      </c>
      <c r="I15" s="178">
        <v>1</v>
      </c>
      <c r="J15" s="162">
        <v>0</v>
      </c>
      <c r="K15" s="162">
        <v>1</v>
      </c>
      <c r="L15" s="178">
        <v>1</v>
      </c>
      <c r="M15" s="162">
        <v>0</v>
      </c>
      <c r="N15" s="162">
        <v>0</v>
      </c>
      <c r="O15" s="162">
        <v>0</v>
      </c>
      <c r="P15" s="168">
        <f>VLOOKUP(C15,[1]allprides!$C$2:$X$170,14,FALSE)</f>
        <v>1</v>
      </c>
      <c r="Q15" s="168">
        <f>VLOOKUP(C15,[1]allprides!$C$2:$X$170,15,FALSE)</f>
        <v>0</v>
      </c>
      <c r="R15" s="168">
        <f>VLOOKUP(C15,[1]allprides!$C$2:$X$170,16,FALSE)</f>
        <v>0</v>
      </c>
      <c r="S15" s="168">
        <f>VLOOKUP(C15,[1]allprides!$C$2:$X$170,17,FALSE)</f>
        <v>1</v>
      </c>
      <c r="T15" s="168">
        <f>VLOOKUP(C15,[1]allprides!$C$2:$X$170,18,FALSE)</f>
        <v>2009</v>
      </c>
      <c r="U15" s="168">
        <f>VLOOKUP(C15,[1]allprides!$C$2:$X$170,19,FALSE)</f>
        <v>4</v>
      </c>
      <c r="V15" s="168">
        <f>VLOOKUP(C15,[1]allprides!$C$2:$X$170,20,FALSE)</f>
        <v>1</v>
      </c>
      <c r="W15" s="164">
        <v>1</v>
      </c>
      <c r="X15" s="169" t="str">
        <f t="shared" si="0"/>
        <v>/*ELI-218*/ 00101100 1;</v>
      </c>
    </row>
    <row r="16" spans="1:24" s="169" customFormat="1" x14ac:dyDescent="0.25">
      <c r="A16" s="164" t="s">
        <v>478</v>
      </c>
      <c r="B16" s="168" t="s">
        <v>60</v>
      </c>
      <c r="C16" s="168" t="s">
        <v>77</v>
      </c>
      <c r="D16" s="162">
        <v>0</v>
      </c>
      <c r="E16" s="162">
        <v>0</v>
      </c>
      <c r="F16" s="162">
        <v>1</v>
      </c>
      <c r="G16" s="162">
        <v>0</v>
      </c>
      <c r="H16" s="162">
        <v>0</v>
      </c>
      <c r="I16" s="162">
        <v>0</v>
      </c>
      <c r="J16" s="162">
        <v>0</v>
      </c>
      <c r="K16" s="162">
        <v>1</v>
      </c>
      <c r="L16" s="178">
        <v>1</v>
      </c>
      <c r="M16" s="162">
        <v>1</v>
      </c>
      <c r="N16" s="162">
        <v>0</v>
      </c>
      <c r="O16" s="162">
        <v>0</v>
      </c>
      <c r="P16" s="168">
        <f>VLOOKUP(C16,[1]allprides!$C$2:$X$170,14,FALSE)</f>
        <v>1</v>
      </c>
      <c r="Q16" s="168">
        <f>VLOOKUP(C16,[1]allprides!$C$2:$X$170,15,FALSE)</f>
        <v>0</v>
      </c>
      <c r="R16" s="168">
        <f>VLOOKUP(C16,[1]allprides!$C$2:$X$170,16,FALSE)</f>
        <v>0</v>
      </c>
      <c r="S16" s="168">
        <f>VLOOKUP(C16,[1]allprides!$C$2:$X$170,17,FALSE)</f>
        <v>1</v>
      </c>
      <c r="T16" s="168">
        <f>VLOOKUP(C16,[1]allprides!$C$2:$X$170,18,FALSE)</f>
        <v>2008</v>
      </c>
      <c r="U16" s="168">
        <f>VLOOKUP(C16,[1]allprides!$C$2:$X$170,19,FALSE)</f>
        <v>10</v>
      </c>
      <c r="V16" s="168">
        <f>VLOOKUP(C16,[1]allprides!$C$2:$X$170,20,FALSE)</f>
        <v>0</v>
      </c>
      <c r="W16" s="164">
        <v>1</v>
      </c>
      <c r="X16" s="169" t="str">
        <f t="shared" si="0"/>
        <v>/*ELI-219*/ 00001110 1;</v>
      </c>
    </row>
    <row r="17" spans="1:24" s="169" customFormat="1" x14ac:dyDescent="0.25">
      <c r="A17" s="164" t="s">
        <v>478</v>
      </c>
      <c r="B17" s="164" t="s">
        <v>479</v>
      </c>
      <c r="C17" s="168" t="s">
        <v>332</v>
      </c>
      <c r="D17" s="162">
        <v>0</v>
      </c>
      <c r="E17" s="162">
        <v>0</v>
      </c>
      <c r="F17" s="162">
        <v>0</v>
      </c>
      <c r="G17" s="162">
        <v>1</v>
      </c>
      <c r="H17" s="162">
        <v>0</v>
      </c>
      <c r="I17" s="178">
        <v>1</v>
      </c>
      <c r="J17" s="162">
        <v>0</v>
      </c>
      <c r="K17" s="162">
        <v>1</v>
      </c>
      <c r="L17" s="178">
        <v>1</v>
      </c>
      <c r="M17" s="162">
        <v>1</v>
      </c>
      <c r="N17" s="162">
        <v>0</v>
      </c>
      <c r="O17" s="162">
        <v>0</v>
      </c>
      <c r="P17" s="168">
        <f>VLOOKUP(C17,[1]allprides!$C$2:$X$170,14,FALSE)</f>
        <v>1</v>
      </c>
      <c r="Q17" s="168">
        <f>VLOOKUP(C17,[1]allprides!$C$2:$X$170,15,FALSE)</f>
        <v>1</v>
      </c>
      <c r="R17" s="168">
        <f>VLOOKUP(C17,[1]allprides!$C$2:$X$170,16,FALSE)</f>
        <v>0</v>
      </c>
      <c r="S17" s="168">
        <f>VLOOKUP(C17,[1]allprides!$C$2:$X$170,17,FALSE)</f>
        <v>1</v>
      </c>
      <c r="T17" s="168">
        <f>VLOOKUP(C17,[1]allprides!$C$2:$X$170,18,FALSE)</f>
        <v>2014</v>
      </c>
      <c r="U17" s="168">
        <f>VLOOKUP(C17,[1]allprides!$C$2:$X$170,19,FALSE)</f>
        <v>4</v>
      </c>
      <c r="V17" s="168">
        <f>VLOOKUP(C17,[1]allprides!$C$2:$X$170,20,FALSE)</f>
        <v>0</v>
      </c>
      <c r="W17" s="164">
        <v>1</v>
      </c>
      <c r="X17" s="169" t="str">
        <f t="shared" si="0"/>
        <v>/*ELI-769*/ 10101110 1;</v>
      </c>
    </row>
    <row r="18" spans="1:24" s="169" customFormat="1" x14ac:dyDescent="0.25">
      <c r="A18" s="164" t="s">
        <v>478</v>
      </c>
      <c r="B18" s="164" t="s">
        <v>480</v>
      </c>
      <c r="C18" s="168" t="s">
        <v>334</v>
      </c>
      <c r="D18" s="162">
        <v>0</v>
      </c>
      <c r="E18" s="162">
        <v>0</v>
      </c>
      <c r="F18" s="162">
        <v>0</v>
      </c>
      <c r="G18" s="162">
        <v>0</v>
      </c>
      <c r="H18" s="162">
        <v>0</v>
      </c>
      <c r="I18" s="178">
        <v>1</v>
      </c>
      <c r="J18" s="178">
        <v>1</v>
      </c>
      <c r="K18" s="162">
        <v>1</v>
      </c>
      <c r="L18" s="178">
        <v>1</v>
      </c>
      <c r="M18" s="162">
        <v>1</v>
      </c>
      <c r="N18" s="162">
        <v>0</v>
      </c>
      <c r="O18" s="162">
        <v>0</v>
      </c>
      <c r="P18" s="168">
        <f>VLOOKUP(C18,[1]allprides!$C$2:$X$170,14,FALSE)</f>
        <v>1</v>
      </c>
      <c r="Q18" s="168">
        <f>VLOOKUP(C18,[1]allprides!$C$2:$X$170,15,FALSE)</f>
        <v>1</v>
      </c>
      <c r="R18" s="168">
        <f>VLOOKUP(C18,[1]allprides!$C$2:$X$170,16,FALSE)</f>
        <v>0</v>
      </c>
      <c r="S18" s="168">
        <f>VLOOKUP(C18,[1]allprides!$C$2:$X$170,17,FALSE)</f>
        <v>1</v>
      </c>
      <c r="T18" s="168">
        <f>VLOOKUP(C18,[1]allprides!$C$2:$X$170,18,FALSE)</f>
        <v>2014</v>
      </c>
      <c r="U18" s="168">
        <f>VLOOKUP(C18,[1]allprides!$C$2:$X$170,19,FALSE)</f>
        <v>4</v>
      </c>
      <c r="V18" s="168">
        <f>VLOOKUP(C18,[1]allprides!$C$2:$X$170,20,FALSE)</f>
        <v>0</v>
      </c>
      <c r="W18" s="164">
        <v>1</v>
      </c>
      <c r="X18" s="169" t="str">
        <f t="shared" si="0"/>
        <v>/*ELI-768*/ 00111110 1;</v>
      </c>
    </row>
    <row r="19" spans="1:24" s="169" customFormat="1" x14ac:dyDescent="0.25">
      <c r="A19" s="164" t="s">
        <v>478</v>
      </c>
      <c r="B19" s="164" t="s">
        <v>481</v>
      </c>
      <c r="C19" s="168" t="s">
        <v>330</v>
      </c>
      <c r="D19" s="162">
        <v>0</v>
      </c>
      <c r="E19" s="162">
        <v>0</v>
      </c>
      <c r="F19" s="162">
        <v>0</v>
      </c>
      <c r="G19" s="162">
        <v>0</v>
      </c>
      <c r="H19" s="162">
        <v>0</v>
      </c>
      <c r="I19" s="178">
        <v>1</v>
      </c>
      <c r="J19" s="162">
        <v>0</v>
      </c>
      <c r="K19" s="178">
        <v>1</v>
      </c>
      <c r="L19" s="178">
        <v>1</v>
      </c>
      <c r="M19" s="162">
        <v>0</v>
      </c>
      <c r="N19" s="162">
        <v>0</v>
      </c>
      <c r="O19" s="162">
        <v>0</v>
      </c>
      <c r="P19" s="168">
        <f>VLOOKUP(C19,[1]allprides!$C$2:$X$170,14,FALSE)</f>
        <v>1</v>
      </c>
      <c r="Q19" s="168">
        <f>VLOOKUP(C19,[1]allprides!$C$2:$X$170,15,FALSE)</f>
        <v>1</v>
      </c>
      <c r="R19" s="168">
        <f>VLOOKUP(C19,[1]allprides!$C$2:$X$170,16,FALSE)</f>
        <v>1</v>
      </c>
      <c r="S19" s="168">
        <f>VLOOKUP(C19,[1]allprides!$C$2:$X$170,17,FALSE)</f>
        <v>1</v>
      </c>
      <c r="T19" s="168">
        <f>VLOOKUP(C19,[1]allprides!$C$2:$X$170,18,FALSE)</f>
        <v>2014</v>
      </c>
      <c r="U19" s="168">
        <f>VLOOKUP(C19,[1]allprides!$C$2:$X$170,19,FALSE)</f>
        <v>4</v>
      </c>
      <c r="V19" s="168">
        <f>VLOOKUP(C19,[1]allprides!$C$2:$X$170,20,FALSE)</f>
        <v>0</v>
      </c>
      <c r="W19" s="164">
        <v>1</v>
      </c>
      <c r="X19" s="169" t="str">
        <f t="shared" si="0"/>
        <v>/*ELI-767*/ 00101100 1;</v>
      </c>
    </row>
    <row r="20" spans="1:24" s="169" customFormat="1" x14ac:dyDescent="0.25">
      <c r="A20" s="164" t="s">
        <v>478</v>
      </c>
      <c r="B20" s="164" t="s">
        <v>482</v>
      </c>
      <c r="C20" s="168" t="s">
        <v>333</v>
      </c>
      <c r="D20" s="162">
        <v>0</v>
      </c>
      <c r="E20" s="162">
        <v>0</v>
      </c>
      <c r="F20" s="162">
        <v>0</v>
      </c>
      <c r="G20" s="162">
        <v>1</v>
      </c>
      <c r="H20" s="162">
        <v>0</v>
      </c>
      <c r="I20" s="162">
        <v>0</v>
      </c>
      <c r="J20" s="162">
        <v>0</v>
      </c>
      <c r="K20" s="162">
        <v>1</v>
      </c>
      <c r="L20" s="162">
        <v>0</v>
      </c>
      <c r="M20" s="162">
        <v>1</v>
      </c>
      <c r="N20" s="162">
        <v>0</v>
      </c>
      <c r="O20" s="162">
        <v>0</v>
      </c>
      <c r="P20" s="168">
        <f>VLOOKUP(C20,[1]allprides!$C$2:$X$170,14,FALSE)</f>
        <v>1</v>
      </c>
      <c r="Q20" s="168">
        <f>VLOOKUP(C20,[1]allprides!$C$2:$X$170,15,FALSE)</f>
        <v>1</v>
      </c>
      <c r="R20" s="168">
        <f>VLOOKUP(C20,[1]allprides!$C$2:$X$170,16,FALSE)</f>
        <v>0</v>
      </c>
      <c r="S20" s="168">
        <f>VLOOKUP(C20,[1]allprides!$C$2:$X$170,17,FALSE)</f>
        <v>1</v>
      </c>
      <c r="T20" s="168">
        <f>VLOOKUP(C20,[1]allprides!$C$2:$X$170,18,FALSE)</f>
        <v>2014</v>
      </c>
      <c r="U20" s="168">
        <f>VLOOKUP(C20,[1]allprides!$C$2:$X$170,19,FALSE)</f>
        <v>4</v>
      </c>
      <c r="V20" s="168">
        <f>VLOOKUP(C20,[1]allprides!$C$2:$X$170,20,FALSE)</f>
        <v>0</v>
      </c>
      <c r="W20" s="164">
        <v>1</v>
      </c>
      <c r="X20" s="169" t="str">
        <f t="shared" si="0"/>
        <v>/*ELI-766*/ 10001010 1;</v>
      </c>
    </row>
    <row r="21" spans="1:24" s="169" customFormat="1" x14ac:dyDescent="0.25">
      <c r="A21" s="164" t="s">
        <v>478</v>
      </c>
      <c r="B21" s="164" t="s">
        <v>483</v>
      </c>
      <c r="C21" s="168" t="s">
        <v>331</v>
      </c>
      <c r="D21" s="162">
        <v>0</v>
      </c>
      <c r="E21" s="162">
        <v>0</v>
      </c>
      <c r="F21" s="162">
        <v>0</v>
      </c>
      <c r="G21" s="162">
        <v>1</v>
      </c>
      <c r="H21" s="162">
        <v>0</v>
      </c>
      <c r="I21" s="178">
        <v>1</v>
      </c>
      <c r="J21" s="162">
        <v>0</v>
      </c>
      <c r="K21" s="178">
        <v>1</v>
      </c>
      <c r="L21" s="178">
        <v>1</v>
      </c>
      <c r="M21" s="162">
        <v>1</v>
      </c>
      <c r="N21" s="162">
        <v>0</v>
      </c>
      <c r="O21" s="162">
        <v>0</v>
      </c>
      <c r="P21" s="168">
        <f>VLOOKUP(C21,[1]allprides!$C$2:$X$170,14,FALSE)</f>
        <v>1</v>
      </c>
      <c r="Q21" s="168">
        <f>VLOOKUP(C21,[1]allprides!$C$2:$X$170,15,FALSE)</f>
        <v>1</v>
      </c>
      <c r="R21" s="168">
        <f>VLOOKUP(C21,[1]allprides!$C$2:$X$170,16,FALSE)</f>
        <v>0</v>
      </c>
      <c r="S21" s="168">
        <f>VLOOKUP(C21,[1]allprides!$C$2:$X$170,17,FALSE)</f>
        <v>1</v>
      </c>
      <c r="T21" s="168">
        <f>VLOOKUP(C21,[1]allprides!$C$2:$X$170,18,FALSE)</f>
        <v>2014</v>
      </c>
      <c r="U21" s="168">
        <f>VLOOKUP(C21,[1]allprides!$C$2:$X$170,19,FALSE)</f>
        <v>4</v>
      </c>
      <c r="V21" s="168">
        <f>VLOOKUP(C21,[1]allprides!$C$2:$X$170,20,FALSE)</f>
        <v>0</v>
      </c>
      <c r="W21" s="164">
        <v>1</v>
      </c>
      <c r="X21" s="169" t="str">
        <f t="shared" si="0"/>
        <v>/*ELI-765*/ 10101110 1;</v>
      </c>
    </row>
    <row r="22" spans="1:24" s="169" customFormat="1" x14ac:dyDescent="0.25">
      <c r="A22" s="164" t="s">
        <v>478</v>
      </c>
      <c r="B22" s="164" t="s">
        <v>484</v>
      </c>
      <c r="C22" s="168" t="s">
        <v>559</v>
      </c>
      <c r="D22" s="162">
        <v>0</v>
      </c>
      <c r="E22" s="162">
        <v>0</v>
      </c>
      <c r="F22" s="162">
        <v>0</v>
      </c>
      <c r="G22" s="162">
        <v>0</v>
      </c>
      <c r="H22" s="162">
        <v>0</v>
      </c>
      <c r="I22" s="162">
        <v>0</v>
      </c>
      <c r="J22" s="162">
        <v>0</v>
      </c>
      <c r="K22" s="162">
        <v>1</v>
      </c>
      <c r="L22" s="178">
        <v>1</v>
      </c>
      <c r="M22" s="162">
        <v>1</v>
      </c>
      <c r="N22" s="162">
        <v>0</v>
      </c>
      <c r="O22" s="162">
        <v>0</v>
      </c>
      <c r="P22" s="168">
        <v>1</v>
      </c>
      <c r="Q22" s="168">
        <v>0</v>
      </c>
      <c r="R22" s="168">
        <v>0</v>
      </c>
      <c r="S22" s="168">
        <v>1</v>
      </c>
      <c r="T22" s="168">
        <v>2015</v>
      </c>
      <c r="U22" s="168">
        <v>8</v>
      </c>
      <c r="V22" s="168">
        <v>0</v>
      </c>
      <c r="W22" s="164">
        <v>1</v>
      </c>
      <c r="X22" s="169" t="str">
        <f t="shared" si="0"/>
        <v>/*ELI-815*/ 00001110 1;</v>
      </c>
    </row>
    <row r="23" spans="1:24" s="169" customFormat="1" x14ac:dyDescent="0.25">
      <c r="A23" s="164" t="s">
        <v>478</v>
      </c>
      <c r="B23" s="164" t="s">
        <v>485</v>
      </c>
      <c r="C23" s="168" t="s">
        <v>560</v>
      </c>
      <c r="D23" s="162">
        <v>0</v>
      </c>
      <c r="E23" s="162">
        <v>0</v>
      </c>
      <c r="F23" s="162">
        <v>0</v>
      </c>
      <c r="G23" s="162">
        <v>0</v>
      </c>
      <c r="H23" s="162">
        <v>0</v>
      </c>
      <c r="I23" s="162">
        <v>0</v>
      </c>
      <c r="J23" s="162">
        <v>0</v>
      </c>
      <c r="K23" s="162">
        <v>1</v>
      </c>
      <c r="L23" s="178">
        <v>1</v>
      </c>
      <c r="M23" s="162">
        <v>1</v>
      </c>
      <c r="N23" s="162">
        <v>0</v>
      </c>
      <c r="O23" s="162">
        <v>0</v>
      </c>
      <c r="P23" s="168">
        <v>1</v>
      </c>
      <c r="Q23" s="168">
        <v>0</v>
      </c>
      <c r="R23" s="168">
        <v>0</v>
      </c>
      <c r="S23" s="168">
        <v>1</v>
      </c>
      <c r="T23" s="168">
        <v>2015</v>
      </c>
      <c r="U23" s="168">
        <v>8</v>
      </c>
      <c r="V23" s="168">
        <v>0</v>
      </c>
      <c r="W23" s="164">
        <v>1</v>
      </c>
      <c r="X23" s="169" t="str">
        <f t="shared" si="0"/>
        <v>/*ELI-816*/ 00001110 1;</v>
      </c>
    </row>
    <row r="24" spans="1:24" s="169" customFormat="1" x14ac:dyDescent="0.25">
      <c r="A24" s="164" t="s">
        <v>478</v>
      </c>
      <c r="B24" s="164" t="s">
        <v>486</v>
      </c>
      <c r="C24" s="168" t="s">
        <v>561</v>
      </c>
      <c r="D24" s="162">
        <v>0</v>
      </c>
      <c r="E24" s="162">
        <v>0</v>
      </c>
      <c r="F24" s="162">
        <v>0</v>
      </c>
      <c r="G24" s="162">
        <v>0</v>
      </c>
      <c r="H24" s="162">
        <v>0</v>
      </c>
      <c r="I24" s="162">
        <v>0</v>
      </c>
      <c r="J24" s="162">
        <v>0</v>
      </c>
      <c r="K24" s="162">
        <v>1</v>
      </c>
      <c r="L24" s="178">
        <v>1</v>
      </c>
      <c r="M24" s="162">
        <v>1</v>
      </c>
      <c r="N24" s="162">
        <v>0</v>
      </c>
      <c r="O24" s="162">
        <v>0</v>
      </c>
      <c r="P24" s="168">
        <v>1</v>
      </c>
      <c r="Q24" s="168">
        <v>1</v>
      </c>
      <c r="R24" s="168">
        <v>0</v>
      </c>
      <c r="S24" s="168">
        <v>1</v>
      </c>
      <c r="T24" s="168">
        <v>2015</v>
      </c>
      <c r="U24" s="168">
        <v>8</v>
      </c>
      <c r="V24" s="168">
        <v>0</v>
      </c>
      <c r="W24" s="164">
        <v>1</v>
      </c>
      <c r="X24" s="169" t="str">
        <f t="shared" si="0"/>
        <v>/*ELI-817*/ 00001110 1;</v>
      </c>
    </row>
    <row r="25" spans="1:24" s="169" customFormat="1" x14ac:dyDescent="0.25">
      <c r="A25" s="164" t="s">
        <v>478</v>
      </c>
      <c r="B25" s="164" t="s">
        <v>487</v>
      </c>
      <c r="C25" s="168" t="s">
        <v>562</v>
      </c>
      <c r="D25" s="162">
        <v>0</v>
      </c>
      <c r="E25" s="162">
        <v>0</v>
      </c>
      <c r="F25" s="162">
        <v>0</v>
      </c>
      <c r="G25" s="162">
        <v>0</v>
      </c>
      <c r="H25" s="162">
        <v>0</v>
      </c>
      <c r="I25" s="162">
        <v>0</v>
      </c>
      <c r="J25" s="162">
        <v>0</v>
      </c>
      <c r="K25" s="162">
        <v>1</v>
      </c>
      <c r="L25" s="178">
        <v>1</v>
      </c>
      <c r="M25" s="162">
        <v>1</v>
      </c>
      <c r="N25" s="162">
        <v>0</v>
      </c>
      <c r="O25" s="162">
        <v>0</v>
      </c>
      <c r="P25" s="168">
        <v>1</v>
      </c>
      <c r="Q25" s="168">
        <v>1</v>
      </c>
      <c r="R25" s="168">
        <v>0</v>
      </c>
      <c r="S25" s="168">
        <v>1</v>
      </c>
      <c r="T25" s="168">
        <v>2015</v>
      </c>
      <c r="U25" s="168">
        <v>8</v>
      </c>
      <c r="V25" s="168">
        <v>0</v>
      </c>
      <c r="W25" s="164">
        <v>1</v>
      </c>
      <c r="X25" s="169" t="str">
        <f t="shared" si="0"/>
        <v>/*ELI-818*/ 00001110 1;</v>
      </c>
    </row>
    <row r="26" spans="1:24" s="169" customFormat="1" x14ac:dyDescent="0.25">
      <c r="A26" s="164" t="s">
        <v>478</v>
      </c>
      <c r="B26" s="164" t="s">
        <v>488</v>
      </c>
      <c r="C26" s="168" t="s">
        <v>563</v>
      </c>
      <c r="D26" s="162">
        <v>0</v>
      </c>
      <c r="E26" s="162">
        <v>0</v>
      </c>
      <c r="F26" s="162">
        <v>0</v>
      </c>
      <c r="G26" s="162">
        <v>0</v>
      </c>
      <c r="H26" s="162">
        <v>0</v>
      </c>
      <c r="I26" s="162">
        <v>0</v>
      </c>
      <c r="J26" s="162">
        <v>0</v>
      </c>
      <c r="K26" s="162">
        <v>1</v>
      </c>
      <c r="L26" s="178">
        <v>1</v>
      </c>
      <c r="M26" s="162">
        <v>1</v>
      </c>
      <c r="N26" s="162">
        <v>0</v>
      </c>
      <c r="O26" s="162">
        <v>0</v>
      </c>
      <c r="P26" s="168">
        <v>1</v>
      </c>
      <c r="Q26" s="168">
        <v>1</v>
      </c>
      <c r="R26" s="168">
        <v>0</v>
      </c>
      <c r="S26" s="168">
        <v>1</v>
      </c>
      <c r="T26" s="168">
        <v>2015</v>
      </c>
      <c r="U26" s="168">
        <v>8</v>
      </c>
      <c r="V26" s="168">
        <v>0</v>
      </c>
      <c r="W26" s="164">
        <v>1</v>
      </c>
      <c r="X26" s="169" t="str">
        <f t="shared" si="0"/>
        <v>/*ELI-819*/ 00001110 1;</v>
      </c>
    </row>
    <row r="27" spans="1:24" s="169" customFormat="1" x14ac:dyDescent="0.25">
      <c r="A27" s="164" t="s">
        <v>478</v>
      </c>
      <c r="B27" s="164" t="s">
        <v>489</v>
      </c>
      <c r="C27" s="168" t="s">
        <v>564</v>
      </c>
      <c r="D27" s="162">
        <v>0</v>
      </c>
      <c r="E27" s="162">
        <v>0</v>
      </c>
      <c r="F27" s="162">
        <v>0</v>
      </c>
      <c r="G27" s="162">
        <v>0</v>
      </c>
      <c r="H27" s="162">
        <v>0</v>
      </c>
      <c r="I27" s="162">
        <v>0</v>
      </c>
      <c r="J27" s="162">
        <v>0</v>
      </c>
      <c r="K27" s="162">
        <v>1</v>
      </c>
      <c r="L27" s="178">
        <v>1</v>
      </c>
      <c r="M27" s="162">
        <v>1</v>
      </c>
      <c r="N27" s="162">
        <v>0</v>
      </c>
      <c r="O27" s="162">
        <v>0</v>
      </c>
      <c r="P27" s="168">
        <v>1</v>
      </c>
      <c r="Q27" s="168">
        <v>1</v>
      </c>
      <c r="R27" s="168">
        <v>0</v>
      </c>
      <c r="S27" s="168">
        <v>1</v>
      </c>
      <c r="T27" s="168">
        <v>2015</v>
      </c>
      <c r="U27" s="168">
        <v>8</v>
      </c>
      <c r="V27" s="168">
        <v>0</v>
      </c>
      <c r="W27" s="164">
        <v>1</v>
      </c>
      <c r="X27" s="169" t="str">
        <f t="shared" si="0"/>
        <v>/*ELI-820*/ 00001110 1;</v>
      </c>
    </row>
    <row r="28" spans="1:24" s="169" customFormat="1" x14ac:dyDescent="0.25">
      <c r="A28" s="164" t="s">
        <v>478</v>
      </c>
      <c r="B28" s="164" t="s">
        <v>598</v>
      </c>
      <c r="C28" s="168" t="s">
        <v>565</v>
      </c>
      <c r="D28" s="162">
        <v>0</v>
      </c>
      <c r="E28" s="162">
        <v>0</v>
      </c>
      <c r="F28" s="162">
        <v>0</v>
      </c>
      <c r="G28" s="162">
        <v>0</v>
      </c>
      <c r="H28" s="162">
        <v>0</v>
      </c>
      <c r="I28" s="162">
        <v>0</v>
      </c>
      <c r="J28" s="162">
        <v>1</v>
      </c>
      <c r="K28" s="162">
        <v>1</v>
      </c>
      <c r="L28" s="178">
        <v>1</v>
      </c>
      <c r="M28" s="162">
        <v>1</v>
      </c>
      <c r="N28" s="162">
        <v>0</v>
      </c>
      <c r="O28" s="162">
        <v>0</v>
      </c>
      <c r="P28" s="168">
        <v>1</v>
      </c>
      <c r="Q28" s="168">
        <v>0</v>
      </c>
      <c r="R28" s="168">
        <v>0</v>
      </c>
      <c r="S28" s="168">
        <v>1</v>
      </c>
      <c r="T28" s="168">
        <v>2015</v>
      </c>
      <c r="U28" s="168">
        <v>7</v>
      </c>
      <c r="V28" s="168">
        <v>0</v>
      </c>
      <c r="W28" s="164">
        <v>1</v>
      </c>
      <c r="X28" s="169" t="str">
        <f t="shared" si="0"/>
        <v>/*ELI-821*/ 00011110 1;</v>
      </c>
    </row>
    <row r="29" spans="1:24" s="169" customFormat="1" x14ac:dyDescent="0.25">
      <c r="A29" s="164" t="s">
        <v>478</v>
      </c>
      <c r="B29" s="164" t="s">
        <v>599</v>
      </c>
      <c r="C29" s="168" t="s">
        <v>566</v>
      </c>
      <c r="D29" s="162">
        <v>0</v>
      </c>
      <c r="E29" s="162">
        <v>0</v>
      </c>
      <c r="F29" s="162">
        <v>0</v>
      </c>
      <c r="G29" s="162">
        <v>0</v>
      </c>
      <c r="H29" s="162">
        <v>0</v>
      </c>
      <c r="I29" s="162">
        <v>0</v>
      </c>
      <c r="J29" s="162">
        <v>1</v>
      </c>
      <c r="K29" s="162">
        <v>1</v>
      </c>
      <c r="L29" s="178">
        <v>1</v>
      </c>
      <c r="M29" s="162">
        <v>1</v>
      </c>
      <c r="N29" s="162">
        <v>0</v>
      </c>
      <c r="O29" s="162">
        <v>0</v>
      </c>
      <c r="P29" s="168">
        <v>1</v>
      </c>
      <c r="Q29" s="168">
        <v>0</v>
      </c>
      <c r="R29" s="168">
        <v>0</v>
      </c>
      <c r="S29" s="168">
        <v>1</v>
      </c>
      <c r="T29" s="168">
        <v>2015</v>
      </c>
      <c r="U29" s="168">
        <v>7</v>
      </c>
      <c r="V29" s="168">
        <v>0</v>
      </c>
      <c r="W29" s="164">
        <v>1</v>
      </c>
      <c r="X29" s="169" t="str">
        <f t="shared" si="0"/>
        <v>/*ELI-822*/ 00011110 1;</v>
      </c>
    </row>
    <row r="30" spans="1:24" s="169" customFormat="1" x14ac:dyDescent="0.25">
      <c r="A30" s="173" t="s">
        <v>490</v>
      </c>
      <c r="B30" s="168" t="s">
        <v>23</v>
      </c>
      <c r="C30" s="168" t="s">
        <v>17</v>
      </c>
      <c r="D30" s="162">
        <v>0</v>
      </c>
      <c r="E30" s="186">
        <v>1</v>
      </c>
      <c r="F30" s="162">
        <v>0</v>
      </c>
      <c r="G30" s="178">
        <v>1</v>
      </c>
      <c r="H30" s="162">
        <v>0</v>
      </c>
      <c r="I30" s="178">
        <v>1</v>
      </c>
      <c r="J30" s="178">
        <v>1</v>
      </c>
      <c r="K30" s="162">
        <v>1</v>
      </c>
      <c r="L30" s="162">
        <v>1</v>
      </c>
      <c r="M30" s="162">
        <v>1</v>
      </c>
      <c r="N30" s="162">
        <v>1</v>
      </c>
      <c r="O30" s="162">
        <v>0</v>
      </c>
      <c r="P30" s="168">
        <f>VLOOKUP(C30,[1]allprides!$C$2:$X$170,14,FALSE)</f>
        <v>1</v>
      </c>
      <c r="Q30" s="168">
        <f>VLOOKUP(C30,[1]allprides!$C$2:$X$170,15,FALSE)</f>
        <v>0</v>
      </c>
      <c r="R30" s="168">
        <f>VLOOKUP(C30,[1]allprides!$C$2:$X$170,16,FALSE)</f>
        <v>0</v>
      </c>
      <c r="S30" s="168">
        <f>VLOOKUP(C30,[1]allprides!$C$2:$X$170,17,FALSE)</f>
        <v>1</v>
      </c>
      <c r="T30" s="168">
        <f>VLOOKUP(C30,[1]allprides!$C$2:$X$170,18,FALSE)</f>
        <v>2011</v>
      </c>
      <c r="U30" s="168">
        <f>VLOOKUP(C30,[1]allprides!$C$2:$X$170,19,FALSE)</f>
        <v>7</v>
      </c>
      <c r="V30" s="168">
        <f>VLOOKUP(C30,[1]allprides!$C$2:$X$170,20,FALSE)</f>
        <v>3</v>
      </c>
      <c r="W30" s="164">
        <v>1</v>
      </c>
      <c r="X30" s="169" t="str">
        <f t="shared" si="0"/>
        <v>/*ELI-414*/ 10111111 1;</v>
      </c>
    </row>
    <row r="31" spans="1:24" s="169" customFormat="1" x14ac:dyDescent="0.25">
      <c r="A31" s="173" t="s">
        <v>490</v>
      </c>
      <c r="B31" s="168" t="s">
        <v>27</v>
      </c>
      <c r="C31" s="168" t="s">
        <v>21</v>
      </c>
      <c r="D31" s="162">
        <v>0</v>
      </c>
      <c r="E31" s="186">
        <v>1</v>
      </c>
      <c r="F31" s="162">
        <v>0</v>
      </c>
      <c r="G31" s="178">
        <v>1</v>
      </c>
      <c r="H31" s="162">
        <v>0</v>
      </c>
      <c r="I31" s="186">
        <v>1</v>
      </c>
      <c r="J31" s="178">
        <v>1</v>
      </c>
      <c r="K31" s="162">
        <v>1</v>
      </c>
      <c r="L31" s="162">
        <v>0</v>
      </c>
      <c r="M31" s="162">
        <v>0</v>
      </c>
      <c r="N31" s="162">
        <v>0</v>
      </c>
      <c r="O31" s="162">
        <v>0</v>
      </c>
      <c r="P31" s="168">
        <f>VLOOKUP(C31,[1]allprides!$C$2:$X$170,14,FALSE)</f>
        <v>1</v>
      </c>
      <c r="Q31" s="168">
        <f>VLOOKUP(C31,[1]allprides!$C$2:$X$170,15,FALSE)</f>
        <v>0</v>
      </c>
      <c r="R31" s="168">
        <v>1</v>
      </c>
      <c r="S31" s="168">
        <f>VLOOKUP(C31,[1]allprides!$C$2:$X$170,17,FALSE)</f>
        <v>1</v>
      </c>
      <c r="T31" s="168">
        <f>VLOOKUP(C31,[1]allprides!$C$2:$X$170,18,FALSE)</f>
        <v>2012</v>
      </c>
      <c r="U31" s="168">
        <f>VLOOKUP(C31,[1]allprides!$C$2:$X$170,19,FALSE)</f>
        <v>6</v>
      </c>
      <c r="V31" s="168">
        <f>VLOOKUP(C31,[1]allprides!$C$2:$X$170,20,FALSE)</f>
        <v>4</v>
      </c>
      <c r="W31" s="164">
        <v>1</v>
      </c>
      <c r="X31" s="169" t="str">
        <f t="shared" si="0"/>
        <v>/*ELI-493*/ 10111000 1;</v>
      </c>
    </row>
    <row r="32" spans="1:24" s="169" customFormat="1" x14ac:dyDescent="0.25">
      <c r="A32" s="173" t="s">
        <v>490</v>
      </c>
      <c r="B32" s="168" t="s">
        <v>28</v>
      </c>
      <c r="C32" s="168" t="s">
        <v>22</v>
      </c>
      <c r="D32" s="162">
        <v>0</v>
      </c>
      <c r="E32" s="162">
        <v>0</v>
      </c>
      <c r="F32" s="162">
        <v>0</v>
      </c>
      <c r="G32" s="162">
        <v>0</v>
      </c>
      <c r="H32" s="162">
        <v>0</v>
      </c>
      <c r="I32" s="178">
        <v>1</v>
      </c>
      <c r="J32" s="162">
        <v>0</v>
      </c>
      <c r="K32" s="162">
        <v>1</v>
      </c>
      <c r="L32" s="162">
        <v>0</v>
      </c>
      <c r="M32" s="162">
        <v>0</v>
      </c>
      <c r="N32" s="162">
        <v>0</v>
      </c>
      <c r="O32" s="162">
        <v>0</v>
      </c>
      <c r="P32" s="168">
        <f>VLOOKUP(C32,[1]allprides!$C$2:$X$170,14,FALSE)</f>
        <v>1</v>
      </c>
      <c r="Q32" s="168">
        <f>VLOOKUP(C32,[1]allprides!$C$2:$X$170,15,FALSE)</f>
        <v>0</v>
      </c>
      <c r="R32" s="168">
        <v>0</v>
      </c>
      <c r="S32" s="168">
        <f>VLOOKUP(C32,[1]allprides!$C$2:$X$170,17,FALSE)</f>
        <v>1</v>
      </c>
      <c r="T32" s="168">
        <f>VLOOKUP(C32,[1]allprides!$C$2:$X$170,18,FALSE)</f>
        <v>2012</v>
      </c>
      <c r="U32" s="168">
        <v>6</v>
      </c>
      <c r="V32" s="168">
        <v>1</v>
      </c>
      <c r="W32" s="164">
        <v>1</v>
      </c>
      <c r="X32" s="169" t="str">
        <f t="shared" si="0"/>
        <v>/*ELI-494*/ 00101000 1;</v>
      </c>
    </row>
    <row r="33" spans="1:24" s="169" customFormat="1" x14ac:dyDescent="0.25">
      <c r="A33" s="173" t="s">
        <v>490</v>
      </c>
      <c r="B33" s="164" t="s">
        <v>83</v>
      </c>
      <c r="C33" s="168" t="s">
        <v>638</v>
      </c>
      <c r="D33" s="162">
        <v>0</v>
      </c>
      <c r="E33" s="162">
        <v>0</v>
      </c>
      <c r="F33" s="162">
        <v>0</v>
      </c>
      <c r="G33" s="162">
        <v>0</v>
      </c>
      <c r="H33" s="162">
        <v>0</v>
      </c>
      <c r="I33" s="162">
        <v>0</v>
      </c>
      <c r="J33" s="162">
        <v>0</v>
      </c>
      <c r="K33" s="162">
        <v>1</v>
      </c>
      <c r="L33" s="162">
        <v>0</v>
      </c>
      <c r="M33" s="162">
        <v>0</v>
      </c>
      <c r="N33" s="162">
        <v>0</v>
      </c>
      <c r="O33" s="162">
        <v>0</v>
      </c>
      <c r="P33" s="168">
        <f>VLOOKUP(C33,[1]allprides!$C$2:$X$170,14,FALSE)</f>
        <v>1</v>
      </c>
      <c r="Q33" s="168">
        <f>VLOOKUP(C33,[1]allprides!$C$2:$X$170,15,FALSE)</f>
        <v>0</v>
      </c>
      <c r="R33" s="168">
        <v>0</v>
      </c>
      <c r="S33" s="168">
        <f>VLOOKUP(C33,[1]allprides!$C$2:$X$170,17,FALSE)</f>
        <v>1</v>
      </c>
      <c r="T33" s="168">
        <v>2013</v>
      </c>
      <c r="U33" s="168">
        <v>4</v>
      </c>
      <c r="V33" s="168">
        <v>0</v>
      </c>
      <c r="W33" s="164">
        <v>1</v>
      </c>
      <c r="X33" s="169" t="str">
        <f t="shared" si="0"/>
        <v>/*ELI-598*/ 00001000 1;</v>
      </c>
    </row>
    <row r="34" spans="1:24" s="169" customFormat="1" x14ac:dyDescent="0.25">
      <c r="A34" s="173" t="s">
        <v>490</v>
      </c>
      <c r="B34" s="164" t="s">
        <v>84</v>
      </c>
      <c r="C34" s="168" t="s">
        <v>639</v>
      </c>
      <c r="D34" s="162">
        <v>0</v>
      </c>
      <c r="E34" s="162">
        <v>0</v>
      </c>
      <c r="F34" s="162">
        <v>0</v>
      </c>
      <c r="G34" s="162">
        <v>0</v>
      </c>
      <c r="H34" s="162">
        <v>0</v>
      </c>
      <c r="I34" s="162">
        <v>0</v>
      </c>
      <c r="J34" s="162">
        <v>0</v>
      </c>
      <c r="K34" s="162">
        <v>1</v>
      </c>
      <c r="L34" s="162">
        <v>0</v>
      </c>
      <c r="M34" s="162">
        <v>0</v>
      </c>
      <c r="N34" s="162">
        <v>0</v>
      </c>
      <c r="O34" s="162">
        <v>0</v>
      </c>
      <c r="P34" s="168">
        <f>VLOOKUP(C34,[1]allprides!$C$2:$X$170,14,FALSE)</f>
        <v>1</v>
      </c>
      <c r="Q34" s="168">
        <f>VLOOKUP(C34,[1]allprides!$C$2:$X$170,15,FALSE)</f>
        <v>0</v>
      </c>
      <c r="R34" s="168">
        <v>0</v>
      </c>
      <c r="S34" s="168">
        <f>VLOOKUP(C34,[1]allprides!$C$2:$X$170,17,FALSE)</f>
        <v>1</v>
      </c>
      <c r="T34" s="168">
        <v>2013</v>
      </c>
      <c r="U34" s="168">
        <v>4</v>
      </c>
      <c r="V34" s="168">
        <v>0</v>
      </c>
      <c r="W34" s="164">
        <v>1</v>
      </c>
      <c r="X34" s="169" t="str">
        <f t="shared" si="0"/>
        <v>/*ELI-599*/ 00001000 1;</v>
      </c>
    </row>
    <row r="35" spans="1:24" s="169" customFormat="1" x14ac:dyDescent="0.25">
      <c r="A35" s="173" t="s">
        <v>491</v>
      </c>
      <c r="B35" s="168" t="s">
        <v>89</v>
      </c>
      <c r="C35" s="168" t="s">
        <v>16</v>
      </c>
      <c r="D35" s="163">
        <v>0</v>
      </c>
      <c r="E35" s="163">
        <v>0</v>
      </c>
      <c r="F35" s="163">
        <v>0</v>
      </c>
      <c r="G35" s="162">
        <v>1</v>
      </c>
      <c r="H35" s="163">
        <v>0</v>
      </c>
      <c r="I35" s="163">
        <v>1</v>
      </c>
      <c r="J35" s="162">
        <v>1</v>
      </c>
      <c r="K35" s="162">
        <v>1</v>
      </c>
      <c r="L35" s="162">
        <v>1</v>
      </c>
      <c r="M35" s="187">
        <v>1</v>
      </c>
      <c r="N35" s="163">
        <v>1</v>
      </c>
      <c r="O35" s="163">
        <v>1</v>
      </c>
      <c r="P35" s="168">
        <f>VLOOKUP(C35,[1]allprides!$C$2:$X$170,14,FALSE)</f>
        <v>1</v>
      </c>
      <c r="Q35" s="168">
        <f>VLOOKUP(C35,[1]allprides!$C$2:$X$170,15,FALSE)</f>
        <v>0</v>
      </c>
      <c r="R35" s="168">
        <f>VLOOKUP(C35,[1]allprides!$C$2:$X$170,16,FALSE)</f>
        <v>0</v>
      </c>
      <c r="S35" s="168">
        <f>VLOOKUP(C35,[1]allprides!$C$2:$X$170,17,FALSE)</f>
        <v>1</v>
      </c>
      <c r="T35" s="168">
        <f>VLOOKUP(C35,[1]allprides!$C$2:$X$170,18,FALSE)</f>
        <v>2008</v>
      </c>
      <c r="U35" s="168">
        <f>VLOOKUP(C35,[1]allprides!$C$2:$X$170,19,FALSE)</f>
        <v>9</v>
      </c>
      <c r="V35" s="168">
        <f>VLOOKUP(C35,[1]allprides!$C$2:$X$170,20,FALSE)</f>
        <v>2</v>
      </c>
      <c r="W35" s="164">
        <v>1</v>
      </c>
      <c r="X35" s="169" t="str">
        <f t="shared" si="0"/>
        <v>/*ELI-235*/ 10111111 1;</v>
      </c>
    </row>
    <row r="36" spans="1:24" s="169" customFormat="1" x14ac:dyDescent="0.25">
      <c r="A36" s="173" t="s">
        <v>491</v>
      </c>
      <c r="B36" s="165" t="s">
        <v>493</v>
      </c>
      <c r="C36" s="168" t="s">
        <v>335</v>
      </c>
      <c r="D36" s="163">
        <v>0</v>
      </c>
      <c r="E36" s="163">
        <v>0</v>
      </c>
      <c r="F36" s="163">
        <v>0</v>
      </c>
      <c r="G36" s="162">
        <v>1</v>
      </c>
      <c r="H36" s="163">
        <v>0</v>
      </c>
      <c r="I36" s="163">
        <v>1</v>
      </c>
      <c r="J36" s="162">
        <v>1</v>
      </c>
      <c r="K36" s="162">
        <v>1</v>
      </c>
      <c r="L36" s="162">
        <v>1</v>
      </c>
      <c r="M36" s="163">
        <v>0</v>
      </c>
      <c r="N36" s="163">
        <v>1</v>
      </c>
      <c r="O36" s="184">
        <v>1</v>
      </c>
      <c r="P36" s="168">
        <f>VLOOKUP(C36,[1]allprides!$C$2:$X$170,14,FALSE)</f>
        <v>1</v>
      </c>
      <c r="Q36" s="168">
        <f>VLOOKUP(C36,[1]allprides!$C$2:$X$170,15,FALSE)</f>
        <v>1</v>
      </c>
      <c r="R36" s="168">
        <f>VLOOKUP(C36,[1]allprides!$C$2:$X$170,16,FALSE)</f>
        <v>0</v>
      </c>
      <c r="S36" s="168">
        <f>VLOOKUP(C36,[1]allprides!$C$2:$X$170,17,FALSE)</f>
        <v>1</v>
      </c>
      <c r="T36" s="168">
        <f>VLOOKUP(C36,[1]allprides!$C$2:$X$170,18,FALSE)</f>
        <v>2014</v>
      </c>
      <c r="U36" s="168">
        <f>VLOOKUP(C36,[1]allprides!$C$2:$X$170,19,FALSE)</f>
        <v>4</v>
      </c>
      <c r="V36" s="168">
        <f>VLOOKUP(C36,[1]allprides!$C$2:$X$170,20,FALSE)</f>
        <v>0</v>
      </c>
      <c r="W36" s="164">
        <v>1</v>
      </c>
      <c r="X36" s="169" t="str">
        <f t="shared" si="0"/>
        <v>/*ELI-604*/ 10111101 1;</v>
      </c>
    </row>
    <row r="37" spans="1:24" s="169" customFormat="1" x14ac:dyDescent="0.25">
      <c r="A37" s="173" t="s">
        <v>491</v>
      </c>
      <c r="B37" s="165" t="s">
        <v>492</v>
      </c>
      <c r="C37" s="168" t="s">
        <v>643</v>
      </c>
      <c r="D37" s="163">
        <v>0</v>
      </c>
      <c r="E37" s="163">
        <v>0</v>
      </c>
      <c r="F37" s="163">
        <v>0</v>
      </c>
      <c r="G37" s="162">
        <v>1</v>
      </c>
      <c r="H37" s="163">
        <v>0</v>
      </c>
      <c r="I37" s="163">
        <v>1</v>
      </c>
      <c r="J37" s="162">
        <v>1</v>
      </c>
      <c r="K37" s="162">
        <v>1</v>
      </c>
      <c r="L37" s="162">
        <v>1</v>
      </c>
      <c r="M37" s="163">
        <v>0</v>
      </c>
      <c r="N37" s="163">
        <v>1</v>
      </c>
      <c r="O37" s="184">
        <v>1</v>
      </c>
      <c r="P37" s="168">
        <f>VLOOKUP(C37,[1]allprides!$C$2:$X$170,14,FALSE)</f>
        <v>1</v>
      </c>
      <c r="Q37" s="168">
        <f>VLOOKUP(C37,[1]allprides!$C$2:$X$170,15,FALSE)</f>
        <v>0</v>
      </c>
      <c r="R37" s="168">
        <f>VLOOKUP(C37,[1]allprides!$C$2:$X$170,16,FALSE)</f>
        <v>1</v>
      </c>
      <c r="S37" s="168">
        <f>VLOOKUP(C37,[1]allprides!$C$2:$X$170,17,FALSE)</f>
        <v>1</v>
      </c>
      <c r="T37" s="168">
        <f>VLOOKUP(C37,[1]allprides!$C$2:$X$170,18,FALSE)</f>
        <v>2014</v>
      </c>
      <c r="U37" s="168">
        <f>VLOOKUP(C37,[1]allprides!$C$2:$X$170,19,FALSE)</f>
        <v>4</v>
      </c>
      <c r="V37" s="168">
        <f>VLOOKUP(C37,[1]allprides!$C$2:$X$170,20,FALSE)</f>
        <v>0</v>
      </c>
      <c r="W37" s="164">
        <v>1</v>
      </c>
      <c r="X37" s="169" t="str">
        <f t="shared" si="0"/>
        <v>/*ELI-606*/ 10111101 1;</v>
      </c>
    </row>
    <row r="38" spans="1:24" s="169" customFormat="1" x14ac:dyDescent="0.25">
      <c r="A38" s="164" t="s">
        <v>411</v>
      </c>
      <c r="B38" s="166" t="s">
        <v>412</v>
      </c>
      <c r="C38" s="168" t="s">
        <v>76</v>
      </c>
      <c r="D38" s="186">
        <v>1</v>
      </c>
      <c r="E38" s="162">
        <v>0</v>
      </c>
      <c r="F38" s="162">
        <v>0</v>
      </c>
      <c r="G38" s="162">
        <v>0</v>
      </c>
      <c r="H38" s="162">
        <v>1</v>
      </c>
      <c r="I38" s="186">
        <v>1</v>
      </c>
      <c r="J38" s="162">
        <v>1</v>
      </c>
      <c r="K38" s="162">
        <v>1</v>
      </c>
      <c r="L38" s="186">
        <v>1</v>
      </c>
      <c r="M38" s="162">
        <v>1</v>
      </c>
      <c r="N38" s="162">
        <v>0</v>
      </c>
      <c r="O38" s="162">
        <v>0</v>
      </c>
      <c r="P38" s="168">
        <f>VLOOKUP(C38,[1]allprides!$C$2:$X$170,14,FALSE)</f>
        <v>1</v>
      </c>
      <c r="Q38" s="168">
        <f>VLOOKUP(C38,[1]allprides!$C$2:$X$170,15,FALSE)</f>
        <v>0</v>
      </c>
      <c r="R38" s="168">
        <f>VLOOKUP(C38,[1]allprides!$C$2:$X$170,16,FALSE)</f>
        <v>0</v>
      </c>
      <c r="S38" s="168">
        <f>VLOOKUP(C38,[1]allprides!$C$2:$X$170,17,FALSE)</f>
        <v>1</v>
      </c>
      <c r="T38" s="168">
        <f>VLOOKUP(C38,[1]allprides!$C$2:$X$170,18,FALSE)</f>
        <v>2012</v>
      </c>
      <c r="U38" s="168">
        <f>VLOOKUP(C38,[1]allprides!$C$2:$X$170,19,FALSE)</f>
        <v>4</v>
      </c>
      <c r="V38" s="168">
        <f>VLOOKUP(C38,[1]allprides!$C$2:$X$170,20,FALSE)</f>
        <v>4</v>
      </c>
      <c r="W38" s="164">
        <v>1</v>
      </c>
      <c r="X38" s="169" t="str">
        <f t="shared" si="0"/>
        <v>/*ELI-143*/ 01111110 1;</v>
      </c>
    </row>
    <row r="39" spans="1:24" s="169" customFormat="1" x14ac:dyDescent="0.25">
      <c r="A39" s="164" t="s">
        <v>411</v>
      </c>
      <c r="B39" s="166" t="s">
        <v>413</v>
      </c>
      <c r="C39" s="168" t="s">
        <v>78</v>
      </c>
      <c r="D39" s="162">
        <v>0</v>
      </c>
      <c r="E39" s="162">
        <v>0</v>
      </c>
      <c r="F39" s="162">
        <v>0</v>
      </c>
      <c r="G39" s="162">
        <v>0</v>
      </c>
      <c r="H39" s="162">
        <v>1</v>
      </c>
      <c r="I39" s="162">
        <v>0</v>
      </c>
      <c r="J39" s="162">
        <v>1</v>
      </c>
      <c r="K39" s="178">
        <v>1</v>
      </c>
      <c r="L39" s="162">
        <v>0</v>
      </c>
      <c r="M39" s="162">
        <v>1</v>
      </c>
      <c r="N39" s="162">
        <v>0</v>
      </c>
      <c r="O39" s="162">
        <v>0</v>
      </c>
      <c r="P39" s="168">
        <f>VLOOKUP(C39,[1]allprides!$C$2:$X$170,14,FALSE)</f>
        <v>1</v>
      </c>
      <c r="Q39" s="168">
        <f>VLOOKUP(C39,[1]allprides!$C$2:$X$170,15,FALSE)</f>
        <v>0</v>
      </c>
      <c r="R39" s="168">
        <f>VLOOKUP(C39,[1]allprides!$C$2:$X$170,16,FALSE)</f>
        <v>0</v>
      </c>
      <c r="S39" s="168">
        <f>VLOOKUP(C39,[1]allprides!$C$2:$X$170,17,FALSE)</f>
        <v>1</v>
      </c>
      <c r="T39" s="168">
        <f>VLOOKUP(C39,[1]allprides!$C$2:$X$170,18,FALSE)</f>
        <v>2014</v>
      </c>
      <c r="U39" s="168">
        <f>VLOOKUP(C39,[1]allprides!$C$2:$X$170,19,FALSE)</f>
        <v>5</v>
      </c>
      <c r="V39" s="168">
        <f>VLOOKUP(C39,[1]allprides!$C$2:$X$170,20,FALSE)</f>
        <v>2</v>
      </c>
      <c r="W39" s="164">
        <v>1</v>
      </c>
      <c r="X39" s="169" t="str">
        <f t="shared" si="0"/>
        <v>/*ELI-496*/ 01011010 1;</v>
      </c>
    </row>
    <row r="40" spans="1:24" s="169" customFormat="1" x14ac:dyDescent="0.25">
      <c r="A40" s="164" t="s">
        <v>411</v>
      </c>
      <c r="B40" s="166" t="s">
        <v>414</v>
      </c>
      <c r="C40" s="168" t="s">
        <v>350</v>
      </c>
      <c r="D40" s="162">
        <v>0</v>
      </c>
      <c r="E40" s="162">
        <v>0</v>
      </c>
      <c r="F40" s="162">
        <v>0</v>
      </c>
      <c r="G40" s="162">
        <v>0</v>
      </c>
      <c r="H40" s="162">
        <v>1</v>
      </c>
      <c r="I40" s="162">
        <v>0</v>
      </c>
      <c r="J40" s="162">
        <v>1</v>
      </c>
      <c r="K40" s="178">
        <v>1</v>
      </c>
      <c r="L40" s="162">
        <v>0</v>
      </c>
      <c r="M40" s="162">
        <v>1</v>
      </c>
      <c r="N40" s="162">
        <v>0</v>
      </c>
      <c r="O40" s="162">
        <v>0</v>
      </c>
      <c r="P40" s="168">
        <f>VLOOKUP(C40,[1]allprides!$C$2:$X$170,14,FALSE)</f>
        <v>1</v>
      </c>
      <c r="Q40" s="168">
        <f>VLOOKUP(C40,[1]allprides!$C$2:$X$170,15,FALSE)</f>
        <v>0</v>
      </c>
      <c r="R40" s="168">
        <f>VLOOKUP(C40,[1]allprides!$C$2:$X$170,16,FALSE)</f>
        <v>0</v>
      </c>
      <c r="S40" s="168">
        <f>VLOOKUP(C40,[1]allprides!$C$2:$X$170,17,FALSE)</f>
        <v>1</v>
      </c>
      <c r="T40" s="168">
        <f>VLOOKUP(C40,[1]allprides!$C$2:$X$170,18,FALSE)</f>
        <v>2014</v>
      </c>
      <c r="U40" s="168">
        <f>VLOOKUP(C40,[1]allprides!$C$2:$X$170,19,FALSE)</f>
        <v>5</v>
      </c>
      <c r="V40" s="168">
        <f>VLOOKUP(C40,[1]allprides!$C$2:$X$170,20,FALSE)</f>
        <v>0</v>
      </c>
      <c r="W40" s="164">
        <v>1</v>
      </c>
      <c r="X40" s="169" t="str">
        <f t="shared" si="0"/>
        <v>/*ELI-703*/ 01011010 1;</v>
      </c>
    </row>
    <row r="41" spans="1:24" s="169" customFormat="1" x14ac:dyDescent="0.25">
      <c r="A41" s="164" t="s">
        <v>426</v>
      </c>
      <c r="B41" s="164" t="s">
        <v>427</v>
      </c>
      <c r="C41" s="164" t="s">
        <v>428</v>
      </c>
      <c r="D41" s="162">
        <v>0</v>
      </c>
      <c r="E41" s="162">
        <v>0</v>
      </c>
      <c r="F41" s="162">
        <v>0</v>
      </c>
      <c r="G41" s="162">
        <v>0</v>
      </c>
      <c r="H41" s="162">
        <v>0</v>
      </c>
      <c r="I41" s="162">
        <v>0</v>
      </c>
      <c r="J41" s="162">
        <v>1</v>
      </c>
      <c r="K41" s="162">
        <v>1</v>
      </c>
      <c r="L41" s="162">
        <v>0</v>
      </c>
      <c r="M41" s="162">
        <v>0</v>
      </c>
      <c r="N41" s="162">
        <v>0</v>
      </c>
      <c r="O41" s="162">
        <v>0</v>
      </c>
      <c r="P41" s="168">
        <f>VLOOKUP(C41,[1]allprides!$C$2:$X$170,14,FALSE)</f>
        <v>1</v>
      </c>
      <c r="Q41" s="168">
        <f>VLOOKUP(C41,[1]allprides!$C$2:$X$170,15,FALSE)</f>
        <v>0</v>
      </c>
      <c r="R41" s="168">
        <f>VLOOKUP(C41,[1]allprides!$C$2:$X$170,16,FALSE)</f>
        <v>0</v>
      </c>
      <c r="S41" s="168">
        <f>VLOOKUP(C41,[1]allprides!$C$2:$X$170,17,FALSE)</f>
        <v>1</v>
      </c>
      <c r="T41" s="168">
        <f>VLOOKUP(C41,[1]allprides!$C$2:$X$170,18,FALSE)</f>
        <v>2008</v>
      </c>
      <c r="U41" s="168">
        <f>VLOOKUP(C41,[1]allprides!$C$2:$X$170,19,FALSE)</f>
        <v>6</v>
      </c>
      <c r="V41" s="168">
        <f>VLOOKUP(C41,[1]allprides!$C$2:$X$170,20,FALSE)</f>
        <v>2</v>
      </c>
      <c r="W41" s="168">
        <v>0</v>
      </c>
      <c r="X41" s="169" t="str">
        <f t="shared" si="0"/>
        <v>/*ELI-262*/ 00011000 1;</v>
      </c>
    </row>
    <row r="42" spans="1:24" s="169" customFormat="1" x14ac:dyDescent="0.25">
      <c r="A42" s="164" t="s">
        <v>426</v>
      </c>
      <c r="B42" s="164" t="s">
        <v>429</v>
      </c>
      <c r="C42" s="164" t="s">
        <v>430</v>
      </c>
      <c r="D42" s="162">
        <v>0</v>
      </c>
      <c r="E42" s="162">
        <v>0</v>
      </c>
      <c r="F42" s="162">
        <v>0</v>
      </c>
      <c r="G42" s="162">
        <v>0</v>
      </c>
      <c r="H42" s="162">
        <v>0</v>
      </c>
      <c r="I42" s="162">
        <v>0</v>
      </c>
      <c r="J42" s="162">
        <v>1</v>
      </c>
      <c r="K42" s="162">
        <v>1</v>
      </c>
      <c r="L42" s="162">
        <v>0</v>
      </c>
      <c r="M42" s="162">
        <v>0</v>
      </c>
      <c r="N42" s="162">
        <v>0</v>
      </c>
      <c r="O42" s="162">
        <v>0</v>
      </c>
      <c r="P42" s="168">
        <f>VLOOKUP(C42,[1]allprides!$C$2:$X$170,14,FALSE)</f>
        <v>1</v>
      </c>
      <c r="Q42" s="168">
        <f>VLOOKUP(C42,[1]allprides!$C$2:$X$170,15,FALSE)</f>
        <v>1</v>
      </c>
      <c r="R42" s="168">
        <f>VLOOKUP(C42,[1]allprides!$C$2:$X$170,16,FALSE)</f>
        <v>0</v>
      </c>
      <c r="S42" s="168">
        <f>VLOOKUP(C42,[1]allprides!$C$2:$X$170,17,FALSE)</f>
        <v>1</v>
      </c>
      <c r="T42" s="168">
        <f>VLOOKUP(C42,[1]allprides!$C$2:$X$170,18,FALSE)</f>
        <v>2014</v>
      </c>
      <c r="U42" s="168">
        <f>VLOOKUP(C42,[1]allprides!$C$2:$X$170,19,FALSE)</f>
        <v>6</v>
      </c>
      <c r="V42" s="168">
        <f>VLOOKUP(C42,[1]allprides!$C$2:$X$170,20,FALSE)</f>
        <v>0</v>
      </c>
      <c r="W42" s="168">
        <v>0</v>
      </c>
      <c r="X42" s="169" t="str">
        <f t="shared" si="0"/>
        <v>/*ELI-752*/ 00011000 1;</v>
      </c>
    </row>
    <row r="43" spans="1:24" s="169" customFormat="1" x14ac:dyDescent="0.25">
      <c r="A43" s="164" t="s">
        <v>426</v>
      </c>
      <c r="B43" s="164" t="s">
        <v>431</v>
      </c>
      <c r="C43" s="164" t="s">
        <v>432</v>
      </c>
      <c r="D43" s="162">
        <v>0</v>
      </c>
      <c r="E43" s="162">
        <v>0</v>
      </c>
      <c r="F43" s="162">
        <v>0</v>
      </c>
      <c r="G43" s="162">
        <v>0</v>
      </c>
      <c r="H43" s="162">
        <v>0</v>
      </c>
      <c r="I43" s="162">
        <v>0</v>
      </c>
      <c r="J43" s="162">
        <v>1</v>
      </c>
      <c r="K43" s="162">
        <v>1</v>
      </c>
      <c r="L43" s="162">
        <v>0</v>
      </c>
      <c r="M43" s="162">
        <v>0</v>
      </c>
      <c r="N43" s="162">
        <v>0</v>
      </c>
      <c r="O43" s="162">
        <v>0</v>
      </c>
      <c r="P43" s="168">
        <f>VLOOKUP(C43,[1]allprides!$C$2:$X$170,14,FALSE)</f>
        <v>1</v>
      </c>
      <c r="Q43" s="168">
        <f>VLOOKUP(C43,[1]allprides!$C$2:$X$170,15,FALSE)</f>
        <v>0</v>
      </c>
      <c r="R43" s="168">
        <f>VLOOKUP(C43,[1]allprides!$C$2:$X$170,16,FALSE)</f>
        <v>0</v>
      </c>
      <c r="S43" s="168">
        <f>VLOOKUP(C43,[1]allprides!$C$2:$X$170,17,FALSE)</f>
        <v>1</v>
      </c>
      <c r="T43" s="168">
        <f>VLOOKUP(C43,[1]allprides!$C$2:$X$170,18,FALSE)</f>
        <v>2014</v>
      </c>
      <c r="U43" s="168">
        <f>VLOOKUP(C43,[1]allprides!$C$2:$X$170,19,FALSE)</f>
        <v>6</v>
      </c>
      <c r="V43" s="168">
        <f>VLOOKUP(C43,[1]allprides!$C$2:$X$170,20,FALSE)</f>
        <v>0</v>
      </c>
      <c r="W43" s="168">
        <v>0</v>
      </c>
      <c r="X43" s="169" t="str">
        <f t="shared" si="0"/>
        <v>/*ELI-753*/ 00011000 1;</v>
      </c>
    </row>
    <row r="44" spans="1:24" s="179" customFormat="1" x14ac:dyDescent="0.25">
      <c r="A44" s="176" t="s">
        <v>426</v>
      </c>
      <c r="B44" s="176"/>
      <c r="C44" s="176" t="s">
        <v>650</v>
      </c>
      <c r="D44" s="178">
        <v>0</v>
      </c>
      <c r="E44" s="178">
        <v>0</v>
      </c>
      <c r="F44" s="178">
        <v>0</v>
      </c>
      <c r="G44" s="178">
        <v>0</v>
      </c>
      <c r="H44" s="178">
        <v>0</v>
      </c>
      <c r="I44" s="178">
        <v>0</v>
      </c>
      <c r="J44" s="178">
        <v>0</v>
      </c>
      <c r="K44" s="178">
        <v>1</v>
      </c>
      <c r="L44" s="178">
        <v>0</v>
      </c>
      <c r="M44" s="178">
        <v>0</v>
      </c>
      <c r="N44" s="178">
        <v>0</v>
      </c>
      <c r="O44" s="178">
        <v>0</v>
      </c>
      <c r="P44" s="178">
        <v>0</v>
      </c>
      <c r="Q44" s="178">
        <v>0</v>
      </c>
      <c r="R44" s="178">
        <v>0</v>
      </c>
      <c r="S44" s="177">
        <v>1</v>
      </c>
      <c r="T44" s="177">
        <f>VLOOKUP(C44,[1]allprides!$C$2:$X$170,18,FALSE)</f>
        <v>2014</v>
      </c>
      <c r="U44" s="177">
        <v>6</v>
      </c>
      <c r="V44" s="177">
        <v>0</v>
      </c>
      <c r="W44" s="177">
        <v>0</v>
      </c>
    </row>
    <row r="45" spans="1:24" s="179" customFormat="1" x14ac:dyDescent="0.25">
      <c r="A45" s="176" t="s">
        <v>426</v>
      </c>
      <c r="B45" s="176"/>
      <c r="C45" s="176" t="s">
        <v>651</v>
      </c>
      <c r="D45" s="178">
        <v>0</v>
      </c>
      <c r="E45" s="178">
        <v>0</v>
      </c>
      <c r="F45" s="178">
        <v>0</v>
      </c>
      <c r="G45" s="178">
        <v>0</v>
      </c>
      <c r="H45" s="178">
        <v>0</v>
      </c>
      <c r="I45" s="178">
        <v>0</v>
      </c>
      <c r="J45" s="178">
        <v>0</v>
      </c>
      <c r="K45" s="178">
        <v>1</v>
      </c>
      <c r="L45" s="178">
        <v>0</v>
      </c>
      <c r="M45" s="178">
        <v>0</v>
      </c>
      <c r="N45" s="178">
        <v>0</v>
      </c>
      <c r="O45" s="178">
        <v>0</v>
      </c>
      <c r="P45" s="178">
        <v>1</v>
      </c>
      <c r="Q45" s="178">
        <v>0</v>
      </c>
      <c r="R45" s="178">
        <v>0</v>
      </c>
      <c r="S45" s="177">
        <v>1</v>
      </c>
      <c r="T45" s="177">
        <v>2008</v>
      </c>
      <c r="U45" s="177">
        <v>6</v>
      </c>
      <c r="V45" s="177">
        <v>1</v>
      </c>
      <c r="W45" s="177">
        <v>0</v>
      </c>
    </row>
    <row r="46" spans="1:24" s="169" customFormat="1" x14ac:dyDescent="0.25">
      <c r="A46" s="164" t="s">
        <v>494</v>
      </c>
      <c r="B46" s="168" t="s">
        <v>98</v>
      </c>
      <c r="C46" s="168" t="s">
        <v>99</v>
      </c>
      <c r="D46" s="162">
        <v>0</v>
      </c>
      <c r="E46" s="162">
        <v>0</v>
      </c>
      <c r="F46" s="162">
        <v>0</v>
      </c>
      <c r="G46" s="162">
        <v>0</v>
      </c>
      <c r="H46" s="162">
        <v>0</v>
      </c>
      <c r="I46" s="162">
        <v>0</v>
      </c>
      <c r="J46" s="162">
        <v>1</v>
      </c>
      <c r="K46" s="162">
        <v>0</v>
      </c>
      <c r="L46" s="162">
        <v>1</v>
      </c>
      <c r="M46" s="162">
        <v>0</v>
      </c>
      <c r="N46" s="162">
        <v>1</v>
      </c>
      <c r="O46" s="163">
        <v>0</v>
      </c>
      <c r="P46" s="168">
        <f>VLOOKUP(C46,[1]allprides!$C$2:$X$170,14,FALSE)</f>
        <v>1</v>
      </c>
      <c r="Q46" s="168">
        <f>VLOOKUP(C46,[1]allprides!$C$2:$X$170,15,FALSE)</f>
        <v>0</v>
      </c>
      <c r="R46" s="168">
        <f>VLOOKUP(C46,[1]allprides!$C$2:$X$170,16,FALSE)</f>
        <v>0</v>
      </c>
      <c r="S46" s="168">
        <f>VLOOKUP(C46,[1]allprides!$C$2:$X$170,17,FALSE)</f>
        <v>1</v>
      </c>
      <c r="T46" s="168">
        <f>VLOOKUP(C46,[1]allprides!$C$2:$X$170,18,FALSE)</f>
        <v>2008</v>
      </c>
      <c r="U46" s="168">
        <f>VLOOKUP(C46,[1]allprides!$C$2:$X$170,19,FALSE)</f>
        <v>8</v>
      </c>
      <c r="V46" s="168">
        <f>VLOOKUP(C46,[1]allprides!$C$2:$X$170,20,FALSE)</f>
        <v>2</v>
      </c>
      <c r="W46" s="168">
        <v>1</v>
      </c>
      <c r="X46" s="169" t="str">
        <f t="shared" si="0"/>
        <v>/*ELI-173*/ 00010101 1;</v>
      </c>
    </row>
    <row r="47" spans="1:24" s="169" customFormat="1" x14ac:dyDescent="0.25">
      <c r="A47" s="164" t="s">
        <v>494</v>
      </c>
      <c r="B47" s="168" t="s">
        <v>100</v>
      </c>
      <c r="C47" s="168" t="s">
        <v>101</v>
      </c>
      <c r="D47" s="162">
        <v>0</v>
      </c>
      <c r="E47" s="162">
        <v>0</v>
      </c>
      <c r="F47" s="162">
        <v>0</v>
      </c>
      <c r="G47" s="162">
        <v>0</v>
      </c>
      <c r="H47" s="162">
        <v>0</v>
      </c>
      <c r="I47" s="162">
        <v>0</v>
      </c>
      <c r="J47" s="162">
        <v>0</v>
      </c>
      <c r="K47" s="162">
        <v>0</v>
      </c>
      <c r="L47" s="162">
        <v>0</v>
      </c>
      <c r="M47" s="162">
        <v>0</v>
      </c>
      <c r="N47" s="163">
        <v>0</v>
      </c>
      <c r="O47" s="163">
        <v>0</v>
      </c>
      <c r="P47" s="168">
        <f>VLOOKUP(C47,[1]allprides!$C$2:$X$170,14,FALSE)</f>
        <v>1</v>
      </c>
      <c r="Q47" s="168">
        <f>VLOOKUP(C47,[1]allprides!$C$2:$X$170,15,FALSE)</f>
        <v>0</v>
      </c>
      <c r="R47" s="168">
        <f>VLOOKUP(C47,[1]allprides!$C$2:$X$170,16,FALSE)</f>
        <v>0</v>
      </c>
      <c r="S47" s="168">
        <f>VLOOKUP(C47,[1]allprides!$C$2:$X$170,17,FALSE)</f>
        <v>1</v>
      </c>
      <c r="T47" s="168">
        <f>VLOOKUP(C47,[1]allprides!$C$2:$X$170,18,FALSE)</f>
        <v>2008</v>
      </c>
      <c r="U47" s="168">
        <f>VLOOKUP(C47,[1]allprides!$C$2:$X$170,19,FALSE)</f>
        <v>8</v>
      </c>
      <c r="V47" s="168">
        <f>VLOOKUP(C47,[1]allprides!$C$2:$X$170,20,FALSE)</f>
        <v>6</v>
      </c>
      <c r="W47" s="168">
        <v>1</v>
      </c>
      <c r="X47" s="169" t="str">
        <f t="shared" si="0"/>
        <v>/*ELI-174*/ 00000000 1;</v>
      </c>
    </row>
    <row r="48" spans="1:24" s="169" customFormat="1" x14ac:dyDescent="0.25">
      <c r="A48" s="164" t="s">
        <v>494</v>
      </c>
      <c r="B48" s="168" t="s">
        <v>102</v>
      </c>
      <c r="C48" s="168" t="s">
        <v>103</v>
      </c>
      <c r="D48" s="162">
        <v>0</v>
      </c>
      <c r="E48" s="162">
        <v>0</v>
      </c>
      <c r="F48" s="162">
        <v>0</v>
      </c>
      <c r="G48" s="162">
        <v>0</v>
      </c>
      <c r="H48" s="162">
        <v>0</v>
      </c>
      <c r="I48" s="162">
        <v>0</v>
      </c>
      <c r="J48" s="162">
        <v>1</v>
      </c>
      <c r="K48" s="162">
        <v>0</v>
      </c>
      <c r="L48" s="162">
        <v>1</v>
      </c>
      <c r="M48" s="162">
        <v>0</v>
      </c>
      <c r="N48" s="162">
        <v>1</v>
      </c>
      <c r="O48" s="163">
        <v>0</v>
      </c>
      <c r="P48" s="168">
        <f>VLOOKUP(C48,[1]allprides!$C$2:$X$170,14,FALSE)</f>
        <v>1</v>
      </c>
      <c r="Q48" s="168">
        <f>VLOOKUP(C48,[1]allprides!$C$2:$X$170,15,FALSE)</f>
        <v>0</v>
      </c>
      <c r="R48" s="168">
        <f>VLOOKUP(C48,[1]allprides!$C$2:$X$170,16,FALSE)</f>
        <v>0</v>
      </c>
      <c r="S48" s="168">
        <f>VLOOKUP(C48,[1]allprides!$C$2:$X$170,17,FALSE)</f>
        <v>1</v>
      </c>
      <c r="T48" s="168">
        <f>VLOOKUP(C48,[1]allprides!$C$2:$X$170,18,FALSE)</f>
        <v>2009</v>
      </c>
      <c r="U48" s="168">
        <f>VLOOKUP(C48,[1]allprides!$C$2:$X$170,19,FALSE)</f>
        <v>8</v>
      </c>
      <c r="V48" s="168">
        <f>VLOOKUP(C48,[1]allprides!$C$2:$X$170,20,FALSE)</f>
        <v>3</v>
      </c>
      <c r="W48" s="168">
        <v>1</v>
      </c>
      <c r="X48" s="169" t="str">
        <f t="shared" si="0"/>
        <v>/*ELI-247*/ 00010101 1;</v>
      </c>
    </row>
    <row r="49" spans="1:24" s="169" customFormat="1" x14ac:dyDescent="0.25">
      <c r="A49" s="164" t="s">
        <v>494</v>
      </c>
      <c r="B49" s="168" t="s">
        <v>104</v>
      </c>
      <c r="C49" s="168" t="s">
        <v>105</v>
      </c>
      <c r="D49" s="162">
        <v>0</v>
      </c>
      <c r="E49" s="162">
        <v>0</v>
      </c>
      <c r="F49" s="186">
        <v>1</v>
      </c>
      <c r="G49" s="186">
        <v>1</v>
      </c>
      <c r="H49" s="162">
        <v>0</v>
      </c>
      <c r="I49" s="162">
        <v>1</v>
      </c>
      <c r="J49" s="162">
        <v>1</v>
      </c>
      <c r="K49" s="162">
        <v>0</v>
      </c>
      <c r="L49" s="162">
        <v>1</v>
      </c>
      <c r="M49" s="162">
        <v>1</v>
      </c>
      <c r="N49" s="162">
        <v>1</v>
      </c>
      <c r="O49" s="163">
        <v>0</v>
      </c>
      <c r="P49" s="168">
        <f>VLOOKUP(C49,[1]allprides!$C$2:$X$170,14,FALSE)</f>
        <v>1</v>
      </c>
      <c r="Q49" s="168">
        <f>VLOOKUP(C49,[1]allprides!$C$2:$X$170,15,FALSE)</f>
        <v>0</v>
      </c>
      <c r="R49" s="168">
        <f>VLOOKUP(C49,[1]allprides!$C$2:$X$170,16,FALSE)</f>
        <v>0</v>
      </c>
      <c r="S49" s="168">
        <f>VLOOKUP(C49,[1]allprides!$C$2:$X$170,17,FALSE)</f>
        <v>1</v>
      </c>
      <c r="T49" s="168">
        <f>VLOOKUP(C49,[1]allprides!$C$2:$X$170,18,FALSE)</f>
        <v>2009</v>
      </c>
      <c r="U49" s="168">
        <f>VLOOKUP(C49,[1]allprides!$C$2:$X$170,19,FALSE)</f>
        <v>11</v>
      </c>
      <c r="V49" s="168">
        <f>VLOOKUP(C49,[1]allprides!$C$2:$X$170,20,FALSE)</f>
        <v>3</v>
      </c>
      <c r="W49" s="168">
        <v>1</v>
      </c>
      <c r="X49" s="169" t="str">
        <f t="shared" si="0"/>
        <v>/*ELI-248*/ 10110111 1;</v>
      </c>
    </row>
    <row r="50" spans="1:24" s="169" customFormat="1" x14ac:dyDescent="0.25">
      <c r="A50" s="164" t="s">
        <v>494</v>
      </c>
      <c r="B50" s="168" t="s">
        <v>108</v>
      </c>
      <c r="C50" s="168" t="s">
        <v>109</v>
      </c>
      <c r="D50" s="162">
        <v>0</v>
      </c>
      <c r="E50" s="162">
        <v>0</v>
      </c>
      <c r="F50" s="162">
        <v>0</v>
      </c>
      <c r="G50" s="162">
        <v>0</v>
      </c>
      <c r="H50" s="162">
        <v>0</v>
      </c>
      <c r="I50" s="162">
        <v>0</v>
      </c>
      <c r="J50" s="162">
        <v>0</v>
      </c>
      <c r="K50" s="162">
        <v>1</v>
      </c>
      <c r="L50" s="162">
        <v>1</v>
      </c>
      <c r="M50" s="162">
        <v>1</v>
      </c>
      <c r="N50" s="162">
        <v>1</v>
      </c>
      <c r="O50" s="163">
        <v>0</v>
      </c>
      <c r="P50" s="168">
        <f>VLOOKUP(C50,[1]allprides!$C$2:$X$170,14,FALSE)</f>
        <v>1</v>
      </c>
      <c r="Q50" s="168">
        <f>VLOOKUP(C50,[1]allprides!$C$2:$X$170,15,FALSE)</f>
        <v>0</v>
      </c>
      <c r="R50" s="168">
        <f>VLOOKUP(C50,[1]allprides!$C$2:$X$170,16,FALSE)</f>
        <v>0</v>
      </c>
      <c r="S50" s="168">
        <f>VLOOKUP(C50,[1]allprides!$C$2:$X$170,17,FALSE)</f>
        <v>1</v>
      </c>
      <c r="T50" s="168">
        <f>VLOOKUP(C50,[1]allprides!$C$2:$X$170,18,FALSE)</f>
        <v>2009</v>
      </c>
      <c r="U50" s="168">
        <f>VLOOKUP(C50,[1]allprides!$C$2:$X$170,19,FALSE)</f>
        <v>7</v>
      </c>
      <c r="V50" s="168">
        <f>VLOOKUP(C50,[1]allprides!$C$2:$X$170,20,FALSE)</f>
        <v>6</v>
      </c>
      <c r="W50" s="168">
        <v>1</v>
      </c>
      <c r="X50" s="169" t="str">
        <f t="shared" si="0"/>
        <v>/*ELI-250*/ 00001111 1;</v>
      </c>
    </row>
    <row r="51" spans="1:24" s="169" customFormat="1" x14ac:dyDescent="0.25">
      <c r="A51" s="164" t="s">
        <v>494</v>
      </c>
      <c r="B51" s="168" t="s">
        <v>110</v>
      </c>
      <c r="C51" s="168" t="s">
        <v>111</v>
      </c>
      <c r="D51" s="162">
        <v>0</v>
      </c>
      <c r="E51" s="162">
        <v>0</v>
      </c>
      <c r="F51" s="162">
        <v>0</v>
      </c>
      <c r="G51" s="162">
        <v>0</v>
      </c>
      <c r="H51" s="162">
        <v>0</v>
      </c>
      <c r="I51" s="162">
        <v>1</v>
      </c>
      <c r="J51" s="162">
        <v>1</v>
      </c>
      <c r="K51" s="162">
        <v>0</v>
      </c>
      <c r="L51" s="162">
        <v>1</v>
      </c>
      <c r="M51" s="162">
        <v>1</v>
      </c>
      <c r="N51" s="162">
        <v>1</v>
      </c>
      <c r="O51" s="163">
        <v>0</v>
      </c>
      <c r="P51" s="168">
        <f>VLOOKUP(C51,[1]allprides!$C$2:$X$170,14,FALSE)</f>
        <v>1</v>
      </c>
      <c r="Q51" s="168">
        <f>VLOOKUP(C51,[1]allprides!$C$2:$X$170,15,FALSE)</f>
        <v>0</v>
      </c>
      <c r="R51" s="168">
        <f>VLOOKUP(C51,[1]allprides!$C$2:$X$170,16,FALSE)</f>
        <v>0</v>
      </c>
      <c r="S51" s="168">
        <f>VLOOKUP(C51,[1]allprides!$C$2:$X$170,17,FALSE)</f>
        <v>1</v>
      </c>
      <c r="T51" s="168">
        <f>VLOOKUP(C51,[1]allprides!$C$2:$X$170,18,FALSE)</f>
        <v>2011</v>
      </c>
      <c r="U51" s="168">
        <f>VLOOKUP(C51,[1]allprides!$C$2:$X$170,19,FALSE)</f>
        <v>10</v>
      </c>
      <c r="V51" s="168">
        <f>VLOOKUP(C51,[1]allprides!$C$2:$X$170,20,FALSE)</f>
        <v>7</v>
      </c>
      <c r="W51" s="168">
        <v>1</v>
      </c>
      <c r="X51" s="169" t="str">
        <f t="shared" si="0"/>
        <v>/*ELI-462*/ 00110111 1;</v>
      </c>
    </row>
    <row r="52" spans="1:24" s="169" customFormat="1" x14ac:dyDescent="0.25">
      <c r="A52" s="164" t="s">
        <v>494</v>
      </c>
      <c r="B52" s="168" t="s">
        <v>112</v>
      </c>
      <c r="C52" s="168" t="s">
        <v>113</v>
      </c>
      <c r="D52" s="162">
        <v>0</v>
      </c>
      <c r="E52" s="162">
        <v>0</v>
      </c>
      <c r="F52" s="162">
        <v>0</v>
      </c>
      <c r="G52" s="162">
        <v>0</v>
      </c>
      <c r="H52" s="162">
        <v>0</v>
      </c>
      <c r="I52" s="162">
        <v>0</v>
      </c>
      <c r="J52" s="162">
        <v>1</v>
      </c>
      <c r="K52" s="162">
        <v>1</v>
      </c>
      <c r="L52" s="162">
        <v>1</v>
      </c>
      <c r="M52" s="162">
        <v>0</v>
      </c>
      <c r="N52" s="163">
        <v>0</v>
      </c>
      <c r="O52" s="163">
        <v>0</v>
      </c>
      <c r="P52" s="168">
        <f>VLOOKUP(C52,[1]allprides!$C$2:$X$170,14,FALSE)</f>
        <v>1</v>
      </c>
      <c r="Q52" s="168">
        <f>VLOOKUP(C52,[1]allprides!$C$2:$X$170,15,FALSE)</f>
        <v>0</v>
      </c>
      <c r="R52" s="168">
        <f>VLOOKUP(C52,[1]allprides!$C$2:$X$170,16,FALSE)</f>
        <v>0</v>
      </c>
      <c r="S52" s="168">
        <f>VLOOKUP(C52,[1]allprides!$C$2:$X$170,17,FALSE)</f>
        <v>1</v>
      </c>
      <c r="T52" s="168">
        <f>VLOOKUP(C52,[1]allprides!$C$2:$X$170,18,FALSE)</f>
        <v>2010</v>
      </c>
      <c r="U52" s="168">
        <f>VLOOKUP(C52,[1]allprides!$C$2:$X$170,19,FALSE)</f>
        <v>10</v>
      </c>
      <c r="V52" s="168">
        <f>VLOOKUP(C52,[1]allprides!$C$2:$X$170,20,FALSE)</f>
        <v>0</v>
      </c>
      <c r="W52" s="168">
        <v>1</v>
      </c>
      <c r="X52" s="169" t="str">
        <f t="shared" si="0"/>
        <v>/*ELI-378*/ 00011100 1;</v>
      </c>
    </row>
    <row r="53" spans="1:24" s="169" customFormat="1" x14ac:dyDescent="0.25">
      <c r="A53" s="164" t="s">
        <v>494</v>
      </c>
      <c r="B53" s="168" t="s">
        <v>114</v>
      </c>
      <c r="C53" s="168" t="s">
        <v>115</v>
      </c>
      <c r="D53" s="162">
        <v>0</v>
      </c>
      <c r="E53" s="162">
        <v>0</v>
      </c>
      <c r="F53" s="162">
        <v>0</v>
      </c>
      <c r="G53" s="162">
        <v>0</v>
      </c>
      <c r="H53" s="162">
        <v>0</v>
      </c>
      <c r="I53" s="162">
        <v>1</v>
      </c>
      <c r="J53" s="162">
        <v>1</v>
      </c>
      <c r="K53" s="162">
        <v>0</v>
      </c>
      <c r="L53" s="162">
        <v>1</v>
      </c>
      <c r="M53" s="162">
        <v>1</v>
      </c>
      <c r="N53" s="163">
        <v>1</v>
      </c>
      <c r="O53" s="163">
        <v>0</v>
      </c>
      <c r="P53" s="168">
        <f>VLOOKUP(C53,[1]allprides!$C$2:$X$170,14,FALSE)</f>
        <v>1</v>
      </c>
      <c r="Q53" s="168">
        <f>VLOOKUP(C53,[1]allprides!$C$2:$X$170,15,FALSE)</f>
        <v>0</v>
      </c>
      <c r="R53" s="168">
        <f>VLOOKUP(C53,[1]allprides!$C$2:$X$170,16,FALSE)</f>
        <v>0</v>
      </c>
      <c r="S53" s="168">
        <f>VLOOKUP(C53,[1]allprides!$C$2:$X$170,17,FALSE)</f>
        <v>1</v>
      </c>
      <c r="T53" s="168">
        <f>VLOOKUP(C53,[1]allprides!$C$2:$X$170,18,FALSE)</f>
        <v>2012</v>
      </c>
      <c r="U53" s="168">
        <f>VLOOKUP(C53,[1]allprides!$C$2:$X$170,19,FALSE)</f>
        <v>9</v>
      </c>
      <c r="V53" s="168">
        <f>VLOOKUP(C53,[1]allprides!$C$2:$X$170,20,FALSE)</f>
        <v>0</v>
      </c>
      <c r="W53" s="168">
        <v>1</v>
      </c>
      <c r="X53" s="169" t="str">
        <f t="shared" si="0"/>
        <v>/*ELI-463*/ 00110111 1;</v>
      </c>
    </row>
    <row r="54" spans="1:24" s="169" customFormat="1" x14ac:dyDescent="0.25">
      <c r="A54" s="164" t="s">
        <v>494</v>
      </c>
      <c r="B54" s="164" t="s">
        <v>495</v>
      </c>
      <c r="C54" s="168" t="s">
        <v>342</v>
      </c>
      <c r="D54" s="162">
        <v>0</v>
      </c>
      <c r="E54" s="162">
        <v>0</v>
      </c>
      <c r="F54" s="162">
        <v>0</v>
      </c>
      <c r="G54" s="162">
        <v>0</v>
      </c>
      <c r="H54" s="162">
        <v>0</v>
      </c>
      <c r="I54" s="162">
        <v>0</v>
      </c>
      <c r="J54" s="162">
        <v>1</v>
      </c>
      <c r="K54" s="162">
        <v>0</v>
      </c>
      <c r="L54" s="162">
        <v>1</v>
      </c>
      <c r="M54" s="162">
        <v>0</v>
      </c>
      <c r="N54" s="162">
        <v>1</v>
      </c>
      <c r="O54" s="163">
        <v>0</v>
      </c>
      <c r="P54" s="168">
        <f>VLOOKUP(C54,[1]allprides!$C$2:$X$170,14,FALSE)</f>
        <v>1</v>
      </c>
      <c r="Q54" s="168">
        <f>VLOOKUP(C54,[1]allprides!$C$2:$X$170,15,FALSE)</f>
        <v>0</v>
      </c>
      <c r="R54" s="168">
        <f>VLOOKUP(C54,[1]allprides!$C$2:$X$170,16,FALSE)</f>
        <v>0</v>
      </c>
      <c r="S54" s="168">
        <f>VLOOKUP(C54,[1]allprides!$C$2:$X$170,17,FALSE)</f>
        <v>1</v>
      </c>
      <c r="T54" s="168">
        <f>VLOOKUP(C54,[1]allprides!$C$2:$X$170,18,FALSE)</f>
        <v>2013</v>
      </c>
      <c r="U54" s="168">
        <f>VLOOKUP(C54,[1]allprides!$C$2:$X$170,19,FALSE)</f>
        <v>5</v>
      </c>
      <c r="V54" s="168">
        <f>VLOOKUP(C54,[1]allprides!$C$2:$X$170,20,FALSE)</f>
        <v>0</v>
      </c>
      <c r="W54" s="168">
        <v>1</v>
      </c>
      <c r="X54" s="169" t="str">
        <f t="shared" si="0"/>
        <v>/*ELI-589*/ 00010101 1;</v>
      </c>
    </row>
    <row r="55" spans="1:24" s="169" customFormat="1" x14ac:dyDescent="0.25">
      <c r="A55" s="164" t="s">
        <v>494</v>
      </c>
      <c r="B55" s="164" t="s">
        <v>496</v>
      </c>
      <c r="C55" s="168" t="s">
        <v>336</v>
      </c>
      <c r="D55" s="162">
        <v>0</v>
      </c>
      <c r="E55" s="162">
        <v>0</v>
      </c>
      <c r="F55" s="162">
        <v>0</v>
      </c>
      <c r="G55" s="162">
        <v>0</v>
      </c>
      <c r="H55" s="162">
        <v>0</v>
      </c>
      <c r="I55" s="162">
        <v>0</v>
      </c>
      <c r="J55" s="162">
        <v>1</v>
      </c>
      <c r="K55" s="162">
        <v>0</v>
      </c>
      <c r="L55" s="162">
        <v>1</v>
      </c>
      <c r="M55" s="162">
        <v>0</v>
      </c>
      <c r="N55" s="162">
        <v>1</v>
      </c>
      <c r="O55" s="163">
        <v>0</v>
      </c>
      <c r="P55" s="168">
        <f>VLOOKUP(C55,[1]allprides!$C$2:$X$170,14,FALSE)</f>
        <v>1</v>
      </c>
      <c r="Q55" s="168">
        <f>VLOOKUP(C55,[1]allprides!$C$2:$X$170,15,FALSE)</f>
        <v>1</v>
      </c>
      <c r="R55" s="168">
        <f>VLOOKUP(C55,[1]allprides!$C$2:$X$170,16,FALSE)</f>
        <v>0</v>
      </c>
      <c r="S55" s="168">
        <f>VLOOKUP(C55,[1]allprides!$C$2:$X$170,17,FALSE)</f>
        <v>1</v>
      </c>
      <c r="T55" s="168">
        <f>VLOOKUP(C55,[1]allprides!$C$2:$X$170,18,FALSE)</f>
        <v>2014</v>
      </c>
      <c r="U55" s="168">
        <f>VLOOKUP(C55,[1]allprides!$C$2:$X$170,19,FALSE)</f>
        <v>7</v>
      </c>
      <c r="V55" s="168">
        <f>VLOOKUP(C55,[1]allprides!$C$2:$X$170,20,FALSE)</f>
        <v>0</v>
      </c>
      <c r="W55" s="168">
        <v>1</v>
      </c>
      <c r="X55" s="169" t="str">
        <f t="shared" si="0"/>
        <v>/*ELI-713*/ 00010101 1;</v>
      </c>
    </row>
    <row r="56" spans="1:24" s="169" customFormat="1" x14ac:dyDescent="0.25">
      <c r="A56" s="164" t="s">
        <v>494</v>
      </c>
      <c r="B56" s="164" t="s">
        <v>497</v>
      </c>
      <c r="C56" s="168" t="s">
        <v>337</v>
      </c>
      <c r="D56" s="162">
        <v>0</v>
      </c>
      <c r="E56" s="162">
        <v>0</v>
      </c>
      <c r="F56" s="162">
        <v>0</v>
      </c>
      <c r="G56" s="162">
        <v>0</v>
      </c>
      <c r="H56" s="162">
        <v>0</v>
      </c>
      <c r="I56" s="162">
        <v>0</v>
      </c>
      <c r="J56" s="162">
        <v>1</v>
      </c>
      <c r="K56" s="162">
        <v>0</v>
      </c>
      <c r="L56" s="162">
        <v>1</v>
      </c>
      <c r="M56" s="162">
        <v>0</v>
      </c>
      <c r="N56" s="162">
        <v>1</v>
      </c>
      <c r="O56" s="163">
        <v>0</v>
      </c>
      <c r="P56" s="168">
        <f>VLOOKUP(C56,[1]allprides!$C$2:$X$170,14,FALSE)</f>
        <v>1</v>
      </c>
      <c r="Q56" s="168">
        <f>VLOOKUP(C56,[1]allprides!$C$2:$X$170,15,FALSE)</f>
        <v>0</v>
      </c>
      <c r="R56" s="168">
        <f>VLOOKUP(C56,[1]allprides!$C$2:$X$170,16,FALSE)</f>
        <v>0</v>
      </c>
      <c r="S56" s="168">
        <f>VLOOKUP(C56,[1]allprides!$C$2:$X$170,17,FALSE)</f>
        <v>1</v>
      </c>
      <c r="T56" s="168">
        <f>VLOOKUP(C56,[1]allprides!$C$2:$X$170,18,FALSE)</f>
        <v>2014</v>
      </c>
      <c r="U56" s="168">
        <f>VLOOKUP(C56,[1]allprides!$C$2:$X$170,19,FALSE)</f>
        <v>7</v>
      </c>
      <c r="V56" s="168">
        <f>VLOOKUP(C56,[1]allprides!$C$2:$X$170,20,FALSE)</f>
        <v>0</v>
      </c>
      <c r="W56" s="168">
        <v>1</v>
      </c>
      <c r="X56" s="169" t="str">
        <f t="shared" si="0"/>
        <v>/*ELI-714*/ 00010101 1;</v>
      </c>
    </row>
    <row r="57" spans="1:24" s="179" customFormat="1" x14ac:dyDescent="0.25">
      <c r="A57" s="176" t="s">
        <v>494</v>
      </c>
      <c r="B57" s="176" t="s">
        <v>652</v>
      </c>
      <c r="C57" s="177" t="s">
        <v>653</v>
      </c>
      <c r="D57" s="178">
        <v>0</v>
      </c>
      <c r="E57" s="178">
        <v>0</v>
      </c>
      <c r="F57" s="178">
        <v>0</v>
      </c>
      <c r="G57" s="178">
        <v>0</v>
      </c>
      <c r="H57" s="178">
        <v>0</v>
      </c>
      <c r="I57" s="178">
        <v>1</v>
      </c>
      <c r="J57" s="178">
        <v>0</v>
      </c>
      <c r="K57" s="178">
        <v>0</v>
      </c>
      <c r="L57" s="178">
        <v>0</v>
      </c>
      <c r="M57" s="178">
        <v>0</v>
      </c>
      <c r="N57" s="178">
        <v>1</v>
      </c>
      <c r="O57" s="184">
        <v>0</v>
      </c>
      <c r="P57" s="177">
        <v>1</v>
      </c>
      <c r="Q57" s="177">
        <v>0</v>
      </c>
      <c r="R57" s="177">
        <v>0</v>
      </c>
      <c r="S57" s="177">
        <v>1</v>
      </c>
      <c r="T57" s="177">
        <f>VLOOKUP(C57,[1]allprides!$C$2:$X$170,18,FALSE)</f>
        <v>2014</v>
      </c>
      <c r="U57" s="177">
        <v>7</v>
      </c>
      <c r="V57" s="177">
        <v>0</v>
      </c>
      <c r="W57" s="177"/>
      <c r="X57" s="179" t="str">
        <f t="shared" si="0"/>
        <v>/*ELI-715*/ 00100001 1;</v>
      </c>
    </row>
    <row r="58" spans="1:24" s="169" customFormat="1" x14ac:dyDescent="0.25">
      <c r="A58" s="164" t="s">
        <v>494</v>
      </c>
      <c r="B58" s="164" t="s">
        <v>498</v>
      </c>
      <c r="C58" s="168" t="s">
        <v>338</v>
      </c>
      <c r="D58" s="162">
        <v>0</v>
      </c>
      <c r="E58" s="162">
        <v>0</v>
      </c>
      <c r="F58" s="162">
        <v>0</v>
      </c>
      <c r="G58" s="162">
        <v>0</v>
      </c>
      <c r="H58" s="162">
        <v>0</v>
      </c>
      <c r="I58" s="162">
        <v>0</v>
      </c>
      <c r="J58" s="162">
        <v>1</v>
      </c>
      <c r="K58" s="162">
        <v>0</v>
      </c>
      <c r="L58" s="162">
        <v>1</v>
      </c>
      <c r="M58" s="162">
        <v>0</v>
      </c>
      <c r="N58" s="162">
        <v>1</v>
      </c>
      <c r="O58" s="163">
        <v>0</v>
      </c>
      <c r="P58" s="168">
        <f>VLOOKUP(C58,[1]allprides!$C$2:$X$170,14,FALSE)</f>
        <v>1</v>
      </c>
      <c r="Q58" s="168">
        <f>VLOOKUP(C58,[1]allprides!$C$2:$X$170,15,FALSE)</f>
        <v>1</v>
      </c>
      <c r="R58" s="168">
        <f>VLOOKUP(C58,[1]allprides!$C$2:$X$170,16,FALSE)</f>
        <v>0</v>
      </c>
      <c r="S58" s="168">
        <f>VLOOKUP(C58,[1]allprides!$C$2:$X$170,17,FALSE)</f>
        <v>1</v>
      </c>
      <c r="T58" s="168">
        <f>VLOOKUP(C58,[1]allprides!$C$2:$X$170,18,FALSE)</f>
        <v>2014</v>
      </c>
      <c r="U58" s="168">
        <f>VLOOKUP(C58,[1]allprides!$C$2:$X$170,19,FALSE)</f>
        <v>7</v>
      </c>
      <c r="V58" s="168">
        <f>VLOOKUP(C58,[1]allprides!$C$2:$X$170,20,FALSE)</f>
        <v>0</v>
      </c>
      <c r="W58" s="168">
        <v>1</v>
      </c>
      <c r="X58" s="169" t="str">
        <f t="shared" si="0"/>
        <v>/*ELI-716*/ 00010101 1;</v>
      </c>
    </row>
    <row r="59" spans="1:24" s="169" customFormat="1" x14ac:dyDescent="0.25">
      <c r="A59" s="164" t="s">
        <v>494</v>
      </c>
      <c r="B59" s="164" t="s">
        <v>499</v>
      </c>
      <c r="C59" s="168" t="s">
        <v>339</v>
      </c>
      <c r="D59" s="162">
        <v>0</v>
      </c>
      <c r="E59" s="162">
        <v>0</v>
      </c>
      <c r="F59" s="162">
        <v>0</v>
      </c>
      <c r="G59" s="162">
        <v>0</v>
      </c>
      <c r="H59" s="162">
        <v>0</v>
      </c>
      <c r="I59" s="162">
        <v>0</v>
      </c>
      <c r="J59" s="162">
        <v>1</v>
      </c>
      <c r="K59" s="162">
        <v>0</v>
      </c>
      <c r="L59" s="162">
        <v>1</v>
      </c>
      <c r="M59" s="162">
        <v>0</v>
      </c>
      <c r="N59" s="163">
        <v>0</v>
      </c>
      <c r="O59" s="163">
        <v>0</v>
      </c>
      <c r="P59" s="168">
        <f>VLOOKUP(C59,[1]allprides!$C$2:$X$170,14,FALSE)</f>
        <v>1</v>
      </c>
      <c r="Q59" s="168">
        <f>VLOOKUP(C59,[1]allprides!$C$2:$X$170,15,FALSE)</f>
        <v>1</v>
      </c>
      <c r="R59" s="168">
        <f>VLOOKUP(C59,[1]allprides!$C$2:$X$170,16,FALSE)</f>
        <v>0</v>
      </c>
      <c r="S59" s="168">
        <f>VLOOKUP(C59,[1]allprides!$C$2:$X$170,17,FALSE)</f>
        <v>1</v>
      </c>
      <c r="T59" s="168">
        <f>VLOOKUP(C59,[1]allprides!$C$2:$X$170,18,FALSE)</f>
        <v>2014</v>
      </c>
      <c r="U59" s="168">
        <f>VLOOKUP(C59,[1]allprides!$C$2:$X$170,19,FALSE)</f>
        <v>7</v>
      </c>
      <c r="V59" s="168">
        <f>VLOOKUP(C59,[1]allprides!$C$2:$X$170,20,FALSE)</f>
        <v>0</v>
      </c>
      <c r="W59" s="168">
        <v>1</v>
      </c>
      <c r="X59" s="169" t="str">
        <f t="shared" si="0"/>
        <v>/*ELI-717*/ 00010100 1;</v>
      </c>
    </row>
    <row r="60" spans="1:24" s="169" customFormat="1" x14ac:dyDescent="0.25">
      <c r="A60" s="164" t="s">
        <v>494</v>
      </c>
      <c r="B60" s="164" t="s">
        <v>500</v>
      </c>
      <c r="C60" s="168" t="s">
        <v>340</v>
      </c>
      <c r="D60" s="162">
        <v>0</v>
      </c>
      <c r="E60" s="162">
        <v>0</v>
      </c>
      <c r="F60" s="162">
        <v>0</v>
      </c>
      <c r="G60" s="162">
        <v>0</v>
      </c>
      <c r="H60" s="162">
        <v>0</v>
      </c>
      <c r="I60" s="162">
        <v>0</v>
      </c>
      <c r="J60" s="162">
        <v>1</v>
      </c>
      <c r="K60" s="162">
        <v>0</v>
      </c>
      <c r="L60" s="162">
        <v>1</v>
      </c>
      <c r="M60" s="162">
        <v>0</v>
      </c>
      <c r="N60" s="162">
        <v>1</v>
      </c>
      <c r="O60" s="163">
        <v>0</v>
      </c>
      <c r="P60" s="168">
        <f>VLOOKUP(C60,[1]allprides!$C$2:$X$170,14,FALSE)</f>
        <v>1</v>
      </c>
      <c r="Q60" s="168">
        <f>VLOOKUP(C60,[1]allprides!$C$2:$X$170,15,FALSE)</f>
        <v>1</v>
      </c>
      <c r="R60" s="168">
        <f>VLOOKUP(C60,[1]allprides!$C$2:$X$170,16,FALSE)</f>
        <v>0</v>
      </c>
      <c r="S60" s="168">
        <f>VLOOKUP(C60,[1]allprides!$C$2:$X$170,17,FALSE)</f>
        <v>1</v>
      </c>
      <c r="T60" s="168">
        <f>VLOOKUP(C60,[1]allprides!$C$2:$X$170,18,FALSE)</f>
        <v>2014</v>
      </c>
      <c r="U60" s="168">
        <f>VLOOKUP(C60,[1]allprides!$C$2:$X$170,19,FALSE)</f>
        <v>7</v>
      </c>
      <c r="V60" s="168">
        <f>VLOOKUP(C60,[1]allprides!$C$2:$X$170,20,FALSE)</f>
        <v>0</v>
      </c>
      <c r="W60" s="168">
        <v>1</v>
      </c>
      <c r="X60" s="169" t="str">
        <f t="shared" si="0"/>
        <v>/*ELI-718*/ 00010101 1;</v>
      </c>
    </row>
    <row r="61" spans="1:24" s="169" customFormat="1" x14ac:dyDescent="0.25">
      <c r="A61" s="164" t="s">
        <v>494</v>
      </c>
      <c r="B61" s="164" t="s">
        <v>501</v>
      </c>
      <c r="C61" s="168" t="s">
        <v>341</v>
      </c>
      <c r="D61" s="162">
        <v>0</v>
      </c>
      <c r="E61" s="162">
        <v>0</v>
      </c>
      <c r="F61" s="162">
        <v>0</v>
      </c>
      <c r="G61" s="162">
        <v>0</v>
      </c>
      <c r="H61" s="162">
        <v>0</v>
      </c>
      <c r="I61" s="162">
        <v>0</v>
      </c>
      <c r="J61" s="162">
        <v>1</v>
      </c>
      <c r="K61" s="162">
        <v>0</v>
      </c>
      <c r="L61" s="162">
        <v>1</v>
      </c>
      <c r="M61" s="162">
        <v>0</v>
      </c>
      <c r="N61" s="162">
        <v>1</v>
      </c>
      <c r="O61" s="163">
        <v>0</v>
      </c>
      <c r="P61" s="168">
        <f>VLOOKUP(C61,[1]allprides!$C$2:$X$170,14,FALSE)</f>
        <v>1</v>
      </c>
      <c r="Q61" s="168">
        <f>VLOOKUP(C61,[1]allprides!$C$2:$X$170,15,FALSE)</f>
        <v>1</v>
      </c>
      <c r="R61" s="168">
        <f>VLOOKUP(C61,[1]allprides!$C$2:$X$170,16,FALSE)</f>
        <v>0</v>
      </c>
      <c r="S61" s="168">
        <f>VLOOKUP(C61,[1]allprides!$C$2:$X$170,17,FALSE)</f>
        <v>1</v>
      </c>
      <c r="T61" s="168">
        <f>VLOOKUP(C61,[1]allprides!$C$2:$X$170,18,FALSE)</f>
        <v>2014</v>
      </c>
      <c r="U61" s="168">
        <f>VLOOKUP(C61,[1]allprides!$C$2:$X$170,19,FALSE)</f>
        <v>7</v>
      </c>
      <c r="V61" s="168">
        <f>VLOOKUP(C61,[1]allprides!$C$2:$X$170,20,FALSE)</f>
        <v>0</v>
      </c>
      <c r="W61" s="168">
        <v>1</v>
      </c>
      <c r="X61" s="169" t="str">
        <f t="shared" si="0"/>
        <v>/*ELI-719*/ 00010101 1;</v>
      </c>
    </row>
    <row r="62" spans="1:24" s="169" customFormat="1" x14ac:dyDescent="0.25">
      <c r="A62" s="164" t="s">
        <v>494</v>
      </c>
      <c r="B62" s="164" t="s">
        <v>502</v>
      </c>
      <c r="C62" s="168" t="s">
        <v>576</v>
      </c>
      <c r="D62" s="162">
        <v>0</v>
      </c>
      <c r="E62" s="162">
        <v>0</v>
      </c>
      <c r="F62" s="162">
        <v>0</v>
      </c>
      <c r="G62" s="162">
        <v>0</v>
      </c>
      <c r="H62" s="162">
        <v>0</v>
      </c>
      <c r="I62" s="162">
        <v>0</v>
      </c>
      <c r="J62" s="162">
        <v>0</v>
      </c>
      <c r="K62" s="162">
        <v>1</v>
      </c>
      <c r="L62" s="162">
        <v>0</v>
      </c>
      <c r="M62" s="162">
        <v>0</v>
      </c>
      <c r="N62" s="162">
        <v>0</v>
      </c>
      <c r="O62" s="163">
        <v>0</v>
      </c>
      <c r="P62" s="168">
        <v>0</v>
      </c>
      <c r="Q62" s="168" t="s">
        <v>554</v>
      </c>
      <c r="R62" s="168">
        <v>1</v>
      </c>
      <c r="S62" s="168">
        <v>1</v>
      </c>
      <c r="T62" s="168">
        <v>2015</v>
      </c>
      <c r="U62" s="168">
        <v>8</v>
      </c>
      <c r="V62" s="168">
        <v>0</v>
      </c>
      <c r="W62" s="168">
        <v>1</v>
      </c>
      <c r="X62" s="169" t="str">
        <f t="shared" si="0"/>
        <v>/*ELI-823*/ 00001000 1;</v>
      </c>
    </row>
    <row r="63" spans="1:24" s="169" customFormat="1" x14ac:dyDescent="0.25">
      <c r="A63" s="164" t="s">
        <v>494</v>
      </c>
      <c r="B63" s="164" t="s">
        <v>503</v>
      </c>
      <c r="C63" s="168" t="s">
        <v>567</v>
      </c>
      <c r="D63" s="162">
        <v>0</v>
      </c>
      <c r="E63" s="162">
        <v>0</v>
      </c>
      <c r="F63" s="162">
        <v>0</v>
      </c>
      <c r="G63" s="162">
        <v>0</v>
      </c>
      <c r="H63" s="162">
        <v>0</v>
      </c>
      <c r="I63" s="162">
        <v>0</v>
      </c>
      <c r="J63" s="162">
        <v>0</v>
      </c>
      <c r="K63" s="162">
        <v>1</v>
      </c>
      <c r="L63" s="162">
        <v>0</v>
      </c>
      <c r="M63" s="162">
        <v>0</v>
      </c>
      <c r="N63" s="162">
        <v>0</v>
      </c>
      <c r="O63" s="163">
        <v>0</v>
      </c>
      <c r="P63" s="168">
        <v>0</v>
      </c>
      <c r="Q63" s="168" t="s">
        <v>554</v>
      </c>
      <c r="R63" s="168">
        <v>1</v>
      </c>
      <c r="S63" s="168">
        <v>1</v>
      </c>
      <c r="T63" s="168">
        <v>2015</v>
      </c>
      <c r="U63" s="168">
        <v>8</v>
      </c>
      <c r="V63" s="168">
        <v>0</v>
      </c>
      <c r="W63" s="168">
        <v>1</v>
      </c>
      <c r="X63" s="169" t="str">
        <f t="shared" si="0"/>
        <v>/*ELI-824*/ 00001000 1;</v>
      </c>
    </row>
    <row r="64" spans="1:24" s="169" customFormat="1" x14ac:dyDescent="0.25">
      <c r="A64" s="164" t="s">
        <v>494</v>
      </c>
      <c r="B64" s="164" t="s">
        <v>504</v>
      </c>
      <c r="C64" s="168" t="s">
        <v>568</v>
      </c>
      <c r="D64" s="162">
        <v>0</v>
      </c>
      <c r="E64" s="162">
        <v>0</v>
      </c>
      <c r="F64" s="162">
        <v>0</v>
      </c>
      <c r="G64" s="162">
        <v>0</v>
      </c>
      <c r="H64" s="162">
        <v>0</v>
      </c>
      <c r="I64" s="162">
        <v>0</v>
      </c>
      <c r="J64" s="162">
        <v>0</v>
      </c>
      <c r="K64" s="162">
        <v>1</v>
      </c>
      <c r="L64" s="162">
        <v>0</v>
      </c>
      <c r="M64" s="162">
        <v>0</v>
      </c>
      <c r="N64" s="162">
        <v>0</v>
      </c>
      <c r="O64" s="163">
        <v>0</v>
      </c>
      <c r="P64" s="168">
        <v>0</v>
      </c>
      <c r="Q64" s="168" t="s">
        <v>554</v>
      </c>
      <c r="R64" s="168">
        <v>1</v>
      </c>
      <c r="S64" s="168">
        <v>1</v>
      </c>
      <c r="T64" s="168">
        <v>2015</v>
      </c>
      <c r="U64" s="168">
        <v>8</v>
      </c>
      <c r="V64" s="168">
        <v>0</v>
      </c>
      <c r="W64" s="168">
        <v>1</v>
      </c>
      <c r="X64" s="169" t="str">
        <f t="shared" si="0"/>
        <v>/*ELI-825*/ 00001000 1;</v>
      </c>
    </row>
    <row r="65" spans="1:24" s="169" customFormat="1" x14ac:dyDescent="0.25">
      <c r="A65" s="164" t="s">
        <v>494</v>
      </c>
      <c r="B65" s="164" t="s">
        <v>505</v>
      </c>
      <c r="C65" s="168" t="s">
        <v>569</v>
      </c>
      <c r="D65" s="162">
        <v>0</v>
      </c>
      <c r="E65" s="162">
        <v>0</v>
      </c>
      <c r="F65" s="162">
        <v>0</v>
      </c>
      <c r="G65" s="162">
        <v>0</v>
      </c>
      <c r="H65" s="162">
        <v>0</v>
      </c>
      <c r="I65" s="162">
        <v>0</v>
      </c>
      <c r="J65" s="162">
        <v>0</v>
      </c>
      <c r="K65" s="162">
        <v>0</v>
      </c>
      <c r="L65" s="162">
        <v>1</v>
      </c>
      <c r="M65" s="162">
        <v>0</v>
      </c>
      <c r="N65" s="162">
        <v>0</v>
      </c>
      <c r="O65" s="163">
        <v>0</v>
      </c>
      <c r="P65" s="168">
        <v>0</v>
      </c>
      <c r="Q65" s="168" t="s">
        <v>554</v>
      </c>
      <c r="R65" s="168">
        <v>1</v>
      </c>
      <c r="S65" s="168">
        <v>1</v>
      </c>
      <c r="T65" s="168">
        <v>2015</v>
      </c>
      <c r="U65" s="168">
        <v>9</v>
      </c>
      <c r="V65" s="168">
        <v>0</v>
      </c>
      <c r="W65" s="168">
        <v>1</v>
      </c>
      <c r="X65" s="169" t="str">
        <f t="shared" si="0"/>
        <v>/*ELI-826*/ 00000100 1;</v>
      </c>
    </row>
    <row r="66" spans="1:24" s="169" customFormat="1" x14ac:dyDescent="0.25">
      <c r="A66" s="164" t="s">
        <v>494</v>
      </c>
      <c r="B66" s="164" t="s">
        <v>506</v>
      </c>
      <c r="C66" s="168" t="s">
        <v>570</v>
      </c>
      <c r="D66" s="162">
        <v>0</v>
      </c>
      <c r="E66" s="162">
        <v>0</v>
      </c>
      <c r="F66" s="162">
        <v>0</v>
      </c>
      <c r="G66" s="162">
        <v>0</v>
      </c>
      <c r="H66" s="162">
        <v>0</v>
      </c>
      <c r="I66" s="162">
        <v>0</v>
      </c>
      <c r="J66" s="162">
        <v>0</v>
      </c>
      <c r="K66" s="162">
        <v>0</v>
      </c>
      <c r="L66" s="162">
        <v>1</v>
      </c>
      <c r="M66" s="162">
        <v>1</v>
      </c>
      <c r="N66" s="162">
        <v>1</v>
      </c>
      <c r="O66" s="163">
        <v>0</v>
      </c>
      <c r="P66" s="168">
        <v>1</v>
      </c>
      <c r="Q66" s="168">
        <v>1</v>
      </c>
      <c r="R66" s="168">
        <v>0</v>
      </c>
      <c r="S66" s="168">
        <v>1</v>
      </c>
      <c r="T66" s="168">
        <v>2015</v>
      </c>
      <c r="U66" s="168">
        <v>9</v>
      </c>
      <c r="V66" s="168">
        <v>0</v>
      </c>
      <c r="W66" s="168">
        <v>1</v>
      </c>
      <c r="X66" s="169" t="str">
        <f t="shared" si="0"/>
        <v>/*ELI-827*/ 00000111 1;</v>
      </c>
    </row>
    <row r="67" spans="1:24" s="169" customFormat="1" x14ac:dyDescent="0.25">
      <c r="A67" s="164" t="s">
        <v>494</v>
      </c>
      <c r="B67" s="164" t="s">
        <v>507</v>
      </c>
      <c r="C67" s="168" t="s">
        <v>571</v>
      </c>
      <c r="D67" s="162">
        <v>0</v>
      </c>
      <c r="E67" s="162">
        <v>0</v>
      </c>
      <c r="F67" s="162">
        <v>0</v>
      </c>
      <c r="G67" s="162">
        <v>0</v>
      </c>
      <c r="H67" s="162">
        <v>0</v>
      </c>
      <c r="I67" s="162">
        <v>0</v>
      </c>
      <c r="J67" s="162">
        <v>0</v>
      </c>
      <c r="K67" s="162">
        <v>0</v>
      </c>
      <c r="L67" s="162">
        <v>1</v>
      </c>
      <c r="M67" s="162">
        <v>1</v>
      </c>
      <c r="N67" s="162">
        <v>1</v>
      </c>
      <c r="O67" s="162">
        <v>0</v>
      </c>
      <c r="P67" s="168">
        <v>1</v>
      </c>
      <c r="Q67" s="168">
        <v>1</v>
      </c>
      <c r="R67" s="168">
        <v>0</v>
      </c>
      <c r="S67" s="168">
        <v>1</v>
      </c>
      <c r="T67" s="168">
        <v>2015</v>
      </c>
      <c r="U67" s="168">
        <v>9</v>
      </c>
      <c r="V67" s="168">
        <v>0</v>
      </c>
      <c r="W67" s="168">
        <v>1</v>
      </c>
      <c r="X67" s="169" t="str">
        <f t="shared" si="0"/>
        <v>/*ELI-828*/ 00000111 1;</v>
      </c>
    </row>
    <row r="68" spans="1:24" s="169" customFormat="1" x14ac:dyDescent="0.25">
      <c r="A68" s="164" t="s">
        <v>494</v>
      </c>
      <c r="B68" s="164" t="s">
        <v>540</v>
      </c>
      <c r="C68" s="168" t="s">
        <v>572</v>
      </c>
      <c r="D68" s="162">
        <v>0</v>
      </c>
      <c r="E68" s="162">
        <v>0</v>
      </c>
      <c r="F68" s="162">
        <v>0</v>
      </c>
      <c r="G68" s="162">
        <v>0</v>
      </c>
      <c r="H68" s="162">
        <v>0</v>
      </c>
      <c r="I68" s="162">
        <v>0</v>
      </c>
      <c r="J68" s="162">
        <v>0</v>
      </c>
      <c r="K68" s="162">
        <v>0</v>
      </c>
      <c r="L68" s="162">
        <v>1</v>
      </c>
      <c r="M68" s="162">
        <v>1</v>
      </c>
      <c r="N68" s="162">
        <v>1</v>
      </c>
      <c r="O68" s="162">
        <v>0</v>
      </c>
      <c r="P68" s="168">
        <v>0</v>
      </c>
      <c r="Q68" s="168" t="s">
        <v>554</v>
      </c>
      <c r="R68" s="168">
        <v>0</v>
      </c>
      <c r="S68" s="168">
        <v>1</v>
      </c>
      <c r="T68" s="168">
        <v>2015</v>
      </c>
      <c r="U68" s="168">
        <v>9</v>
      </c>
      <c r="V68" s="168">
        <v>0</v>
      </c>
      <c r="W68" s="168">
        <v>1</v>
      </c>
      <c r="X68" s="169" t="str">
        <f t="shared" si="0"/>
        <v>/*ELI-829*/ 00000111 1;</v>
      </c>
    </row>
    <row r="69" spans="1:24" s="169" customFormat="1" x14ac:dyDescent="0.25">
      <c r="A69" s="164" t="s">
        <v>494</v>
      </c>
      <c r="B69" s="164" t="s">
        <v>541</v>
      </c>
      <c r="C69" s="168" t="s">
        <v>573</v>
      </c>
      <c r="D69" s="162">
        <v>0</v>
      </c>
      <c r="E69" s="162">
        <v>0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0</v>
      </c>
      <c r="L69" s="162">
        <v>1</v>
      </c>
      <c r="M69" s="162">
        <v>1</v>
      </c>
      <c r="N69" s="162">
        <v>1</v>
      </c>
      <c r="O69" s="162">
        <v>0</v>
      </c>
      <c r="P69" s="168">
        <v>1</v>
      </c>
      <c r="Q69" s="168">
        <v>0</v>
      </c>
      <c r="R69" s="168">
        <v>0</v>
      </c>
      <c r="S69" s="168">
        <v>1</v>
      </c>
      <c r="T69" s="168">
        <v>2015</v>
      </c>
      <c r="U69" s="168">
        <v>9</v>
      </c>
      <c r="V69" s="168">
        <v>0</v>
      </c>
      <c r="W69" s="168">
        <v>1</v>
      </c>
      <c r="X69" s="169" t="str">
        <f t="shared" si="0"/>
        <v>/*ELI-830*/ 00000111 1;</v>
      </c>
    </row>
    <row r="70" spans="1:24" s="169" customFormat="1" x14ac:dyDescent="0.25">
      <c r="A70" s="164" t="s">
        <v>494</v>
      </c>
      <c r="B70" s="164" t="s">
        <v>542</v>
      </c>
      <c r="C70" s="168" t="s">
        <v>574</v>
      </c>
      <c r="D70" s="162">
        <v>0</v>
      </c>
      <c r="E70" s="162">
        <v>0</v>
      </c>
      <c r="F70" s="162">
        <v>0</v>
      </c>
      <c r="G70" s="162">
        <v>0</v>
      </c>
      <c r="H70" s="162">
        <v>0</v>
      </c>
      <c r="I70" s="162">
        <v>0</v>
      </c>
      <c r="J70" s="162">
        <v>0</v>
      </c>
      <c r="K70" s="162">
        <v>0</v>
      </c>
      <c r="L70" s="162">
        <v>1</v>
      </c>
      <c r="M70" s="162">
        <v>1</v>
      </c>
      <c r="N70" s="162">
        <v>1</v>
      </c>
      <c r="O70" s="162">
        <v>0</v>
      </c>
      <c r="P70" s="168">
        <v>1</v>
      </c>
      <c r="Q70" s="168">
        <v>1</v>
      </c>
      <c r="R70" s="168">
        <v>0</v>
      </c>
      <c r="S70" s="168">
        <v>1</v>
      </c>
      <c r="T70" s="168">
        <v>2015</v>
      </c>
      <c r="U70" s="168">
        <v>9</v>
      </c>
      <c r="V70" s="168">
        <v>0</v>
      </c>
      <c r="W70" s="168">
        <v>1</v>
      </c>
      <c r="X70" s="169" t="str">
        <f t="shared" si="0"/>
        <v>/*ELI-831*/ 00000111 1;</v>
      </c>
    </row>
    <row r="71" spans="1:24" s="169" customFormat="1" x14ac:dyDescent="0.25">
      <c r="A71" s="168" t="s">
        <v>531</v>
      </c>
      <c r="B71" s="168" t="s">
        <v>123</v>
      </c>
      <c r="C71" s="168" t="s">
        <v>124</v>
      </c>
      <c r="D71" s="163">
        <v>0</v>
      </c>
      <c r="E71" s="163">
        <v>0</v>
      </c>
      <c r="F71" s="163">
        <v>0</v>
      </c>
      <c r="G71" s="163">
        <v>0</v>
      </c>
      <c r="H71" s="163">
        <v>0</v>
      </c>
      <c r="I71" s="163">
        <v>1</v>
      </c>
      <c r="J71" s="187">
        <v>1</v>
      </c>
      <c r="K71" s="163">
        <v>0</v>
      </c>
      <c r="L71" s="163">
        <v>1</v>
      </c>
      <c r="M71" s="187">
        <v>1</v>
      </c>
      <c r="N71" s="163">
        <v>0</v>
      </c>
      <c r="O71" s="163">
        <v>0</v>
      </c>
      <c r="P71" s="168">
        <f>VLOOKUP(C71,[1]allprides!$C$2:$X$170,14,FALSE)</f>
        <v>1</v>
      </c>
      <c r="Q71" s="168">
        <f>VLOOKUP(C71,[1]allprides!$C$2:$X$170,15,FALSE)</f>
        <v>0</v>
      </c>
      <c r="R71" s="168">
        <f>VLOOKUP(C71,[1]allprides!$C$2:$X$170,16,FALSE)</f>
        <v>0</v>
      </c>
      <c r="S71" s="168">
        <f>VLOOKUP(C71,[1]allprides!$C$2:$X$170,17,FALSE)</f>
        <v>1</v>
      </c>
      <c r="T71" s="168">
        <f>VLOOKUP(C71,[1]allprides!$C$2:$X$170,18,FALSE)</f>
        <v>2009</v>
      </c>
      <c r="U71" s="168">
        <f>VLOOKUP(C71,[1]allprides!$C$2:$X$170,19,FALSE)</f>
        <v>8</v>
      </c>
      <c r="V71" s="168">
        <f>VLOOKUP(C71,[1]allprides!$C$2:$X$170,20,FALSE)</f>
        <v>2</v>
      </c>
      <c r="W71" s="168">
        <v>1</v>
      </c>
      <c r="X71" s="169" t="str">
        <f t="shared" ref="X71:X134" si="1">CONCATENATE("/*",C71,"*/ ",G71,H71,I71,J71,K71,L71,M71,N71," 1;")</f>
        <v>/*ELI-258*/ 00110110 1;</v>
      </c>
    </row>
    <row r="72" spans="1:24" s="169" customFormat="1" x14ac:dyDescent="0.25">
      <c r="A72" s="168" t="s">
        <v>531</v>
      </c>
      <c r="B72" s="168" t="s">
        <v>125</v>
      </c>
      <c r="C72" s="168" t="s">
        <v>126</v>
      </c>
      <c r="D72" s="187">
        <v>1</v>
      </c>
      <c r="E72" s="163">
        <v>0</v>
      </c>
      <c r="F72" s="163">
        <v>0</v>
      </c>
      <c r="G72" s="163">
        <v>0</v>
      </c>
      <c r="H72" s="163">
        <v>0</v>
      </c>
      <c r="I72" s="163">
        <v>1</v>
      </c>
      <c r="J72" s="187">
        <v>1</v>
      </c>
      <c r="K72" s="163">
        <v>0</v>
      </c>
      <c r="L72" s="163">
        <v>1</v>
      </c>
      <c r="M72" s="187">
        <v>1</v>
      </c>
      <c r="N72" s="163">
        <v>0</v>
      </c>
      <c r="O72" s="163">
        <v>0</v>
      </c>
      <c r="P72" s="168">
        <f>VLOOKUP(C72,[1]allprides!$C$2:$X$170,14,FALSE)</f>
        <v>1</v>
      </c>
      <c r="Q72" s="168">
        <f>VLOOKUP(C72,[1]allprides!$C$2:$X$170,15,FALSE)</f>
        <v>0</v>
      </c>
      <c r="R72" s="168">
        <f>VLOOKUP(C72,[1]allprides!$C$2:$X$170,16,FALSE)</f>
        <v>0</v>
      </c>
      <c r="S72" s="168">
        <f>VLOOKUP(C72,[1]allprides!$C$2:$X$170,17,FALSE)</f>
        <v>1</v>
      </c>
      <c r="T72" s="168">
        <f>VLOOKUP(C72,[1]allprides!$C$2:$X$170,18,FALSE)</f>
        <v>2009</v>
      </c>
      <c r="U72" s="168">
        <f>VLOOKUP(C72,[1]allprides!$C$2:$X$170,19,FALSE)</f>
        <v>8</v>
      </c>
      <c r="V72" s="168">
        <f>VLOOKUP(C72,[1]allprides!$C$2:$X$170,20,FALSE)</f>
        <v>2</v>
      </c>
      <c r="W72" s="168">
        <v>1</v>
      </c>
      <c r="X72" s="169" t="str">
        <f t="shared" si="1"/>
        <v>/*ELI-256*/ 00110110 1;</v>
      </c>
    </row>
    <row r="73" spans="1:24" s="169" customFormat="1" x14ac:dyDescent="0.25">
      <c r="A73" s="168" t="s">
        <v>531</v>
      </c>
      <c r="B73" s="168" t="s">
        <v>590</v>
      </c>
      <c r="C73" s="168" t="s">
        <v>588</v>
      </c>
      <c r="D73" s="163">
        <v>0</v>
      </c>
      <c r="E73" s="163">
        <v>0</v>
      </c>
      <c r="F73" s="163">
        <v>0</v>
      </c>
      <c r="G73" s="163">
        <v>0</v>
      </c>
      <c r="H73" s="163">
        <v>0</v>
      </c>
      <c r="I73" s="163">
        <v>1</v>
      </c>
      <c r="J73" s="163">
        <v>0</v>
      </c>
      <c r="K73" s="163">
        <v>0</v>
      </c>
      <c r="L73" s="163">
        <v>1</v>
      </c>
      <c r="M73" s="163">
        <v>0</v>
      </c>
      <c r="N73" s="163">
        <v>0</v>
      </c>
      <c r="O73" s="163">
        <v>0</v>
      </c>
      <c r="P73" s="168">
        <v>1</v>
      </c>
      <c r="Q73" s="168">
        <v>1</v>
      </c>
      <c r="R73" s="168">
        <v>0</v>
      </c>
      <c r="S73" s="168">
        <v>1</v>
      </c>
      <c r="T73" s="168">
        <v>2013</v>
      </c>
      <c r="U73" s="168">
        <v>7</v>
      </c>
      <c r="V73" s="168">
        <v>0</v>
      </c>
      <c r="W73" s="168">
        <v>1</v>
      </c>
      <c r="X73" s="169" t="str">
        <f t="shared" si="1"/>
        <v>/*ELI-609*/ 00100100 1;</v>
      </c>
    </row>
    <row r="74" spans="1:24" s="169" customFormat="1" x14ac:dyDescent="0.25">
      <c r="A74" s="168" t="s">
        <v>531</v>
      </c>
      <c r="B74" s="168" t="s">
        <v>591</v>
      </c>
      <c r="C74" s="168" t="s">
        <v>589</v>
      </c>
      <c r="D74" s="163">
        <v>0</v>
      </c>
      <c r="E74" s="163">
        <v>0</v>
      </c>
      <c r="F74" s="163">
        <v>0</v>
      </c>
      <c r="G74" s="163">
        <v>0</v>
      </c>
      <c r="H74" s="163">
        <v>0</v>
      </c>
      <c r="I74" s="163">
        <v>1</v>
      </c>
      <c r="J74" s="163">
        <v>0</v>
      </c>
      <c r="K74" s="163">
        <v>0</v>
      </c>
      <c r="L74" s="163">
        <v>1</v>
      </c>
      <c r="M74" s="163">
        <v>0</v>
      </c>
      <c r="N74" s="163">
        <v>0</v>
      </c>
      <c r="O74" s="163">
        <v>0</v>
      </c>
      <c r="P74" s="168">
        <v>1</v>
      </c>
      <c r="Q74" s="168">
        <v>1</v>
      </c>
      <c r="R74" s="168">
        <v>0</v>
      </c>
      <c r="S74" s="168">
        <v>1</v>
      </c>
      <c r="T74" s="168">
        <v>2013</v>
      </c>
      <c r="U74" s="168">
        <v>7</v>
      </c>
      <c r="V74" s="168">
        <v>0</v>
      </c>
      <c r="W74" s="168">
        <v>1</v>
      </c>
      <c r="X74" s="169" t="str">
        <f t="shared" si="1"/>
        <v>/*ELI-611*/ 00100100 1;</v>
      </c>
    </row>
    <row r="75" spans="1:24" s="169" customFormat="1" ht="15.6" customHeight="1" x14ac:dyDescent="0.25">
      <c r="A75" s="168" t="s">
        <v>420</v>
      </c>
      <c r="B75" s="168" t="s">
        <v>145</v>
      </c>
      <c r="C75" s="168" t="s">
        <v>146</v>
      </c>
      <c r="D75" s="163">
        <v>0</v>
      </c>
      <c r="E75" s="187">
        <v>1</v>
      </c>
      <c r="F75" s="163">
        <v>0</v>
      </c>
      <c r="G75" s="163">
        <v>0</v>
      </c>
      <c r="H75" s="163">
        <v>0</v>
      </c>
      <c r="I75" s="163">
        <v>0</v>
      </c>
      <c r="J75" s="163">
        <v>1</v>
      </c>
      <c r="K75" s="184">
        <v>1</v>
      </c>
      <c r="L75" s="187">
        <v>1</v>
      </c>
      <c r="M75" s="163">
        <v>0</v>
      </c>
      <c r="N75" s="163">
        <v>0</v>
      </c>
      <c r="O75" s="163">
        <v>0</v>
      </c>
      <c r="P75" s="168">
        <f>VLOOKUP(C75,[1]allprides!$C$2:$X$170,14,FALSE)</f>
        <v>1</v>
      </c>
      <c r="Q75" s="168">
        <f>VLOOKUP(C75,[1]allprides!$C$2:$X$170,15,FALSE)</f>
        <v>0</v>
      </c>
      <c r="R75" s="168">
        <f>VLOOKUP(C75,[1]allprides!$C$2:$X$170,16,FALSE)</f>
        <v>0</v>
      </c>
      <c r="S75" s="168">
        <f>VLOOKUP(C75,[1]allprides!$C$2:$X$170,17,FALSE)</f>
        <v>1</v>
      </c>
      <c r="T75" s="168">
        <f>VLOOKUP(C75,[1]allprides!$C$2:$X$170,18,FALSE)</f>
        <v>2012</v>
      </c>
      <c r="U75" s="168">
        <f>VLOOKUP(C75,[1]allprides!$C$2:$X$170,19,FALSE)</f>
        <v>11</v>
      </c>
      <c r="V75" s="168">
        <f>VLOOKUP(C75,[1]allprides!$C$2:$X$170,20,FALSE)</f>
        <v>3</v>
      </c>
      <c r="W75" s="168">
        <v>1</v>
      </c>
      <c r="X75" s="169" t="str">
        <f t="shared" si="1"/>
        <v>/*ELI-480*/ 00011100 1;</v>
      </c>
    </row>
    <row r="76" spans="1:24" s="169" customFormat="1" x14ac:dyDescent="0.25">
      <c r="A76" s="168" t="s">
        <v>474</v>
      </c>
      <c r="B76" s="168" t="s">
        <v>475</v>
      </c>
      <c r="C76" s="168" t="s">
        <v>375</v>
      </c>
      <c r="D76" s="163">
        <v>0</v>
      </c>
      <c r="E76" s="163">
        <v>0</v>
      </c>
      <c r="F76" s="163">
        <v>0</v>
      </c>
      <c r="G76" s="163">
        <v>0</v>
      </c>
      <c r="H76" s="163">
        <v>0</v>
      </c>
      <c r="I76" s="163">
        <v>0</v>
      </c>
      <c r="J76" s="163">
        <v>0</v>
      </c>
      <c r="K76" s="163">
        <v>0</v>
      </c>
      <c r="L76" s="163">
        <v>0</v>
      </c>
      <c r="M76" s="163">
        <v>0</v>
      </c>
      <c r="N76" s="170">
        <v>1</v>
      </c>
      <c r="O76" s="163">
        <v>0</v>
      </c>
      <c r="P76" s="168">
        <f>VLOOKUP(C76,[1]allprides!$C$2:$X$170,14,FALSE)</f>
        <v>1</v>
      </c>
      <c r="Q76" s="168">
        <f>VLOOKUP(C76,[1]allprides!$C$2:$X$170,15,FALSE)</f>
        <v>0</v>
      </c>
      <c r="R76" s="168">
        <f>VLOOKUP(C76,[1]allprides!$C$2:$X$170,16,FALSE)</f>
        <v>0</v>
      </c>
      <c r="S76" s="168">
        <f>VLOOKUP(C76,[1]allprides!$C$2:$X$170,17,FALSE)</f>
        <v>1</v>
      </c>
      <c r="T76" s="168">
        <f>VLOOKUP(C76,[1]allprides!$C$2:$X$170,18,FALSE)</f>
        <v>2011</v>
      </c>
      <c r="U76" s="168">
        <f>VLOOKUP(C76,[1]allprides!$C$2:$X$170,19,FALSE)</f>
        <v>8</v>
      </c>
      <c r="V76" s="168">
        <f>VLOOKUP(C76,[1]allprides!$C$2:$X$170,20,FALSE)</f>
        <v>4</v>
      </c>
      <c r="W76" s="168">
        <v>1</v>
      </c>
      <c r="X76" s="169" t="str">
        <f t="shared" si="1"/>
        <v>/*ELI-470*/ 00000001 1;</v>
      </c>
    </row>
    <row r="77" spans="1:24" s="169" customFormat="1" x14ac:dyDescent="0.25">
      <c r="A77" s="168" t="s">
        <v>474</v>
      </c>
      <c r="B77" s="168" t="s">
        <v>476</v>
      </c>
      <c r="C77" s="168" t="s">
        <v>376</v>
      </c>
      <c r="D77" s="163">
        <v>0</v>
      </c>
      <c r="E77" s="163">
        <v>0</v>
      </c>
      <c r="F77" s="163">
        <v>0</v>
      </c>
      <c r="G77" s="163">
        <v>0</v>
      </c>
      <c r="H77" s="163">
        <v>0</v>
      </c>
      <c r="I77" s="163">
        <v>0</v>
      </c>
      <c r="J77" s="163">
        <v>0</v>
      </c>
      <c r="K77" s="163">
        <v>0</v>
      </c>
      <c r="L77" s="163">
        <v>0</v>
      </c>
      <c r="M77" s="163">
        <v>0</v>
      </c>
      <c r="N77" s="170">
        <v>1</v>
      </c>
      <c r="O77" s="163">
        <v>0</v>
      </c>
      <c r="P77" s="168">
        <v>1</v>
      </c>
      <c r="Q77" s="168">
        <v>0</v>
      </c>
      <c r="R77" s="168">
        <v>0</v>
      </c>
      <c r="S77" s="168">
        <v>1</v>
      </c>
      <c r="T77" s="168">
        <v>2011</v>
      </c>
      <c r="U77" s="168">
        <v>8</v>
      </c>
      <c r="V77" s="168">
        <v>4</v>
      </c>
      <c r="W77" s="168">
        <v>1</v>
      </c>
      <c r="X77" s="169" t="str">
        <f t="shared" si="1"/>
        <v>/*ELI-473*/ 00000001 1;</v>
      </c>
    </row>
    <row r="78" spans="1:24" s="169" customFormat="1" x14ac:dyDescent="0.25">
      <c r="A78" s="168" t="s">
        <v>474</v>
      </c>
      <c r="B78" s="168" t="s">
        <v>477</v>
      </c>
      <c r="C78" s="168" t="s">
        <v>377</v>
      </c>
      <c r="D78" s="163">
        <v>0</v>
      </c>
      <c r="E78" s="163">
        <v>0</v>
      </c>
      <c r="F78" s="163">
        <v>0</v>
      </c>
      <c r="G78" s="163">
        <v>0</v>
      </c>
      <c r="H78" s="163">
        <v>0</v>
      </c>
      <c r="I78" s="163">
        <v>0</v>
      </c>
      <c r="J78" s="163">
        <v>0</v>
      </c>
      <c r="K78" s="163">
        <v>0</v>
      </c>
      <c r="L78" s="163">
        <v>0</v>
      </c>
      <c r="M78" s="163">
        <v>0</v>
      </c>
      <c r="N78" s="170">
        <v>1</v>
      </c>
      <c r="O78" s="163">
        <v>0</v>
      </c>
      <c r="P78" s="168">
        <v>1</v>
      </c>
      <c r="Q78" s="168">
        <v>0</v>
      </c>
      <c r="R78" s="168">
        <v>0</v>
      </c>
      <c r="S78" s="168">
        <v>1</v>
      </c>
      <c r="T78" s="168">
        <v>2011</v>
      </c>
      <c r="U78" s="168">
        <v>8</v>
      </c>
      <c r="V78" s="168">
        <v>4</v>
      </c>
      <c r="W78" s="168">
        <v>1</v>
      </c>
      <c r="X78" s="169" t="str">
        <f t="shared" si="1"/>
        <v>/*ELI-472*/ 00000001 1;</v>
      </c>
    </row>
    <row r="79" spans="1:24" s="169" customFormat="1" x14ac:dyDescent="0.25">
      <c r="A79" s="164" t="s">
        <v>420</v>
      </c>
      <c r="B79" s="174" t="s">
        <v>145</v>
      </c>
      <c r="C79" s="174" t="s">
        <v>421</v>
      </c>
      <c r="D79" s="163">
        <v>0</v>
      </c>
      <c r="E79" s="163">
        <v>0</v>
      </c>
      <c r="F79" s="163">
        <v>0</v>
      </c>
      <c r="G79" s="163">
        <v>0</v>
      </c>
      <c r="H79" s="163">
        <v>0</v>
      </c>
      <c r="I79" s="163">
        <v>0</v>
      </c>
      <c r="J79" s="163">
        <v>1</v>
      </c>
      <c r="K79" s="184">
        <v>1</v>
      </c>
      <c r="L79" s="163">
        <v>0</v>
      </c>
      <c r="M79" s="163">
        <v>0</v>
      </c>
      <c r="N79" s="170">
        <v>0</v>
      </c>
      <c r="O79" s="163">
        <v>0</v>
      </c>
      <c r="P79" s="168">
        <f>VLOOKUP(C79,[1]allprides!$C$2:$X$170,14,FALSE)</f>
        <v>1</v>
      </c>
      <c r="Q79" s="168">
        <v>0</v>
      </c>
      <c r="R79" s="168">
        <v>0</v>
      </c>
      <c r="S79" s="168">
        <v>1</v>
      </c>
      <c r="T79" s="168">
        <f>VLOOKUP(C79,[1]allprides!$C$2:$X$170,18,FALSE)</f>
        <v>2012</v>
      </c>
      <c r="U79" s="168">
        <f>VLOOKUP(C79,[1]allprides!$C$2:$X$170,19,FALSE)</f>
        <v>11</v>
      </c>
      <c r="V79" s="168">
        <f>VLOOKUP(C79,[1]allprides!$C$2:$X$170,20,FALSE)</f>
        <v>3</v>
      </c>
      <c r="W79" s="168">
        <v>1</v>
      </c>
      <c r="X79" s="169" t="str">
        <f t="shared" si="1"/>
        <v>/*ELI-481*/ 00011000 1;</v>
      </c>
    </row>
    <row r="80" spans="1:24" s="169" customFormat="1" x14ac:dyDescent="0.25">
      <c r="A80" s="168" t="s">
        <v>455</v>
      </c>
      <c r="B80" s="168" t="s">
        <v>456</v>
      </c>
      <c r="C80" s="168" t="s">
        <v>607</v>
      </c>
      <c r="D80" s="163">
        <v>0</v>
      </c>
      <c r="E80" s="163">
        <v>0</v>
      </c>
      <c r="F80" s="163">
        <v>0</v>
      </c>
      <c r="G80" s="163">
        <v>0</v>
      </c>
      <c r="H80" s="163">
        <v>0</v>
      </c>
      <c r="I80" s="163">
        <v>0</v>
      </c>
      <c r="J80" s="163">
        <v>0</v>
      </c>
      <c r="K80" s="163">
        <v>0</v>
      </c>
      <c r="L80" s="163">
        <v>0</v>
      </c>
      <c r="M80" s="163">
        <v>1</v>
      </c>
      <c r="N80" s="163">
        <v>1</v>
      </c>
      <c r="O80" s="163">
        <v>0</v>
      </c>
      <c r="P80" s="168">
        <v>1</v>
      </c>
      <c r="Q80" s="168">
        <v>0</v>
      </c>
      <c r="R80" s="168">
        <v>0</v>
      </c>
      <c r="S80" s="168">
        <v>1</v>
      </c>
      <c r="T80" s="168">
        <v>2015</v>
      </c>
      <c r="U80" s="168">
        <v>10</v>
      </c>
      <c r="V80" s="168">
        <v>6</v>
      </c>
      <c r="W80" s="168">
        <v>1</v>
      </c>
      <c r="X80" s="169" t="str">
        <f t="shared" si="1"/>
        <v>/*ELI-879*/ 00000011 1;</v>
      </c>
    </row>
    <row r="81" spans="1:24" s="169" customFormat="1" x14ac:dyDescent="0.25">
      <c r="A81" s="168" t="s">
        <v>455</v>
      </c>
      <c r="B81" s="168" t="s">
        <v>457</v>
      </c>
      <c r="C81" s="168" t="s">
        <v>608</v>
      </c>
      <c r="D81" s="163">
        <v>0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</v>
      </c>
      <c r="L81" s="163">
        <v>0</v>
      </c>
      <c r="M81" s="163">
        <v>1</v>
      </c>
      <c r="N81" s="163">
        <v>1</v>
      </c>
      <c r="O81" s="163">
        <v>0</v>
      </c>
      <c r="P81" s="168">
        <v>1</v>
      </c>
      <c r="Q81" s="168">
        <v>0</v>
      </c>
      <c r="R81" s="168">
        <v>0</v>
      </c>
      <c r="S81" s="168">
        <v>1</v>
      </c>
      <c r="T81" s="168">
        <v>2015</v>
      </c>
      <c r="U81" s="168">
        <v>10</v>
      </c>
      <c r="V81" s="168">
        <v>13</v>
      </c>
      <c r="W81" s="168">
        <v>1</v>
      </c>
      <c r="X81" s="169" t="str">
        <f t="shared" si="1"/>
        <v>/*ELI-880*/ 00000011 1;</v>
      </c>
    </row>
    <row r="82" spans="1:24" s="169" customFormat="1" x14ac:dyDescent="0.25">
      <c r="A82" s="168" t="s">
        <v>455</v>
      </c>
      <c r="B82" s="168" t="s">
        <v>458</v>
      </c>
      <c r="C82" s="168" t="s">
        <v>609</v>
      </c>
      <c r="D82" s="163">
        <v>0</v>
      </c>
      <c r="E82" s="163">
        <v>0</v>
      </c>
      <c r="F82" s="163">
        <v>0</v>
      </c>
      <c r="G82" s="163">
        <v>0</v>
      </c>
      <c r="H82" s="163">
        <v>0</v>
      </c>
      <c r="I82" s="163">
        <v>0</v>
      </c>
      <c r="J82" s="163">
        <v>0</v>
      </c>
      <c r="K82" s="163">
        <v>0</v>
      </c>
      <c r="L82" s="163">
        <v>0</v>
      </c>
      <c r="M82" s="163">
        <v>1</v>
      </c>
      <c r="N82" s="163">
        <v>1</v>
      </c>
      <c r="O82" s="163">
        <v>0</v>
      </c>
      <c r="P82" s="168">
        <v>1</v>
      </c>
      <c r="Q82" s="168">
        <v>0</v>
      </c>
      <c r="R82" s="168">
        <v>0</v>
      </c>
      <c r="S82" s="168">
        <v>1</v>
      </c>
      <c r="T82" s="168">
        <v>2015</v>
      </c>
      <c r="U82" s="168">
        <v>10</v>
      </c>
      <c r="V82" s="168">
        <v>9</v>
      </c>
      <c r="W82" s="168">
        <v>1</v>
      </c>
      <c r="X82" s="169" t="str">
        <f t="shared" si="1"/>
        <v>/*ELI-881*/ 00000011 1;</v>
      </c>
    </row>
    <row r="83" spans="1:24" s="169" customFormat="1" x14ac:dyDescent="0.25">
      <c r="A83" s="168" t="s">
        <v>455</v>
      </c>
      <c r="B83" s="168" t="s">
        <v>463</v>
      </c>
      <c r="C83" s="168" t="s">
        <v>610</v>
      </c>
      <c r="D83" s="163">
        <v>0</v>
      </c>
      <c r="E83" s="163">
        <v>0</v>
      </c>
      <c r="F83" s="163">
        <v>0</v>
      </c>
      <c r="G83" s="163">
        <v>0</v>
      </c>
      <c r="H83" s="163">
        <v>0</v>
      </c>
      <c r="I83" s="163">
        <v>0</v>
      </c>
      <c r="J83" s="163">
        <v>0</v>
      </c>
      <c r="K83" s="163">
        <v>0</v>
      </c>
      <c r="L83" s="163">
        <v>0</v>
      </c>
      <c r="M83" s="163">
        <v>1</v>
      </c>
      <c r="N83" s="163">
        <v>1</v>
      </c>
      <c r="O83" s="163">
        <v>0</v>
      </c>
      <c r="P83" s="168">
        <v>1</v>
      </c>
      <c r="Q83" s="168">
        <v>0</v>
      </c>
      <c r="R83" s="168">
        <v>0</v>
      </c>
      <c r="S83" s="168">
        <v>1</v>
      </c>
      <c r="T83" s="168">
        <v>2015</v>
      </c>
      <c r="U83" s="168">
        <v>10</v>
      </c>
      <c r="V83" s="168">
        <v>2</v>
      </c>
      <c r="W83" s="168">
        <v>1</v>
      </c>
      <c r="X83" s="169" t="str">
        <f t="shared" si="1"/>
        <v>/*ELI-882*/ 00000011 1;</v>
      </c>
    </row>
    <row r="84" spans="1:24" s="169" customFormat="1" x14ac:dyDescent="0.25">
      <c r="A84" s="168" t="s">
        <v>508</v>
      </c>
      <c r="B84" s="168" t="s">
        <v>147</v>
      </c>
      <c r="C84" s="168" t="s">
        <v>11</v>
      </c>
      <c r="D84" s="163">
        <v>0</v>
      </c>
      <c r="E84" s="163">
        <v>0</v>
      </c>
      <c r="F84" s="163">
        <v>0</v>
      </c>
      <c r="G84" s="163">
        <v>0</v>
      </c>
      <c r="H84" s="163">
        <v>0</v>
      </c>
      <c r="I84" s="163">
        <v>0</v>
      </c>
      <c r="J84" s="163">
        <v>1</v>
      </c>
      <c r="K84" s="163">
        <v>0</v>
      </c>
      <c r="L84" s="163">
        <v>0</v>
      </c>
      <c r="M84" s="163">
        <v>0</v>
      </c>
      <c r="N84" s="163">
        <v>0</v>
      </c>
      <c r="O84" s="163">
        <v>0</v>
      </c>
      <c r="P84" s="168">
        <v>1</v>
      </c>
      <c r="Q84" s="168">
        <v>1</v>
      </c>
      <c r="R84" s="168">
        <f>VLOOKUP(C84,[1]allprides!$C$2:$X$170,16,FALSE)</f>
        <v>0</v>
      </c>
      <c r="S84" s="168">
        <f>VLOOKUP(C84,[1]allprides!$C$2:$X$170,17,FALSE)</f>
        <v>1</v>
      </c>
      <c r="T84" s="168">
        <f>VLOOKUP(C84,[1]allprides!$C$2:$X$170,18,FALSE)</f>
        <v>2011</v>
      </c>
      <c r="U84" s="168">
        <f>VLOOKUP(C84,[1]allprides!$C$2:$X$170,19,FALSE)</f>
        <v>9</v>
      </c>
      <c r="V84" s="168">
        <f>VLOOKUP(C84,[1]allprides!$C$2:$X$170,20,FALSE)</f>
        <v>0</v>
      </c>
      <c r="W84" s="168">
        <v>1</v>
      </c>
      <c r="X84" s="169" t="str">
        <f t="shared" si="1"/>
        <v>/*ELI-438*/ 00010000 1;</v>
      </c>
    </row>
    <row r="85" spans="1:24" s="169" customFormat="1" x14ac:dyDescent="0.25">
      <c r="A85" s="168" t="s">
        <v>508</v>
      </c>
      <c r="B85" s="168" t="s">
        <v>148</v>
      </c>
      <c r="C85" s="168" t="s">
        <v>12</v>
      </c>
      <c r="D85" s="163">
        <v>0</v>
      </c>
      <c r="E85" s="163">
        <v>0</v>
      </c>
      <c r="F85" s="163">
        <v>0</v>
      </c>
      <c r="G85" s="163">
        <v>0</v>
      </c>
      <c r="H85" s="163">
        <v>0</v>
      </c>
      <c r="I85" s="163">
        <v>0</v>
      </c>
      <c r="J85" s="163">
        <v>1</v>
      </c>
      <c r="K85" s="163">
        <v>0</v>
      </c>
      <c r="L85" s="184">
        <v>1</v>
      </c>
      <c r="M85" s="163">
        <v>0</v>
      </c>
      <c r="N85" s="163">
        <v>0</v>
      </c>
      <c r="O85" s="163">
        <v>0</v>
      </c>
      <c r="P85" s="168">
        <v>1</v>
      </c>
      <c r="Q85" s="168">
        <v>1</v>
      </c>
      <c r="R85" s="168">
        <v>0</v>
      </c>
      <c r="S85" s="168">
        <v>1</v>
      </c>
      <c r="T85" s="168">
        <v>2011</v>
      </c>
      <c r="U85" s="168">
        <v>9</v>
      </c>
      <c r="V85" s="168">
        <v>0</v>
      </c>
      <c r="W85" s="168">
        <v>1</v>
      </c>
      <c r="X85" s="169" t="str">
        <f t="shared" si="1"/>
        <v>/*ELI-441*/ 00010100 1;</v>
      </c>
    </row>
    <row r="86" spans="1:24" s="169" customFormat="1" x14ac:dyDescent="0.25">
      <c r="A86" s="168" t="s">
        <v>508</v>
      </c>
      <c r="B86" s="168" t="s">
        <v>158</v>
      </c>
      <c r="C86" s="168" t="s">
        <v>159</v>
      </c>
      <c r="D86" s="163">
        <v>0</v>
      </c>
      <c r="E86" s="163">
        <v>0</v>
      </c>
      <c r="F86" s="163">
        <v>0</v>
      </c>
      <c r="G86" s="163">
        <v>0</v>
      </c>
      <c r="H86" s="163">
        <v>0</v>
      </c>
      <c r="I86" s="163">
        <v>0</v>
      </c>
      <c r="J86" s="163">
        <v>1</v>
      </c>
      <c r="K86" s="163">
        <v>0</v>
      </c>
      <c r="L86" s="163">
        <v>0</v>
      </c>
      <c r="M86" s="163">
        <v>0</v>
      </c>
      <c r="N86" s="163">
        <v>1</v>
      </c>
      <c r="O86" s="163">
        <v>0</v>
      </c>
      <c r="P86" s="168">
        <v>1</v>
      </c>
      <c r="Q86" s="168">
        <v>0</v>
      </c>
      <c r="R86" s="168">
        <v>0</v>
      </c>
      <c r="S86" s="168">
        <v>1</v>
      </c>
      <c r="T86" s="168">
        <v>2010</v>
      </c>
      <c r="U86" s="168">
        <v>8</v>
      </c>
      <c r="V86" s="168">
        <v>3</v>
      </c>
      <c r="W86" s="168">
        <v>1</v>
      </c>
      <c r="X86" s="169" t="str">
        <f t="shared" si="1"/>
        <v>/*ELI-444*/ 00010001 1;</v>
      </c>
    </row>
    <row r="87" spans="1:24" s="169" customFormat="1" x14ac:dyDescent="0.25">
      <c r="A87" s="168" t="s">
        <v>508</v>
      </c>
      <c r="B87" s="168" t="s">
        <v>636</v>
      </c>
      <c r="C87" s="168" t="s">
        <v>618</v>
      </c>
      <c r="D87" s="163">
        <v>0</v>
      </c>
      <c r="E87" s="163">
        <v>0</v>
      </c>
      <c r="F87" s="163">
        <v>0</v>
      </c>
      <c r="G87" s="163">
        <v>0</v>
      </c>
      <c r="H87" s="163">
        <v>0</v>
      </c>
      <c r="I87" s="163">
        <v>0</v>
      </c>
      <c r="J87" s="163">
        <v>1</v>
      </c>
      <c r="K87" s="163">
        <v>0</v>
      </c>
      <c r="L87" s="163">
        <v>0</v>
      </c>
      <c r="M87" s="163">
        <v>0</v>
      </c>
      <c r="N87" s="163">
        <v>1</v>
      </c>
      <c r="O87" s="163">
        <v>0</v>
      </c>
      <c r="P87" s="168">
        <v>1</v>
      </c>
      <c r="Q87" s="168">
        <v>0</v>
      </c>
      <c r="R87" s="168">
        <v>0</v>
      </c>
      <c r="S87" s="168">
        <v>1</v>
      </c>
      <c r="T87" s="168">
        <v>2015</v>
      </c>
      <c r="U87" s="168">
        <v>7</v>
      </c>
      <c r="V87" s="168">
        <v>2</v>
      </c>
      <c r="W87" s="168">
        <v>1</v>
      </c>
      <c r="X87" s="169" t="str">
        <f t="shared" si="1"/>
        <v>/*ELI-918*/ 00010001 1;</v>
      </c>
    </row>
    <row r="88" spans="1:24" s="169" customFormat="1" x14ac:dyDescent="0.25">
      <c r="A88" s="168" t="s">
        <v>508</v>
      </c>
      <c r="B88" s="168" t="s">
        <v>636</v>
      </c>
      <c r="C88" s="168" t="s">
        <v>619</v>
      </c>
      <c r="D88" s="163">
        <v>0</v>
      </c>
      <c r="E88" s="163">
        <v>0</v>
      </c>
      <c r="F88" s="163">
        <v>0</v>
      </c>
      <c r="G88" s="163">
        <v>0</v>
      </c>
      <c r="H88" s="163">
        <v>0</v>
      </c>
      <c r="I88" s="163">
        <v>0</v>
      </c>
      <c r="J88" s="163">
        <v>1</v>
      </c>
      <c r="K88" s="163">
        <v>0</v>
      </c>
      <c r="L88" s="163">
        <v>0</v>
      </c>
      <c r="M88" s="163">
        <v>0</v>
      </c>
      <c r="N88" s="163">
        <v>1</v>
      </c>
      <c r="O88" s="163">
        <v>0</v>
      </c>
      <c r="P88" s="168">
        <v>1</v>
      </c>
      <c r="Q88" s="168">
        <v>0</v>
      </c>
      <c r="R88" s="168">
        <v>0</v>
      </c>
      <c r="S88" s="168">
        <v>1</v>
      </c>
      <c r="T88" s="168">
        <v>2015</v>
      </c>
      <c r="U88" s="168">
        <v>7</v>
      </c>
      <c r="V88" s="168">
        <v>2</v>
      </c>
      <c r="W88" s="168">
        <v>1</v>
      </c>
      <c r="X88" s="169" t="str">
        <f t="shared" si="1"/>
        <v>/*ELI-919*/ 00010001 1;</v>
      </c>
    </row>
    <row r="89" spans="1:24" s="169" customFormat="1" x14ac:dyDescent="0.25">
      <c r="A89" s="168" t="s">
        <v>508</v>
      </c>
      <c r="B89" s="168" t="s">
        <v>161</v>
      </c>
      <c r="C89" s="168" t="s">
        <v>9</v>
      </c>
      <c r="D89" s="163">
        <v>0</v>
      </c>
      <c r="E89" s="163">
        <v>0</v>
      </c>
      <c r="F89" s="163">
        <v>0</v>
      </c>
      <c r="G89" s="163">
        <v>0</v>
      </c>
      <c r="H89" s="163">
        <v>0</v>
      </c>
      <c r="I89" s="163">
        <v>0</v>
      </c>
      <c r="J89" s="163">
        <v>1</v>
      </c>
      <c r="K89" s="163">
        <v>0</v>
      </c>
      <c r="L89" s="184">
        <v>1</v>
      </c>
      <c r="M89" s="163">
        <v>0</v>
      </c>
      <c r="N89" s="163">
        <v>0</v>
      </c>
      <c r="O89" s="163">
        <v>0</v>
      </c>
      <c r="P89" s="168">
        <f>VLOOKUP(C89,[1]allprides!$C$2:$X$170,14,FALSE)</f>
        <v>1</v>
      </c>
      <c r="Q89" s="168">
        <f>VLOOKUP(C89,[1]allprides!$C$2:$X$170,15,FALSE)</f>
        <v>0</v>
      </c>
      <c r="R89" s="168">
        <v>0</v>
      </c>
      <c r="S89" s="168">
        <f>VLOOKUP(C89,[1]allprides!$C$2:$X$170,17,FALSE)</f>
        <v>1</v>
      </c>
      <c r="T89" s="168">
        <f>VLOOKUP(C89,[1]allprides!$C$2:$X$170,18,FALSE)</f>
        <v>2011</v>
      </c>
      <c r="U89" s="168">
        <f>VLOOKUP(C89,[1]allprides!$C$2:$X$170,19,FALSE)</f>
        <v>9</v>
      </c>
      <c r="V89" s="168">
        <f>VLOOKUP(C89,[1]allprides!$C$2:$X$170,20,FALSE)</f>
        <v>0</v>
      </c>
      <c r="W89" s="168">
        <v>1</v>
      </c>
      <c r="X89" s="169" t="str">
        <f t="shared" si="1"/>
        <v>/*ELI-440*/ 00010100 1;</v>
      </c>
    </row>
    <row r="90" spans="1:24" s="169" customFormat="1" x14ac:dyDescent="0.25">
      <c r="A90" s="168" t="s">
        <v>509</v>
      </c>
      <c r="B90" s="168" t="s">
        <v>170</v>
      </c>
      <c r="C90" s="168" t="s">
        <v>29</v>
      </c>
      <c r="D90" s="163">
        <v>0</v>
      </c>
      <c r="E90" s="163">
        <v>0</v>
      </c>
      <c r="F90" s="163">
        <v>0</v>
      </c>
      <c r="G90" s="163">
        <v>0</v>
      </c>
      <c r="H90" s="162">
        <v>1</v>
      </c>
      <c r="I90" s="162">
        <v>1</v>
      </c>
      <c r="J90" s="162">
        <v>1</v>
      </c>
      <c r="K90" s="162">
        <v>1</v>
      </c>
      <c r="L90" s="163">
        <v>1</v>
      </c>
      <c r="M90" s="163">
        <v>0</v>
      </c>
      <c r="N90" s="163">
        <v>0</v>
      </c>
      <c r="O90" s="163">
        <v>0</v>
      </c>
      <c r="P90" s="168">
        <f>VLOOKUP(C90,[1]allprides!$C$2:$X$170,14,FALSE)</f>
        <v>1</v>
      </c>
      <c r="Q90" s="168">
        <f>VLOOKUP(C90,[1]allprides!$C$2:$X$170,15,FALSE)</f>
        <v>0</v>
      </c>
      <c r="R90" s="168">
        <f>VLOOKUP(C90,[1]allprides!$C$2:$X$170,16,FALSE)</f>
        <v>0</v>
      </c>
      <c r="S90" s="168">
        <f>VLOOKUP(C90,[1]allprides!$C$2:$X$170,17,FALSE)</f>
        <v>1</v>
      </c>
      <c r="T90" s="168">
        <f>VLOOKUP(C90,[1]allprides!$C$2:$X$170,18,FALSE)</f>
        <v>2009</v>
      </c>
      <c r="U90" s="168">
        <f>VLOOKUP(C90,[1]allprides!$C$2:$X$170,19,FALSE)</f>
        <v>8</v>
      </c>
      <c r="V90" s="168">
        <f>VLOOKUP(C90,[1]allprides!$C$2:$X$170,20,FALSE)</f>
        <v>2</v>
      </c>
      <c r="W90" s="168">
        <v>0</v>
      </c>
      <c r="X90" s="169" t="str">
        <f t="shared" si="1"/>
        <v>/*ELI-197*/ 01111100 1;</v>
      </c>
    </row>
    <row r="91" spans="1:24" s="169" customFormat="1" x14ac:dyDescent="0.25">
      <c r="A91" s="168" t="s">
        <v>509</v>
      </c>
      <c r="B91" s="168" t="s">
        <v>171</v>
      </c>
      <c r="C91" s="168" t="s">
        <v>30</v>
      </c>
      <c r="D91" s="163">
        <v>0</v>
      </c>
      <c r="E91" s="163">
        <v>0</v>
      </c>
      <c r="F91" s="163">
        <v>0</v>
      </c>
      <c r="G91" s="163">
        <v>0</v>
      </c>
      <c r="H91" s="162">
        <v>1</v>
      </c>
      <c r="I91" s="162">
        <v>1</v>
      </c>
      <c r="J91" s="162">
        <v>1</v>
      </c>
      <c r="K91" s="162">
        <v>1</v>
      </c>
      <c r="L91" s="163">
        <v>1</v>
      </c>
      <c r="M91" s="163">
        <v>0</v>
      </c>
      <c r="N91" s="163">
        <v>0</v>
      </c>
      <c r="O91" s="163">
        <v>0</v>
      </c>
      <c r="P91" s="168">
        <f>VLOOKUP(C91,[1]allprides!$C$2:$X$170,14,FALSE)</f>
        <v>1</v>
      </c>
      <c r="Q91" s="168">
        <f>VLOOKUP(C91,[1]allprides!$C$2:$X$170,15,FALSE)</f>
        <v>0</v>
      </c>
      <c r="R91" s="168">
        <f>VLOOKUP(C91,[1]allprides!$C$2:$X$170,16,FALSE)</f>
        <v>0</v>
      </c>
      <c r="S91" s="168">
        <f>VLOOKUP(C91,[1]allprides!$C$2:$X$170,17,FALSE)</f>
        <v>1</v>
      </c>
      <c r="T91" s="168">
        <f>VLOOKUP(C91,[1]allprides!$C$2:$X$170,18,FALSE)</f>
        <v>2009</v>
      </c>
      <c r="U91" s="168">
        <f>VLOOKUP(C91,[1]allprides!$C$2:$X$170,19,FALSE)</f>
        <v>8</v>
      </c>
      <c r="V91" s="168">
        <f>VLOOKUP(C91,[1]allprides!$C$2:$X$170,20,FALSE)</f>
        <v>5</v>
      </c>
      <c r="W91" s="168">
        <v>0</v>
      </c>
      <c r="X91" s="169" t="str">
        <f t="shared" si="1"/>
        <v>/*ELI-198*/ 01111100 1;</v>
      </c>
    </row>
    <row r="92" spans="1:24" s="169" customFormat="1" x14ac:dyDescent="0.25">
      <c r="A92" s="168" t="s">
        <v>509</v>
      </c>
      <c r="B92" s="168" t="s">
        <v>172</v>
      </c>
      <c r="C92" s="168" t="s">
        <v>31</v>
      </c>
      <c r="D92" s="163">
        <v>0</v>
      </c>
      <c r="E92" s="163">
        <v>0</v>
      </c>
      <c r="F92" s="163">
        <v>0</v>
      </c>
      <c r="G92" s="163">
        <v>0</v>
      </c>
      <c r="H92" s="162">
        <v>1</v>
      </c>
      <c r="I92" s="162">
        <v>1</v>
      </c>
      <c r="J92" s="162">
        <v>1</v>
      </c>
      <c r="K92" s="162">
        <v>1</v>
      </c>
      <c r="L92" s="163">
        <v>1</v>
      </c>
      <c r="M92" s="163">
        <v>0</v>
      </c>
      <c r="N92" s="163">
        <v>0</v>
      </c>
      <c r="O92" s="163">
        <v>0</v>
      </c>
      <c r="P92" s="168">
        <f>VLOOKUP(C92,[1]allprides!$C$2:$X$170,14,FALSE)</f>
        <v>1</v>
      </c>
      <c r="Q92" s="168">
        <f>VLOOKUP(C92,[1]allprides!$C$2:$X$170,15,FALSE)</f>
        <v>0</v>
      </c>
      <c r="R92" s="168">
        <f>VLOOKUP(C92,[1]allprides!$C$2:$X$170,16,FALSE)</f>
        <v>0</v>
      </c>
      <c r="S92" s="168">
        <f>VLOOKUP(C92,[1]allprides!$C$2:$X$170,17,FALSE)</f>
        <v>1</v>
      </c>
      <c r="T92" s="168">
        <f>VLOOKUP(C92,[1]allprides!$C$2:$X$170,18,FALSE)</f>
        <v>2009</v>
      </c>
      <c r="U92" s="168">
        <f>VLOOKUP(C92,[1]allprides!$C$2:$X$170,19,FALSE)</f>
        <v>8</v>
      </c>
      <c r="V92" s="168">
        <f>VLOOKUP(C92,[1]allprides!$C$2:$X$170,20,FALSE)</f>
        <v>4</v>
      </c>
      <c r="W92" s="168">
        <v>0</v>
      </c>
      <c r="X92" s="169" t="str">
        <f t="shared" si="1"/>
        <v>/*ELI-230*/ 01111100 1;</v>
      </c>
    </row>
    <row r="93" spans="1:24" s="169" customFormat="1" x14ac:dyDescent="0.25">
      <c r="A93" s="168" t="s">
        <v>509</v>
      </c>
      <c r="B93" s="168" t="s">
        <v>173</v>
      </c>
      <c r="C93" s="168" t="s">
        <v>32</v>
      </c>
      <c r="D93" s="163">
        <v>0</v>
      </c>
      <c r="E93" s="163">
        <v>0</v>
      </c>
      <c r="F93" s="163">
        <v>0</v>
      </c>
      <c r="G93" s="163">
        <v>0</v>
      </c>
      <c r="H93" s="162">
        <v>1</v>
      </c>
      <c r="I93" s="162">
        <v>0</v>
      </c>
      <c r="J93" s="162">
        <v>1</v>
      </c>
      <c r="K93" s="162">
        <v>1</v>
      </c>
      <c r="L93" s="163">
        <v>0</v>
      </c>
      <c r="M93" s="163">
        <v>0</v>
      </c>
      <c r="N93" s="163">
        <v>0</v>
      </c>
      <c r="O93" s="163">
        <v>0</v>
      </c>
      <c r="P93" s="168">
        <f>VLOOKUP(C93,[1]allprides!$C$2:$X$170,14,FALSE)</f>
        <v>1</v>
      </c>
      <c r="Q93" s="168">
        <f>VLOOKUP(C93,[1]allprides!$C$2:$X$170,15,FALSE)</f>
        <v>0</v>
      </c>
      <c r="R93" s="168">
        <f>VLOOKUP(C93,[1]allprides!$C$2:$X$170,16,FALSE)</f>
        <v>0</v>
      </c>
      <c r="S93" s="168">
        <f>VLOOKUP(C93,[1]allprides!$C$2:$X$170,17,FALSE)</f>
        <v>1</v>
      </c>
      <c r="T93" s="168">
        <f>VLOOKUP(C93,[1]allprides!$C$2:$X$170,18,FALSE)</f>
        <v>2009</v>
      </c>
      <c r="U93" s="168">
        <f>VLOOKUP(C93,[1]allprides!$C$2:$X$170,19,FALSE)</f>
        <v>8</v>
      </c>
      <c r="V93" s="168">
        <f>VLOOKUP(C93,[1]allprides!$C$2:$X$170,20,FALSE)</f>
        <v>0</v>
      </c>
      <c r="W93" s="168">
        <v>0</v>
      </c>
      <c r="X93" s="169" t="str">
        <f t="shared" si="1"/>
        <v>/*ELI-231*/ 01011000 1;</v>
      </c>
    </row>
    <row r="94" spans="1:24" s="169" customFormat="1" x14ac:dyDescent="0.25">
      <c r="A94" s="168" t="s">
        <v>509</v>
      </c>
      <c r="B94" s="168" t="s">
        <v>175</v>
      </c>
      <c r="C94" s="168" t="s">
        <v>34</v>
      </c>
      <c r="D94" s="163">
        <v>0</v>
      </c>
      <c r="E94" s="163">
        <v>0</v>
      </c>
      <c r="F94" s="163">
        <v>0</v>
      </c>
      <c r="G94" s="163">
        <v>0</v>
      </c>
      <c r="H94" s="163">
        <v>0</v>
      </c>
      <c r="I94" s="163">
        <v>0</v>
      </c>
      <c r="J94" s="162">
        <v>1</v>
      </c>
      <c r="K94" s="163">
        <v>0</v>
      </c>
      <c r="L94" s="163">
        <v>0</v>
      </c>
      <c r="M94" s="163">
        <v>0</v>
      </c>
      <c r="N94" s="163">
        <v>0</v>
      </c>
      <c r="O94" s="163">
        <v>0</v>
      </c>
      <c r="P94" s="168">
        <f>VLOOKUP(C94,[1]allprides!$C$2:$X$170,14,FALSE)</f>
        <v>1</v>
      </c>
      <c r="Q94" s="168">
        <f>VLOOKUP(C94,[1]allprides!$C$2:$X$170,15,FALSE)</f>
        <v>0</v>
      </c>
      <c r="R94" s="168">
        <f>VLOOKUP(C94,[1]allprides!$C$2:$X$170,16,FALSE)</f>
        <v>0</v>
      </c>
      <c r="S94" s="168">
        <f>VLOOKUP(C94,[1]allprides!$C$2:$X$170,17,FALSE)</f>
        <v>1</v>
      </c>
      <c r="T94" s="168">
        <f>VLOOKUP(C94,[1]allprides!$C$2:$X$170,18,FALSE)</f>
        <v>2012</v>
      </c>
      <c r="U94" s="168">
        <f>VLOOKUP(C94,[1]allprides!$C$2:$X$170,19,FALSE)</f>
        <v>10</v>
      </c>
      <c r="V94" s="168">
        <f>VLOOKUP(C94,[1]allprides!$C$2:$X$170,20,FALSE)</f>
        <v>3</v>
      </c>
      <c r="W94" s="168">
        <v>0</v>
      </c>
      <c r="X94" s="169" t="str">
        <f t="shared" si="1"/>
        <v>/*ELI-424*/ 00010000 1;</v>
      </c>
    </row>
    <row r="95" spans="1:24" s="169" customFormat="1" x14ac:dyDescent="0.25">
      <c r="A95" s="168" t="s">
        <v>509</v>
      </c>
      <c r="B95" s="168" t="s">
        <v>519</v>
      </c>
      <c r="C95" s="168" t="s">
        <v>433</v>
      </c>
      <c r="D95" s="163">
        <v>0</v>
      </c>
      <c r="E95" s="163">
        <v>0</v>
      </c>
      <c r="F95" s="163">
        <v>0</v>
      </c>
      <c r="G95" s="163">
        <v>0</v>
      </c>
      <c r="H95" s="163">
        <v>0</v>
      </c>
      <c r="I95" s="163">
        <v>0</v>
      </c>
      <c r="J95" s="162">
        <v>1</v>
      </c>
      <c r="K95" s="163">
        <v>1</v>
      </c>
      <c r="L95" s="163">
        <v>1</v>
      </c>
      <c r="M95" s="163">
        <v>0</v>
      </c>
      <c r="N95" s="163">
        <v>0</v>
      </c>
      <c r="O95" s="163">
        <v>0</v>
      </c>
      <c r="P95" s="168">
        <f>VLOOKUP(C95,[1]allprides!$C$2:$X$170,14,FALSE)</f>
        <v>1</v>
      </c>
      <c r="Q95" s="168">
        <f>VLOOKUP(C95,[1]allprides!$C$2:$X$170,15,FALSE)</f>
        <v>0</v>
      </c>
      <c r="R95" s="168">
        <f>VLOOKUP(C95,[1]allprides!$C$2:$X$170,16,FALSE)</f>
        <v>0</v>
      </c>
      <c r="S95" s="168">
        <f>VLOOKUP(C95,[1]allprides!$C$2:$X$170,17,FALSE)</f>
        <v>1</v>
      </c>
      <c r="T95" s="168">
        <f>VLOOKUP(C95,[1]allprides!$C$2:$X$170,18,FALSE)</f>
        <v>2011</v>
      </c>
      <c r="U95" s="168">
        <f>VLOOKUP(C95,[1]allprides!$C$2:$X$170,19,FALSE)</f>
        <v>6</v>
      </c>
      <c r="V95" s="168">
        <f>VLOOKUP(C95,[1]allprides!$C$2:$X$170,20,FALSE)</f>
        <v>2</v>
      </c>
      <c r="W95" s="168">
        <v>0</v>
      </c>
      <c r="X95" s="169" t="str">
        <f t="shared" si="1"/>
        <v>/*ELI-425*/ 00011100 1;</v>
      </c>
    </row>
    <row r="96" spans="1:24" s="169" customFormat="1" x14ac:dyDescent="0.25">
      <c r="A96" s="168" t="s">
        <v>509</v>
      </c>
      <c r="B96" s="167" t="s">
        <v>510</v>
      </c>
      <c r="C96" s="168" t="s">
        <v>351</v>
      </c>
      <c r="D96" s="163">
        <v>0</v>
      </c>
      <c r="E96" s="163">
        <v>0</v>
      </c>
      <c r="F96" s="163">
        <v>0</v>
      </c>
      <c r="G96" s="163">
        <v>0</v>
      </c>
      <c r="H96" s="162">
        <v>1</v>
      </c>
      <c r="I96" s="162">
        <v>1</v>
      </c>
      <c r="J96" s="162">
        <v>1</v>
      </c>
      <c r="K96" s="162">
        <v>1</v>
      </c>
      <c r="L96" s="162">
        <v>1</v>
      </c>
      <c r="M96" s="163">
        <v>0</v>
      </c>
      <c r="N96" s="163">
        <v>0</v>
      </c>
      <c r="O96" s="163">
        <v>0</v>
      </c>
      <c r="P96" s="168">
        <f>VLOOKUP(C96,[1]allprides!$C$2:$X$170,14,FALSE)</f>
        <v>1</v>
      </c>
      <c r="Q96" s="168">
        <f>VLOOKUP(C96,[1]allprides!$C$2:$X$170,15,FALSE)</f>
        <v>0</v>
      </c>
      <c r="R96" s="168">
        <f>VLOOKUP(C96,[1]allprides!$C$2:$X$170,16,FALSE)</f>
        <v>0</v>
      </c>
      <c r="S96" s="168">
        <f>VLOOKUP(C96,[1]allprides!$C$2:$X$170,17,FALSE)</f>
        <v>1</v>
      </c>
      <c r="T96" s="168">
        <f>VLOOKUP(C96,[1]allprides!$C$2:$X$170,18,FALSE)</f>
        <v>2013</v>
      </c>
      <c r="U96" s="168">
        <f>VLOOKUP(C96,[1]allprides!$C$2:$X$170,19,FALSE)</f>
        <v>9</v>
      </c>
      <c r="V96" s="168">
        <f>VLOOKUP(C96,[1]allprides!$C$2:$X$170,20,FALSE)</f>
        <v>0</v>
      </c>
      <c r="W96" s="168">
        <v>0</v>
      </c>
      <c r="X96" s="169" t="str">
        <f t="shared" si="1"/>
        <v>/*ELI-613*/ 01111100 1;</v>
      </c>
    </row>
    <row r="97" spans="1:24" s="169" customFormat="1" x14ac:dyDescent="0.25">
      <c r="A97" s="168" t="s">
        <v>509</v>
      </c>
      <c r="B97" s="167" t="s">
        <v>511</v>
      </c>
      <c r="C97" s="168" t="s">
        <v>356</v>
      </c>
      <c r="D97" s="163">
        <v>0</v>
      </c>
      <c r="E97" s="163">
        <v>0</v>
      </c>
      <c r="F97" s="163">
        <v>0</v>
      </c>
      <c r="G97" s="163">
        <v>0</v>
      </c>
      <c r="H97" s="163">
        <v>0</v>
      </c>
      <c r="I97" s="162">
        <v>1</v>
      </c>
      <c r="J97" s="162">
        <v>1</v>
      </c>
      <c r="K97" s="162">
        <v>0</v>
      </c>
      <c r="L97" s="162">
        <v>1</v>
      </c>
      <c r="M97" s="163">
        <v>0</v>
      </c>
      <c r="N97" s="163">
        <v>0</v>
      </c>
      <c r="O97" s="163">
        <v>0</v>
      </c>
      <c r="P97" s="168">
        <f>VLOOKUP(C97,[1]allprides!$C$2:$X$170,14,FALSE)</f>
        <v>1</v>
      </c>
      <c r="Q97" s="168">
        <f>VLOOKUP(C97,[1]allprides!$C$2:$X$170,15,FALSE)</f>
        <v>1</v>
      </c>
      <c r="R97" s="168">
        <f>VLOOKUP(C97,[1]allprides!$C$2:$X$170,16,FALSE)</f>
        <v>0</v>
      </c>
      <c r="S97" s="168">
        <f>VLOOKUP(C97,[1]allprides!$C$2:$X$170,17,FALSE)</f>
        <v>1</v>
      </c>
      <c r="T97" s="168">
        <f>VLOOKUP(C97,[1]allprides!$C$2:$X$170,18,FALSE)</f>
        <v>2013</v>
      </c>
      <c r="U97" s="168">
        <f>VLOOKUP(C97,[1]allprides!$C$2:$X$170,19,FALSE)</f>
        <v>9</v>
      </c>
      <c r="V97" s="168">
        <f>VLOOKUP(C97,[1]allprides!$C$2:$X$170,20,FALSE)</f>
        <v>0</v>
      </c>
      <c r="W97" s="168">
        <v>0</v>
      </c>
      <c r="X97" s="169" t="str">
        <f t="shared" si="1"/>
        <v>/*ELI-615*/ 00110100 1;</v>
      </c>
    </row>
    <row r="98" spans="1:24" s="169" customFormat="1" x14ac:dyDescent="0.25">
      <c r="A98" s="168" t="s">
        <v>509</v>
      </c>
      <c r="B98" s="167" t="s">
        <v>512</v>
      </c>
      <c r="C98" s="168" t="s">
        <v>352</v>
      </c>
      <c r="D98" s="163">
        <v>0</v>
      </c>
      <c r="E98" s="163">
        <v>0</v>
      </c>
      <c r="F98" s="163">
        <v>0</v>
      </c>
      <c r="G98" s="163">
        <v>0</v>
      </c>
      <c r="H98" s="162">
        <v>1</v>
      </c>
      <c r="I98" s="162">
        <v>1</v>
      </c>
      <c r="J98" s="162">
        <v>1</v>
      </c>
      <c r="K98" s="162">
        <v>1</v>
      </c>
      <c r="L98" s="162">
        <v>1</v>
      </c>
      <c r="M98" s="163">
        <v>0</v>
      </c>
      <c r="N98" s="163">
        <v>0</v>
      </c>
      <c r="O98" s="163">
        <v>0</v>
      </c>
      <c r="P98" s="168">
        <f>VLOOKUP(C98,[1]allprides!$C$2:$X$170,14,FALSE)</f>
        <v>1</v>
      </c>
      <c r="Q98" s="168">
        <f>VLOOKUP(C98,[1]allprides!$C$2:$X$170,15,FALSE)</f>
        <v>0</v>
      </c>
      <c r="R98" s="168">
        <f>VLOOKUP(C98,[1]allprides!$C$2:$X$170,16,FALSE)</f>
        <v>0</v>
      </c>
      <c r="S98" s="168">
        <f>VLOOKUP(C98,[1]allprides!$C$2:$X$170,17,FALSE)</f>
        <v>1</v>
      </c>
      <c r="T98" s="168">
        <f>VLOOKUP(C98,[1]allprides!$C$2:$X$170,18,FALSE)</f>
        <v>2013</v>
      </c>
      <c r="U98" s="168">
        <f>VLOOKUP(C98,[1]allprides!$C$2:$X$170,19,FALSE)</f>
        <v>9</v>
      </c>
      <c r="V98" s="168">
        <f>VLOOKUP(C98,[1]allprides!$C$2:$X$170,20,FALSE)</f>
        <v>0</v>
      </c>
      <c r="W98" s="168">
        <v>0</v>
      </c>
      <c r="X98" s="169" t="str">
        <f t="shared" si="1"/>
        <v>/*ELI-616*/ 01111100 1;</v>
      </c>
    </row>
    <row r="99" spans="1:24" s="169" customFormat="1" x14ac:dyDescent="0.25">
      <c r="A99" s="168" t="s">
        <v>509</v>
      </c>
      <c r="B99" s="167" t="s">
        <v>513</v>
      </c>
      <c r="C99" s="168" t="s">
        <v>358</v>
      </c>
      <c r="D99" s="163">
        <v>0</v>
      </c>
      <c r="E99" s="163">
        <v>0</v>
      </c>
      <c r="F99" s="163">
        <v>0</v>
      </c>
      <c r="G99" s="163">
        <v>0</v>
      </c>
      <c r="H99" s="163">
        <v>0</v>
      </c>
      <c r="I99" s="162">
        <v>1</v>
      </c>
      <c r="J99" s="162">
        <v>1</v>
      </c>
      <c r="K99" s="163">
        <v>1</v>
      </c>
      <c r="L99" s="162">
        <v>1</v>
      </c>
      <c r="M99" s="163">
        <v>0</v>
      </c>
      <c r="N99" s="163">
        <v>0</v>
      </c>
      <c r="O99" s="163">
        <v>0</v>
      </c>
      <c r="P99" s="168">
        <f>VLOOKUP(C99,[1]allprides!$C$2:$X$170,14,FALSE)</f>
        <v>1</v>
      </c>
      <c r="Q99" s="168">
        <f>VLOOKUP(C99,[1]allprides!$C$2:$X$170,15,FALSE)</f>
        <v>1</v>
      </c>
      <c r="R99" s="168">
        <f>VLOOKUP(C99,[1]allprides!$C$2:$X$170,16,FALSE)</f>
        <v>0</v>
      </c>
      <c r="S99" s="168">
        <f>VLOOKUP(C99,[1]allprides!$C$2:$X$170,17,FALSE)</f>
        <v>1</v>
      </c>
      <c r="T99" s="168">
        <f>VLOOKUP(C99,[1]allprides!$C$2:$X$170,18,FALSE)</f>
        <v>2013</v>
      </c>
      <c r="U99" s="168">
        <f>VLOOKUP(C99,[1]allprides!$C$2:$X$170,19,FALSE)</f>
        <v>9</v>
      </c>
      <c r="V99" s="168">
        <f>VLOOKUP(C99,[1]allprides!$C$2:$X$170,20,FALSE)</f>
        <v>0</v>
      </c>
      <c r="W99" s="168">
        <v>0</v>
      </c>
      <c r="X99" s="169" t="str">
        <f t="shared" si="1"/>
        <v>/*ELI-617*/ 00111100 1;</v>
      </c>
    </row>
    <row r="100" spans="1:24" s="169" customFormat="1" x14ac:dyDescent="0.25">
      <c r="A100" s="168" t="s">
        <v>509</v>
      </c>
      <c r="B100" s="167" t="s">
        <v>514</v>
      </c>
      <c r="C100" s="168" t="s">
        <v>353</v>
      </c>
      <c r="D100" s="163">
        <v>0</v>
      </c>
      <c r="E100" s="163">
        <v>0</v>
      </c>
      <c r="F100" s="163">
        <v>0</v>
      </c>
      <c r="G100" s="163">
        <v>0</v>
      </c>
      <c r="H100" s="162">
        <v>1</v>
      </c>
      <c r="I100" s="162">
        <v>1</v>
      </c>
      <c r="J100" s="162">
        <v>1</v>
      </c>
      <c r="K100" s="162">
        <v>1</v>
      </c>
      <c r="L100" s="162">
        <v>1</v>
      </c>
      <c r="M100" s="163">
        <v>0</v>
      </c>
      <c r="N100" s="163">
        <v>0</v>
      </c>
      <c r="O100" s="163">
        <v>0</v>
      </c>
      <c r="P100" s="168">
        <f>VLOOKUP(C100,[1]allprides!$C$2:$X$170,14,FALSE)</f>
        <v>1</v>
      </c>
      <c r="Q100" s="168">
        <f>VLOOKUP(C100,[1]allprides!$C$2:$X$170,15,FALSE)</f>
        <v>0</v>
      </c>
      <c r="R100" s="168">
        <f>VLOOKUP(C100,[1]allprides!$C$2:$X$170,16,FALSE)</f>
        <v>0</v>
      </c>
      <c r="S100" s="168">
        <f>VLOOKUP(C100,[1]allprides!$C$2:$X$170,17,FALSE)</f>
        <v>1</v>
      </c>
      <c r="T100" s="168">
        <f>VLOOKUP(C100,[1]allprides!$C$2:$X$170,18,FALSE)</f>
        <v>2013</v>
      </c>
      <c r="U100" s="168">
        <f>VLOOKUP(C100,[1]allprides!$C$2:$X$170,19,FALSE)</f>
        <v>9</v>
      </c>
      <c r="V100" s="168">
        <f>VLOOKUP(C100,[1]allprides!$C$2:$X$170,20,FALSE)</f>
        <v>0</v>
      </c>
      <c r="W100" s="168">
        <v>0</v>
      </c>
      <c r="X100" s="169" t="str">
        <f t="shared" si="1"/>
        <v>/*ELI-618*/ 01111100 1;</v>
      </c>
    </row>
    <row r="101" spans="1:24" s="169" customFormat="1" x14ac:dyDescent="0.25">
      <c r="A101" s="168" t="s">
        <v>509</v>
      </c>
      <c r="B101" s="167" t="s">
        <v>518</v>
      </c>
      <c r="C101" s="168" t="s">
        <v>359</v>
      </c>
      <c r="D101" s="163">
        <v>0</v>
      </c>
      <c r="E101" s="163">
        <v>0</v>
      </c>
      <c r="F101" s="163">
        <v>0</v>
      </c>
      <c r="G101" s="163">
        <v>0</v>
      </c>
      <c r="H101" s="163">
        <v>0</v>
      </c>
      <c r="I101" s="170">
        <v>1</v>
      </c>
      <c r="J101" s="170">
        <v>1</v>
      </c>
      <c r="K101" s="163">
        <v>0</v>
      </c>
      <c r="L101" s="170">
        <v>1</v>
      </c>
      <c r="M101" s="163">
        <v>0</v>
      </c>
      <c r="N101" s="163">
        <v>0</v>
      </c>
      <c r="O101" s="163">
        <v>0</v>
      </c>
      <c r="P101" s="168">
        <f>VLOOKUP(C101,[1]allprides!$C$2:$X$170,14,FALSE)</f>
        <v>1</v>
      </c>
      <c r="Q101" s="168">
        <f>VLOOKUP(C101,[1]allprides!$C$2:$X$170,15,FALSE)</f>
        <v>0</v>
      </c>
      <c r="R101" s="168">
        <f>VLOOKUP(C101,[1]allprides!$C$2:$X$170,16,FALSE)</f>
        <v>0</v>
      </c>
      <c r="S101" s="168">
        <f>VLOOKUP(C101,[1]allprides!$C$2:$X$170,17,FALSE)</f>
        <v>1</v>
      </c>
      <c r="T101" s="168">
        <f>VLOOKUP(C101,[1]allprides!$C$2:$X$170,18,FALSE)</f>
        <v>2014</v>
      </c>
      <c r="U101" s="168">
        <f>VLOOKUP(C101,[1]allprides!$C$2:$X$170,19,FALSE)</f>
        <v>9</v>
      </c>
      <c r="V101" s="168">
        <f>VLOOKUP(C101,[1]allprides!$C$2:$X$170,20,FALSE)</f>
        <v>0</v>
      </c>
      <c r="W101" s="168">
        <v>0</v>
      </c>
      <c r="X101" s="169" t="str">
        <f t="shared" si="1"/>
        <v>/*ELI-738*/ 00110100 1;</v>
      </c>
    </row>
    <row r="102" spans="1:24" s="169" customFormat="1" x14ac:dyDescent="0.25">
      <c r="A102" s="168" t="s">
        <v>509</v>
      </c>
      <c r="B102" s="167" t="s">
        <v>517</v>
      </c>
      <c r="C102" s="168" t="s">
        <v>354</v>
      </c>
      <c r="D102" s="163">
        <v>0</v>
      </c>
      <c r="E102" s="163">
        <v>0</v>
      </c>
      <c r="F102" s="163">
        <v>0</v>
      </c>
      <c r="G102" s="163">
        <v>0</v>
      </c>
      <c r="H102" s="170">
        <v>1</v>
      </c>
      <c r="I102" s="170">
        <v>1</v>
      </c>
      <c r="J102" s="170">
        <v>1</v>
      </c>
      <c r="K102" s="163">
        <v>1</v>
      </c>
      <c r="L102" s="170">
        <v>1</v>
      </c>
      <c r="M102" s="163">
        <v>0</v>
      </c>
      <c r="N102" s="163">
        <v>0</v>
      </c>
      <c r="O102" s="163">
        <v>0</v>
      </c>
      <c r="P102" s="168">
        <f>VLOOKUP(C102,[1]allprides!$C$2:$X$170,14,FALSE)</f>
        <v>1</v>
      </c>
      <c r="Q102" s="168">
        <f>VLOOKUP(C102,[1]allprides!$C$2:$X$170,15,FALSE)</f>
        <v>1</v>
      </c>
      <c r="R102" s="168">
        <f>VLOOKUP(C102,[1]allprides!$C$2:$X$170,16,FALSE)</f>
        <v>0</v>
      </c>
      <c r="S102" s="168">
        <f>VLOOKUP(C102,[1]allprides!$C$2:$X$170,17,FALSE)</f>
        <v>1</v>
      </c>
      <c r="T102" s="168">
        <f>VLOOKUP(C102,[1]allprides!$C$2:$X$170,18,FALSE)</f>
        <v>2014</v>
      </c>
      <c r="U102" s="168">
        <f>VLOOKUP(C102,[1]allprides!$C$2:$X$170,19,FALSE)</f>
        <v>8</v>
      </c>
      <c r="V102" s="168">
        <f>VLOOKUP(C102,[1]allprides!$C$2:$X$170,20,FALSE)</f>
        <v>0</v>
      </c>
      <c r="W102" s="168">
        <v>0</v>
      </c>
      <c r="X102" s="169" t="str">
        <f t="shared" si="1"/>
        <v>/*ELI-737*/ 01111100 1;</v>
      </c>
    </row>
    <row r="103" spans="1:24" s="169" customFormat="1" x14ac:dyDescent="0.25">
      <c r="A103" s="168" t="s">
        <v>509</v>
      </c>
      <c r="B103" s="167" t="s">
        <v>516</v>
      </c>
      <c r="C103" s="168" t="s">
        <v>355</v>
      </c>
      <c r="D103" s="163">
        <v>0</v>
      </c>
      <c r="E103" s="163">
        <v>0</v>
      </c>
      <c r="F103" s="163">
        <v>0</v>
      </c>
      <c r="G103" s="163">
        <v>0</v>
      </c>
      <c r="H103" s="170">
        <v>1</v>
      </c>
      <c r="I103" s="170">
        <v>1</v>
      </c>
      <c r="J103" s="170">
        <v>1</v>
      </c>
      <c r="K103" s="170">
        <v>1</v>
      </c>
      <c r="L103" s="170">
        <v>1</v>
      </c>
      <c r="M103" s="163">
        <v>0</v>
      </c>
      <c r="N103" s="163">
        <v>0</v>
      </c>
      <c r="O103" s="163">
        <v>0</v>
      </c>
      <c r="P103" s="168">
        <f>VLOOKUP(C103,[1]allprides!$C$2:$X$170,14,FALSE)</f>
        <v>1</v>
      </c>
      <c r="Q103" s="168">
        <f>VLOOKUP(C103,[1]allprides!$C$2:$X$170,15,FALSE)</f>
        <v>0</v>
      </c>
      <c r="R103" s="168">
        <f>VLOOKUP(C103,[1]allprides!$C$2:$X$170,16,FALSE)</f>
        <v>0</v>
      </c>
      <c r="S103" s="168">
        <f>VLOOKUP(C103,[1]allprides!$C$2:$X$170,17,FALSE)</f>
        <v>1</v>
      </c>
      <c r="T103" s="168">
        <f>VLOOKUP(C103,[1]allprides!$C$2:$X$170,18,FALSE)</f>
        <v>2014</v>
      </c>
      <c r="U103" s="168">
        <f>VLOOKUP(C103,[1]allprides!$C$2:$X$170,19,FALSE)</f>
        <v>8</v>
      </c>
      <c r="V103" s="168">
        <f>VLOOKUP(C103,[1]allprides!$C$2:$X$170,20,FALSE)</f>
        <v>0</v>
      </c>
      <c r="W103" s="168">
        <v>0</v>
      </c>
      <c r="X103" s="169" t="str">
        <f t="shared" si="1"/>
        <v>/*ELI-736*/ 01111100 1;</v>
      </c>
    </row>
    <row r="104" spans="1:24" s="169" customFormat="1" x14ac:dyDescent="0.25">
      <c r="A104" s="168" t="s">
        <v>509</v>
      </c>
      <c r="B104" s="167" t="s">
        <v>515</v>
      </c>
      <c r="C104" s="168" t="s">
        <v>357</v>
      </c>
      <c r="D104" s="163">
        <v>0</v>
      </c>
      <c r="E104" s="163">
        <v>0</v>
      </c>
      <c r="F104" s="163">
        <v>0</v>
      </c>
      <c r="G104" s="163">
        <v>0</v>
      </c>
      <c r="H104" s="163">
        <v>0</v>
      </c>
      <c r="I104" s="170">
        <v>1</v>
      </c>
      <c r="J104" s="170">
        <v>1</v>
      </c>
      <c r="K104" s="163">
        <v>0</v>
      </c>
      <c r="L104" s="170">
        <v>1</v>
      </c>
      <c r="M104" s="163">
        <v>0</v>
      </c>
      <c r="N104" s="163">
        <v>0</v>
      </c>
      <c r="O104" s="163">
        <v>0</v>
      </c>
      <c r="P104" s="168">
        <f>VLOOKUP(C104,[1]allprides!$C$2:$X$170,14,FALSE)</f>
        <v>1</v>
      </c>
      <c r="Q104" s="168">
        <f>VLOOKUP(C104,[1]allprides!$C$2:$X$170,15,FALSE)</f>
        <v>0</v>
      </c>
      <c r="R104" s="168">
        <f>VLOOKUP(C104,[1]allprides!$C$2:$X$170,16,FALSE)</f>
        <v>0</v>
      </c>
      <c r="S104" s="168">
        <f>VLOOKUP(C104,[1]allprides!$C$2:$X$170,17,FALSE)</f>
        <v>1</v>
      </c>
      <c r="T104" s="168">
        <f>VLOOKUP(C104,[1]allprides!$C$2:$X$170,18,FALSE)</f>
        <v>2014</v>
      </c>
      <c r="U104" s="168">
        <f>VLOOKUP(C104,[1]allprides!$C$2:$X$170,19,FALSE)</f>
        <v>8</v>
      </c>
      <c r="V104" s="168">
        <f>VLOOKUP(C104,[1]allprides!$C$2:$X$170,20,FALSE)</f>
        <v>0</v>
      </c>
      <c r="W104" s="168">
        <v>0</v>
      </c>
      <c r="X104" s="169" t="str">
        <f t="shared" si="1"/>
        <v>/*ELI-735*/ 00110100 1;</v>
      </c>
    </row>
    <row r="105" spans="1:24" s="169" customFormat="1" x14ac:dyDescent="0.25">
      <c r="A105" s="168" t="s">
        <v>386</v>
      </c>
      <c r="B105" s="168" t="s">
        <v>533</v>
      </c>
      <c r="C105" s="168" t="s">
        <v>617</v>
      </c>
      <c r="D105" s="170">
        <v>0</v>
      </c>
      <c r="E105" s="170">
        <v>0</v>
      </c>
      <c r="F105" s="170">
        <v>0</v>
      </c>
      <c r="G105" s="170">
        <v>0</v>
      </c>
      <c r="H105" s="170">
        <v>0</v>
      </c>
      <c r="I105" s="170">
        <v>0</v>
      </c>
      <c r="J105" s="170">
        <v>1</v>
      </c>
      <c r="K105" s="170">
        <v>0</v>
      </c>
      <c r="L105" s="191">
        <v>1</v>
      </c>
      <c r="M105" s="191">
        <v>1</v>
      </c>
      <c r="N105" s="170">
        <v>0</v>
      </c>
      <c r="O105" s="170">
        <v>0</v>
      </c>
      <c r="P105" s="168">
        <v>1</v>
      </c>
      <c r="Q105" s="168">
        <v>0</v>
      </c>
      <c r="R105" s="168">
        <v>1</v>
      </c>
      <c r="S105" s="168">
        <v>1</v>
      </c>
      <c r="T105" s="168">
        <v>2015</v>
      </c>
      <c r="U105" s="168">
        <v>6</v>
      </c>
      <c r="V105" s="168">
        <v>10</v>
      </c>
      <c r="W105" s="168">
        <v>0</v>
      </c>
      <c r="X105" s="169" t="str">
        <f t="shared" si="1"/>
        <v>/*ELI-991*/ 00010110 1;</v>
      </c>
    </row>
    <row r="106" spans="1:24" s="169" customFormat="1" x14ac:dyDescent="0.25">
      <c r="A106" s="168" t="s">
        <v>520</v>
      </c>
      <c r="B106" s="168" t="s">
        <v>180</v>
      </c>
      <c r="C106" s="168" t="s">
        <v>181</v>
      </c>
      <c r="D106" s="163">
        <v>0</v>
      </c>
      <c r="E106" s="163">
        <v>0</v>
      </c>
      <c r="F106" s="163">
        <v>0</v>
      </c>
      <c r="G106" s="163">
        <v>0</v>
      </c>
      <c r="H106" s="163">
        <v>0</v>
      </c>
      <c r="I106" s="163">
        <v>1</v>
      </c>
      <c r="J106" s="163">
        <v>1</v>
      </c>
      <c r="K106" s="162">
        <v>1</v>
      </c>
      <c r="L106" s="162">
        <v>1</v>
      </c>
      <c r="M106" s="162">
        <v>1</v>
      </c>
      <c r="N106" s="162">
        <v>1</v>
      </c>
      <c r="O106" s="163">
        <v>0</v>
      </c>
      <c r="P106" s="168">
        <f>VLOOKUP(C106,[1]allprides!$C$2:$X$170,14,FALSE)</f>
        <v>1</v>
      </c>
      <c r="Q106" s="168">
        <f>VLOOKUP(C106,[1]allprides!$C$2:$X$170,15,FALSE)</f>
        <v>0</v>
      </c>
      <c r="R106" s="168">
        <f>VLOOKUP(C106,[1]allprides!$C$2:$X$170,16,FALSE)</f>
        <v>0</v>
      </c>
      <c r="S106" s="168">
        <f>VLOOKUP(C106,[1]allprides!$C$2:$X$170,17,FALSE)</f>
        <v>1</v>
      </c>
      <c r="T106" s="168">
        <f>VLOOKUP(C106,[1]allprides!$C$2:$X$170,18,FALSE)</f>
        <v>2008</v>
      </c>
      <c r="U106" s="168">
        <f>VLOOKUP(C106,[1]allprides!$C$2:$X$170,19,FALSE)</f>
        <v>5</v>
      </c>
      <c r="V106" s="168">
        <f>VLOOKUP(C106,[1]allprides!$C$2:$X$170,20,FALSE)</f>
        <v>2</v>
      </c>
      <c r="W106" s="168">
        <v>0</v>
      </c>
      <c r="X106" s="169" t="str">
        <f t="shared" si="1"/>
        <v>/*ELI-155*/ 00111111 1;</v>
      </c>
    </row>
    <row r="107" spans="1:24" s="169" customFormat="1" x14ac:dyDescent="0.25">
      <c r="A107" s="168" t="s">
        <v>520</v>
      </c>
      <c r="B107" s="168" t="s">
        <v>186</v>
      </c>
      <c r="C107" s="168" t="s">
        <v>187</v>
      </c>
      <c r="D107" s="163">
        <v>0</v>
      </c>
      <c r="E107" s="163">
        <v>0</v>
      </c>
      <c r="F107" s="163">
        <v>0</v>
      </c>
      <c r="G107" s="163">
        <v>0</v>
      </c>
      <c r="H107" s="163">
        <v>0</v>
      </c>
      <c r="I107" s="163">
        <v>1</v>
      </c>
      <c r="J107" s="163">
        <v>1</v>
      </c>
      <c r="K107" s="162">
        <v>1</v>
      </c>
      <c r="L107" s="162">
        <v>1</v>
      </c>
      <c r="M107" s="162">
        <v>1</v>
      </c>
      <c r="N107" s="162">
        <v>1</v>
      </c>
      <c r="O107" s="163">
        <v>0</v>
      </c>
      <c r="P107" s="168">
        <f>VLOOKUP(C107,[1]allprides!$C$2:$X$170,14,FALSE)</f>
        <v>1</v>
      </c>
      <c r="Q107" s="168">
        <f>VLOOKUP(C107,[1]allprides!$C$2:$X$170,15,FALSE)</f>
        <v>0</v>
      </c>
      <c r="R107" s="168">
        <f>VLOOKUP(C107,[1]allprides!$C$2:$X$170,16,FALSE)</f>
        <v>0</v>
      </c>
      <c r="S107" s="168">
        <f>VLOOKUP(C107,[1]allprides!$C$2:$X$170,17,FALSE)</f>
        <v>1</v>
      </c>
      <c r="T107" s="168">
        <f>VLOOKUP(C107,[1]allprides!$C$2:$X$170,18,FALSE)</f>
        <v>2010</v>
      </c>
      <c r="U107" s="168">
        <f>VLOOKUP(C107,[1]allprides!$C$2:$X$170,19,FALSE)</f>
        <v>5</v>
      </c>
      <c r="V107" s="168">
        <f>VLOOKUP(C107,[1]allprides!$C$2:$X$170,20,FALSE)</f>
        <v>0</v>
      </c>
      <c r="W107" s="168">
        <v>0</v>
      </c>
      <c r="X107" s="169" t="str">
        <f t="shared" si="1"/>
        <v>/*ELI-369*/ 00111111 1;</v>
      </c>
    </row>
    <row r="108" spans="1:24" s="169" customFormat="1" x14ac:dyDescent="0.25">
      <c r="A108" s="168" t="s">
        <v>520</v>
      </c>
      <c r="B108" s="168" t="s">
        <v>188</v>
      </c>
      <c r="C108" s="168" t="s">
        <v>189</v>
      </c>
      <c r="D108" s="163">
        <v>0</v>
      </c>
      <c r="E108" s="163">
        <v>0</v>
      </c>
      <c r="F108" s="163">
        <v>0</v>
      </c>
      <c r="G108" s="163">
        <v>0</v>
      </c>
      <c r="H108" s="163">
        <v>0</v>
      </c>
      <c r="I108" s="163">
        <v>0</v>
      </c>
      <c r="J108" s="163">
        <v>0</v>
      </c>
      <c r="K108" s="163">
        <v>0</v>
      </c>
      <c r="L108" s="163">
        <v>1</v>
      </c>
      <c r="M108" s="163">
        <v>1</v>
      </c>
      <c r="N108" s="163">
        <v>1</v>
      </c>
      <c r="O108" s="163">
        <v>1</v>
      </c>
      <c r="P108" s="168">
        <v>1</v>
      </c>
      <c r="Q108" s="168">
        <v>1</v>
      </c>
      <c r="R108" s="168">
        <v>0</v>
      </c>
      <c r="S108" s="168">
        <v>1</v>
      </c>
      <c r="T108" s="168">
        <v>2010</v>
      </c>
      <c r="U108" s="168">
        <v>5</v>
      </c>
      <c r="V108" s="168">
        <v>0</v>
      </c>
      <c r="W108" s="168">
        <v>0</v>
      </c>
      <c r="X108" s="169" t="str">
        <f t="shared" si="1"/>
        <v>/*ELI-370*/ 00000111 1;</v>
      </c>
    </row>
    <row r="109" spans="1:24" s="169" customFormat="1" x14ac:dyDescent="0.25">
      <c r="A109" s="168" t="s">
        <v>520</v>
      </c>
      <c r="B109" s="168" t="s">
        <v>190</v>
      </c>
      <c r="C109" s="168" t="s">
        <v>191</v>
      </c>
      <c r="D109" s="163">
        <v>0</v>
      </c>
      <c r="E109" s="187">
        <v>1</v>
      </c>
      <c r="F109" s="163">
        <v>0</v>
      </c>
      <c r="G109" s="187">
        <v>1</v>
      </c>
      <c r="H109" s="163">
        <v>0</v>
      </c>
      <c r="I109" s="163">
        <v>1</v>
      </c>
      <c r="J109" s="163">
        <v>1</v>
      </c>
      <c r="K109" s="162">
        <v>1</v>
      </c>
      <c r="L109" s="162">
        <v>1</v>
      </c>
      <c r="M109" s="162">
        <v>1</v>
      </c>
      <c r="N109" s="162">
        <v>1</v>
      </c>
      <c r="O109" s="163">
        <v>0</v>
      </c>
      <c r="P109" s="168">
        <f>VLOOKUP(C109,[1]allprides!$C$2:$X$170,14,FALSE)</f>
        <v>1</v>
      </c>
      <c r="Q109" s="168">
        <f>VLOOKUP(C109,[1]allprides!$C$2:$X$170,15,FALSE)</f>
        <v>0</v>
      </c>
      <c r="R109" s="168">
        <f>VLOOKUP(C109,[1]allprides!$C$2:$X$170,16,FALSE)</f>
        <v>0</v>
      </c>
      <c r="S109" s="168">
        <f>VLOOKUP(C109,[1]allprides!$C$2:$X$170,17,FALSE)</f>
        <v>1</v>
      </c>
      <c r="T109" s="168">
        <f>VLOOKUP(C109,[1]allprides!$C$2:$X$170,18,FALSE)</f>
        <v>2008</v>
      </c>
      <c r="U109" s="168">
        <f>VLOOKUP(C109,[1]allprides!$C$2:$X$170,19,FALSE)</f>
        <v>6</v>
      </c>
      <c r="V109" s="168">
        <f>VLOOKUP(C109,[1]allprides!$C$2:$X$170,20,FALSE)</f>
        <v>0</v>
      </c>
      <c r="W109" s="168">
        <v>0</v>
      </c>
      <c r="X109" s="169" t="str">
        <f t="shared" si="1"/>
        <v>/*ELI-159*/ 10111111 1;</v>
      </c>
    </row>
    <row r="110" spans="1:24" s="169" customFormat="1" x14ac:dyDescent="0.25">
      <c r="A110" s="168" t="s">
        <v>520</v>
      </c>
      <c r="B110" s="168" t="s">
        <v>196</v>
      </c>
      <c r="C110" s="168" t="s">
        <v>197</v>
      </c>
      <c r="D110" s="163">
        <v>0</v>
      </c>
      <c r="E110" s="163">
        <v>0</v>
      </c>
      <c r="F110" s="163">
        <v>0</v>
      </c>
      <c r="G110" s="163">
        <v>0</v>
      </c>
      <c r="H110" s="163">
        <v>0</v>
      </c>
      <c r="I110" s="163">
        <v>0</v>
      </c>
      <c r="J110" s="163">
        <v>0</v>
      </c>
      <c r="K110" s="163">
        <v>0</v>
      </c>
      <c r="L110" s="163">
        <v>1</v>
      </c>
      <c r="M110" s="163">
        <v>1</v>
      </c>
      <c r="N110" s="163">
        <v>1</v>
      </c>
      <c r="O110" s="163">
        <v>1</v>
      </c>
      <c r="P110" s="168">
        <v>1</v>
      </c>
      <c r="Q110" s="168">
        <v>1</v>
      </c>
      <c r="R110" s="168">
        <v>0</v>
      </c>
      <c r="S110" s="168">
        <v>1</v>
      </c>
      <c r="T110" s="168">
        <v>2008</v>
      </c>
      <c r="U110" s="168">
        <v>10</v>
      </c>
      <c r="V110" s="168">
        <v>0</v>
      </c>
      <c r="W110" s="168">
        <v>0</v>
      </c>
      <c r="X110" s="169" t="str">
        <f t="shared" si="1"/>
        <v>/*ELI-162*/ 00000111 1;</v>
      </c>
    </row>
    <row r="111" spans="1:24" s="169" customFormat="1" x14ac:dyDescent="0.25">
      <c r="A111" s="168" t="s">
        <v>520</v>
      </c>
      <c r="B111" s="168" t="s">
        <v>521</v>
      </c>
      <c r="C111" s="168" t="s">
        <v>592</v>
      </c>
      <c r="D111" s="163">
        <v>0</v>
      </c>
      <c r="E111" s="163">
        <v>0</v>
      </c>
      <c r="F111" s="163">
        <v>0</v>
      </c>
      <c r="G111" s="163">
        <v>0</v>
      </c>
      <c r="H111" s="163">
        <v>0</v>
      </c>
      <c r="I111" s="163">
        <v>0</v>
      </c>
      <c r="J111" s="162">
        <v>1</v>
      </c>
      <c r="K111" s="162">
        <v>1</v>
      </c>
      <c r="L111" s="162">
        <v>1</v>
      </c>
      <c r="M111" s="162">
        <v>1</v>
      </c>
      <c r="N111" s="162">
        <v>1</v>
      </c>
      <c r="O111" s="163">
        <v>0</v>
      </c>
      <c r="P111" s="168">
        <v>1</v>
      </c>
      <c r="Q111" s="168">
        <v>1</v>
      </c>
      <c r="R111" s="168">
        <v>0</v>
      </c>
      <c r="S111" s="168">
        <v>1</v>
      </c>
      <c r="T111" s="168">
        <v>2015</v>
      </c>
      <c r="U111" s="168">
        <v>7</v>
      </c>
      <c r="V111" s="168">
        <v>0</v>
      </c>
      <c r="W111" s="168">
        <v>0</v>
      </c>
      <c r="X111" s="169" t="str">
        <f t="shared" si="1"/>
        <v>/*ELI-810*/ 00011111 1;</v>
      </c>
    </row>
    <row r="112" spans="1:24" s="169" customFormat="1" x14ac:dyDescent="0.25">
      <c r="A112" s="168" t="s">
        <v>520</v>
      </c>
      <c r="B112" s="168" t="s">
        <v>522</v>
      </c>
      <c r="C112" s="168" t="s">
        <v>593</v>
      </c>
      <c r="D112" s="163">
        <v>0</v>
      </c>
      <c r="E112" s="163">
        <v>0</v>
      </c>
      <c r="F112" s="163">
        <v>0</v>
      </c>
      <c r="G112" s="163">
        <v>0</v>
      </c>
      <c r="H112" s="163">
        <v>0</v>
      </c>
      <c r="I112" s="163">
        <v>0</v>
      </c>
      <c r="J112" s="162">
        <v>1</v>
      </c>
      <c r="K112" s="162">
        <v>1</v>
      </c>
      <c r="L112" s="162">
        <v>1</v>
      </c>
      <c r="M112" s="162">
        <v>1</v>
      </c>
      <c r="N112" s="162">
        <v>1</v>
      </c>
      <c r="O112" s="163">
        <v>0</v>
      </c>
      <c r="P112" s="168">
        <v>1</v>
      </c>
      <c r="Q112" s="168">
        <v>1</v>
      </c>
      <c r="R112" s="168">
        <v>0</v>
      </c>
      <c r="S112" s="168">
        <v>1</v>
      </c>
      <c r="T112" s="168">
        <v>2015</v>
      </c>
      <c r="U112" s="168">
        <v>7</v>
      </c>
      <c r="V112" s="168">
        <v>0</v>
      </c>
      <c r="W112" s="168">
        <v>0</v>
      </c>
      <c r="X112" s="169" t="str">
        <f t="shared" si="1"/>
        <v>/*ELI-811*/ 00011111 1;</v>
      </c>
    </row>
    <row r="113" spans="1:24" s="169" customFormat="1" x14ac:dyDescent="0.25">
      <c r="A113" s="168" t="s">
        <v>520</v>
      </c>
      <c r="B113" s="168" t="s">
        <v>523</v>
      </c>
      <c r="C113" s="168" t="s">
        <v>594</v>
      </c>
      <c r="D113" s="163">
        <v>0</v>
      </c>
      <c r="E113" s="163">
        <v>0</v>
      </c>
      <c r="F113" s="163">
        <v>0</v>
      </c>
      <c r="G113" s="163">
        <v>0</v>
      </c>
      <c r="H113" s="163">
        <v>0</v>
      </c>
      <c r="I113" s="163">
        <v>0</v>
      </c>
      <c r="J113" s="162">
        <v>1</v>
      </c>
      <c r="K113" s="162">
        <v>1</v>
      </c>
      <c r="L113" s="162">
        <v>1</v>
      </c>
      <c r="M113" s="162">
        <v>1</v>
      </c>
      <c r="N113" s="162">
        <v>1</v>
      </c>
      <c r="O113" s="163">
        <v>0</v>
      </c>
      <c r="P113" s="168">
        <v>1</v>
      </c>
      <c r="Q113" s="168">
        <v>0</v>
      </c>
      <c r="R113" s="168">
        <v>0</v>
      </c>
      <c r="S113" s="168">
        <v>1</v>
      </c>
      <c r="T113" s="168">
        <v>2015</v>
      </c>
      <c r="U113" s="168">
        <v>7</v>
      </c>
      <c r="V113" s="168">
        <v>0</v>
      </c>
      <c r="W113" s="168">
        <v>0</v>
      </c>
      <c r="X113" s="169" t="str">
        <f t="shared" si="1"/>
        <v>/*ELI-812*/ 00011111 1;</v>
      </c>
    </row>
    <row r="114" spans="1:24" s="169" customFormat="1" x14ac:dyDescent="0.25">
      <c r="A114" s="168" t="s">
        <v>520</v>
      </c>
      <c r="B114" s="168" t="s">
        <v>524</v>
      </c>
      <c r="C114" s="168" t="s">
        <v>595</v>
      </c>
      <c r="D114" s="163">
        <v>0</v>
      </c>
      <c r="E114" s="163">
        <v>0</v>
      </c>
      <c r="F114" s="163">
        <v>0</v>
      </c>
      <c r="G114" s="163">
        <v>0</v>
      </c>
      <c r="H114" s="163">
        <v>0</v>
      </c>
      <c r="I114" s="163">
        <v>0</v>
      </c>
      <c r="J114" s="162">
        <v>1</v>
      </c>
      <c r="K114" s="162">
        <v>1</v>
      </c>
      <c r="L114" s="162">
        <v>1</v>
      </c>
      <c r="M114" s="162">
        <v>1</v>
      </c>
      <c r="N114" s="162">
        <v>1</v>
      </c>
      <c r="O114" s="163">
        <v>0</v>
      </c>
      <c r="P114" s="168">
        <v>1</v>
      </c>
      <c r="Q114" s="168">
        <v>1</v>
      </c>
      <c r="R114" s="168">
        <v>0</v>
      </c>
      <c r="S114" s="168">
        <v>1</v>
      </c>
      <c r="T114" s="168">
        <v>2015</v>
      </c>
      <c r="U114" s="168">
        <v>7</v>
      </c>
      <c r="V114" s="168">
        <v>0</v>
      </c>
      <c r="W114" s="168">
        <v>0</v>
      </c>
      <c r="X114" s="169" t="str">
        <f t="shared" si="1"/>
        <v>/*ELI-813*/ 00011111 1;</v>
      </c>
    </row>
    <row r="115" spans="1:24" s="169" customFormat="1" x14ac:dyDescent="0.25">
      <c r="A115" s="168" t="s">
        <v>520</v>
      </c>
      <c r="B115" s="168" t="s">
        <v>525</v>
      </c>
      <c r="C115" s="168" t="s">
        <v>596</v>
      </c>
      <c r="D115" s="163">
        <v>0</v>
      </c>
      <c r="E115" s="163">
        <v>0</v>
      </c>
      <c r="F115" s="163">
        <v>0</v>
      </c>
      <c r="G115" s="163">
        <v>0</v>
      </c>
      <c r="H115" s="163">
        <v>0</v>
      </c>
      <c r="I115" s="163">
        <v>0</v>
      </c>
      <c r="J115" s="162">
        <v>1</v>
      </c>
      <c r="K115" s="162">
        <v>1</v>
      </c>
      <c r="L115" s="162">
        <v>1</v>
      </c>
      <c r="M115" s="162">
        <v>1</v>
      </c>
      <c r="N115" s="162">
        <v>1</v>
      </c>
      <c r="O115" s="163">
        <v>0</v>
      </c>
      <c r="P115" s="168">
        <v>1</v>
      </c>
      <c r="Q115" s="168">
        <v>1</v>
      </c>
      <c r="R115" s="168">
        <v>0</v>
      </c>
      <c r="S115" s="168">
        <v>1</v>
      </c>
      <c r="T115" s="168">
        <v>2015</v>
      </c>
      <c r="U115" s="168">
        <v>7</v>
      </c>
      <c r="V115" s="168">
        <v>0</v>
      </c>
      <c r="W115" s="168">
        <v>0</v>
      </c>
      <c r="X115" s="169" t="str">
        <f t="shared" si="1"/>
        <v>/*ELI-814*/ 00011111 1;</v>
      </c>
    </row>
    <row r="116" spans="1:24" s="169" customFormat="1" x14ac:dyDescent="0.25">
      <c r="A116" s="168" t="s">
        <v>526</v>
      </c>
      <c r="B116" s="168" t="s">
        <v>200</v>
      </c>
      <c r="C116" s="168" t="s">
        <v>201</v>
      </c>
      <c r="D116" s="163">
        <v>0</v>
      </c>
      <c r="E116" s="163">
        <v>0</v>
      </c>
      <c r="F116" s="163">
        <v>0</v>
      </c>
      <c r="G116" s="163">
        <v>0</v>
      </c>
      <c r="H116" s="163">
        <v>0</v>
      </c>
      <c r="I116" s="163">
        <v>0</v>
      </c>
      <c r="J116" s="163">
        <v>0</v>
      </c>
      <c r="K116" s="163">
        <v>0</v>
      </c>
      <c r="L116" s="163">
        <v>1</v>
      </c>
      <c r="M116" s="163">
        <v>0</v>
      </c>
      <c r="N116" s="163">
        <v>0</v>
      </c>
      <c r="O116" s="163">
        <v>0</v>
      </c>
      <c r="P116" s="168">
        <f>VLOOKUP(C116,[1]allprides!$C$2:$X$170,14,FALSE)</f>
        <v>1</v>
      </c>
      <c r="Q116" s="168">
        <f>VLOOKUP(C116,[1]allprides!$C$2:$X$170,15,FALSE)</f>
        <v>0</v>
      </c>
      <c r="R116" s="168">
        <f>VLOOKUP(C116,[1]allprides!$C$2:$X$170,16,FALSE)</f>
        <v>0</v>
      </c>
      <c r="S116" s="168">
        <f>VLOOKUP(C116,[1]allprides!$C$2:$X$170,17,FALSE)</f>
        <v>1</v>
      </c>
      <c r="T116" s="168">
        <f>VLOOKUP(C116,[1]allprides!$C$2:$X$170,18,FALSE)</f>
        <v>2008</v>
      </c>
      <c r="U116" s="168">
        <f>VLOOKUP(C116,[1]allprides!$C$2:$X$170,19,FALSE)</f>
        <v>9</v>
      </c>
      <c r="V116" s="168">
        <f>VLOOKUP(C116,[1]allprides!$C$2:$X$170,20,FALSE)</f>
        <v>6</v>
      </c>
      <c r="W116" s="168">
        <v>1</v>
      </c>
      <c r="X116" s="169" t="str">
        <f t="shared" si="1"/>
        <v>/*ELI-124*/ 00000100 1;</v>
      </c>
    </row>
    <row r="117" spans="1:24" s="169" customFormat="1" x14ac:dyDescent="0.25">
      <c r="A117" s="168" t="s">
        <v>526</v>
      </c>
      <c r="B117" s="168" t="s">
        <v>202</v>
      </c>
      <c r="C117" s="168" t="s">
        <v>203</v>
      </c>
      <c r="D117" s="163">
        <v>0</v>
      </c>
      <c r="E117" s="163">
        <v>0</v>
      </c>
      <c r="F117" s="163">
        <v>0</v>
      </c>
      <c r="G117" s="163">
        <v>0</v>
      </c>
      <c r="H117" s="163">
        <v>0</v>
      </c>
      <c r="I117" s="163">
        <v>0</v>
      </c>
      <c r="J117" s="163">
        <v>0</v>
      </c>
      <c r="K117" s="163">
        <v>0</v>
      </c>
      <c r="L117" s="163">
        <v>0</v>
      </c>
      <c r="M117" s="163">
        <v>0</v>
      </c>
      <c r="N117" s="163">
        <v>0</v>
      </c>
      <c r="O117" s="163">
        <v>0</v>
      </c>
      <c r="P117" s="168">
        <f>VLOOKUP(C117,[1]allprides!$C$2:$X$170,14,FALSE)</f>
        <v>1</v>
      </c>
      <c r="Q117" s="168">
        <f>VLOOKUP(C117,[1]allprides!$C$2:$X$170,15,FALSE)</f>
        <v>0</v>
      </c>
      <c r="R117" s="168">
        <f>VLOOKUP(C117,[1]allprides!$C$2:$X$170,16,FALSE)</f>
        <v>1</v>
      </c>
      <c r="S117" s="168">
        <f>VLOOKUP(C117,[1]allprides!$C$2:$X$170,17,FALSE)</f>
        <v>1</v>
      </c>
      <c r="T117" s="168">
        <f>VLOOKUP(C117,[1]allprides!$C$2:$X$170,18,FALSE)</f>
        <v>2008</v>
      </c>
      <c r="U117" s="168">
        <f>VLOOKUP(C117,[1]allprides!$C$2:$X$170,19,FALSE)</f>
        <v>9</v>
      </c>
      <c r="V117" s="168">
        <f>VLOOKUP(C117,[1]allprides!$C$2:$X$170,20,FALSE)</f>
        <v>7</v>
      </c>
      <c r="W117" s="168">
        <v>1</v>
      </c>
      <c r="X117" s="169" t="str">
        <f t="shared" si="1"/>
        <v>/*ELI-125*/ 00000000 1;</v>
      </c>
    </row>
    <row r="118" spans="1:24" s="169" customFormat="1" x14ac:dyDescent="0.25">
      <c r="A118" s="168" t="s">
        <v>526</v>
      </c>
      <c r="B118" s="168" t="s">
        <v>206</v>
      </c>
      <c r="C118" s="168" t="s">
        <v>207</v>
      </c>
      <c r="D118" s="163">
        <v>0</v>
      </c>
      <c r="E118" s="187">
        <v>1</v>
      </c>
      <c r="F118" s="163">
        <v>0</v>
      </c>
      <c r="G118" s="187">
        <v>1</v>
      </c>
      <c r="H118" s="163">
        <v>0</v>
      </c>
      <c r="I118" s="162">
        <v>1</v>
      </c>
      <c r="J118" s="184">
        <v>1</v>
      </c>
      <c r="K118" s="163">
        <v>0</v>
      </c>
      <c r="L118" s="162">
        <v>1</v>
      </c>
      <c r="M118" s="162">
        <v>1</v>
      </c>
      <c r="N118" s="163">
        <v>0</v>
      </c>
      <c r="O118" s="163">
        <v>0</v>
      </c>
      <c r="P118" s="168">
        <f>VLOOKUP(C118,[1]allprides!$C$2:$X$170,14,FALSE)</f>
        <v>1</v>
      </c>
      <c r="Q118" s="168">
        <f>VLOOKUP(C118,[1]allprides!$C$2:$X$170,15,FALSE)</f>
        <v>0</v>
      </c>
      <c r="R118" s="168">
        <f>VLOOKUP(C118,[1]allprides!$C$2:$X$170,16,FALSE)</f>
        <v>0</v>
      </c>
      <c r="S118" s="168">
        <f>VLOOKUP(C118,[1]allprides!$C$2:$X$170,17,FALSE)</f>
        <v>1</v>
      </c>
      <c r="T118" s="168">
        <f>VLOOKUP(C118,[1]allprides!$C$2:$X$170,18,FALSE)</f>
        <v>2008</v>
      </c>
      <c r="U118" s="168">
        <f>VLOOKUP(C118,[1]allprides!$C$2:$X$170,19,FALSE)</f>
        <v>9</v>
      </c>
      <c r="V118" s="168">
        <f>VLOOKUP(C118,[1]allprides!$C$2:$X$170,20,FALSE)</f>
        <v>3</v>
      </c>
      <c r="W118" s="168">
        <v>1</v>
      </c>
      <c r="X118" s="169" t="str">
        <f t="shared" si="1"/>
        <v>/*ELI-126*/ 10110110 1;</v>
      </c>
    </row>
    <row r="119" spans="1:24" s="169" customFormat="1" x14ac:dyDescent="0.25">
      <c r="A119" s="168" t="s">
        <v>526</v>
      </c>
      <c r="B119" s="168" t="s">
        <v>208</v>
      </c>
      <c r="C119" s="168" t="s">
        <v>209</v>
      </c>
      <c r="D119" s="163">
        <v>0</v>
      </c>
      <c r="E119" s="163">
        <v>0</v>
      </c>
      <c r="F119" s="163">
        <v>0</v>
      </c>
      <c r="G119" s="163">
        <v>0</v>
      </c>
      <c r="H119" s="163">
        <v>0</v>
      </c>
      <c r="I119" s="163">
        <v>0</v>
      </c>
      <c r="J119" s="162">
        <v>1</v>
      </c>
      <c r="K119" s="162">
        <v>1</v>
      </c>
      <c r="L119" s="163">
        <v>1</v>
      </c>
      <c r="M119" s="162">
        <v>1</v>
      </c>
      <c r="N119" s="163">
        <v>0</v>
      </c>
      <c r="O119" s="163">
        <v>0</v>
      </c>
      <c r="P119" s="168">
        <f>VLOOKUP(C119,[1]allprides!$C$2:$X$170,14,FALSE)</f>
        <v>1</v>
      </c>
      <c r="Q119" s="168">
        <f>VLOOKUP(C119,[1]allprides!$C$2:$X$170,15,FALSE)</f>
        <v>0</v>
      </c>
      <c r="R119" s="168">
        <f>VLOOKUP(C119,[1]allprides!$C$2:$X$170,16,FALSE)</f>
        <v>0</v>
      </c>
      <c r="S119" s="168">
        <f>VLOOKUP(C119,[1]allprides!$C$2:$X$170,17,FALSE)</f>
        <v>1</v>
      </c>
      <c r="T119" s="168">
        <f>VLOOKUP(C119,[1]allprides!$C$2:$X$170,18,FALSE)</f>
        <v>2008</v>
      </c>
      <c r="U119" s="168">
        <f>VLOOKUP(C119,[1]allprides!$C$2:$X$170,19,FALSE)</f>
        <v>9</v>
      </c>
      <c r="V119" s="168">
        <f>VLOOKUP(C119,[1]allprides!$C$2:$X$170,20,FALSE)</f>
        <v>2</v>
      </c>
      <c r="W119" s="168">
        <v>1</v>
      </c>
      <c r="X119" s="169" t="str">
        <f t="shared" si="1"/>
        <v>/*ELI-127*/ 00011110 1;</v>
      </c>
    </row>
    <row r="120" spans="1:24" s="169" customFormat="1" x14ac:dyDescent="0.25">
      <c r="A120" s="168" t="s">
        <v>526</v>
      </c>
      <c r="B120" s="168" t="s">
        <v>218</v>
      </c>
      <c r="C120" s="168" t="s">
        <v>219</v>
      </c>
      <c r="D120" s="163">
        <v>0</v>
      </c>
      <c r="E120" s="163">
        <v>0</v>
      </c>
      <c r="F120" s="163">
        <v>0</v>
      </c>
      <c r="G120" s="163">
        <v>0</v>
      </c>
      <c r="H120" s="163">
        <v>1</v>
      </c>
      <c r="I120" s="162">
        <v>1</v>
      </c>
      <c r="J120" s="163">
        <v>1</v>
      </c>
      <c r="K120" s="163">
        <v>0</v>
      </c>
      <c r="L120" s="163">
        <v>1</v>
      </c>
      <c r="M120" s="162">
        <v>1</v>
      </c>
      <c r="N120" s="163">
        <v>0</v>
      </c>
      <c r="O120" s="163">
        <v>0</v>
      </c>
      <c r="P120" s="168">
        <f>VLOOKUP(C120,[1]allprides!$C$2:$X$170,14,FALSE)</f>
        <v>1</v>
      </c>
      <c r="Q120" s="168">
        <f>VLOOKUP(C120,[1]allprides!$C$2:$X$170,15,FALSE)</f>
        <v>0</v>
      </c>
      <c r="R120" s="168">
        <f>VLOOKUP(C120,[1]allprides!$C$2:$X$170,16,FALSE)</f>
        <v>0</v>
      </c>
      <c r="S120" s="168">
        <f>VLOOKUP(C120,[1]allprides!$C$2:$X$170,17,FALSE)</f>
        <v>1</v>
      </c>
      <c r="T120" s="168">
        <f>VLOOKUP(C120,[1]allprides!$C$2:$X$170,18,FALSE)</f>
        <v>2008</v>
      </c>
      <c r="U120" s="168">
        <f>VLOOKUP(C120,[1]allprides!$C$2:$X$170,19,FALSE)</f>
        <v>10</v>
      </c>
      <c r="V120" s="168">
        <f>VLOOKUP(C120,[1]allprides!$C$2:$X$170,20,FALSE)</f>
        <v>5</v>
      </c>
      <c r="W120" s="168">
        <v>1</v>
      </c>
      <c r="X120" s="169" t="str">
        <f t="shared" si="1"/>
        <v>/*ELI-138*/ 01110110 1;</v>
      </c>
    </row>
    <row r="121" spans="1:24" s="169" customFormat="1" x14ac:dyDescent="0.25">
      <c r="A121" s="168" t="s">
        <v>526</v>
      </c>
      <c r="B121" s="168" t="s">
        <v>526</v>
      </c>
      <c r="C121" s="168" t="s">
        <v>370</v>
      </c>
      <c r="D121" s="163">
        <v>0</v>
      </c>
      <c r="E121" s="163">
        <v>0</v>
      </c>
      <c r="F121" s="163">
        <v>0</v>
      </c>
      <c r="G121" s="163">
        <v>0</v>
      </c>
      <c r="H121" s="163">
        <v>0</v>
      </c>
      <c r="I121" s="163">
        <v>0</v>
      </c>
      <c r="J121" s="162">
        <v>1</v>
      </c>
      <c r="K121" s="162">
        <v>1</v>
      </c>
      <c r="L121" s="163">
        <v>1</v>
      </c>
      <c r="M121" s="162">
        <v>1</v>
      </c>
      <c r="N121" s="163">
        <v>0</v>
      </c>
      <c r="O121" s="163">
        <v>0</v>
      </c>
      <c r="P121" s="168">
        <f>VLOOKUP(C121,[1]allprides!$C$2:$X$170,14,FALSE)</f>
        <v>1</v>
      </c>
      <c r="Q121" s="168">
        <f>VLOOKUP(C121,[1]allprides!$C$2:$X$170,15,FALSE)</f>
        <v>1</v>
      </c>
      <c r="R121" s="168">
        <f>VLOOKUP(C121,[1]allprides!$C$2:$X$170,16,FALSE)</f>
        <v>0</v>
      </c>
      <c r="S121" s="168">
        <f>VLOOKUP(C121,[1]allprides!$C$2:$X$170,17,FALSE)</f>
        <v>1</v>
      </c>
      <c r="T121" s="168">
        <f>VLOOKUP(C121,[1]allprides!$C$2:$X$170,18,FALSE)</f>
        <v>2013</v>
      </c>
      <c r="U121" s="168">
        <f>VLOOKUP(C121,[1]allprides!$C$2:$X$170,19,FALSE)</f>
        <v>8</v>
      </c>
      <c r="V121" s="168">
        <f>VLOOKUP(C121,[1]allprides!$C$2:$X$170,20,FALSE)</f>
        <v>0</v>
      </c>
      <c r="W121" s="168">
        <v>1</v>
      </c>
      <c r="X121" s="169" t="str">
        <f t="shared" si="1"/>
        <v>/*ELI-657*/ 00011110 1;</v>
      </c>
    </row>
    <row r="122" spans="1:24" s="169" customFormat="1" x14ac:dyDescent="0.25">
      <c r="A122" s="168" t="s">
        <v>526</v>
      </c>
      <c r="B122" s="168" t="s">
        <v>526</v>
      </c>
      <c r="C122" s="168" t="s">
        <v>369</v>
      </c>
      <c r="D122" s="163">
        <v>0</v>
      </c>
      <c r="E122" s="163">
        <v>0</v>
      </c>
      <c r="F122" s="163">
        <v>0</v>
      </c>
      <c r="G122" s="163">
        <v>0</v>
      </c>
      <c r="H122" s="163">
        <v>0</v>
      </c>
      <c r="I122" s="163">
        <v>0</v>
      </c>
      <c r="J122" s="163">
        <v>1</v>
      </c>
      <c r="K122" s="162">
        <v>1</v>
      </c>
      <c r="L122" s="163">
        <v>1</v>
      </c>
      <c r="M122" s="162">
        <v>1</v>
      </c>
      <c r="N122" s="163">
        <v>0</v>
      </c>
      <c r="O122" s="163">
        <v>0</v>
      </c>
      <c r="P122" s="168">
        <f>VLOOKUP(C122,[1]allprides!$C$2:$X$170,14,FALSE)</f>
        <v>1</v>
      </c>
      <c r="Q122" s="168">
        <f>VLOOKUP(C122,[1]allprides!$C$2:$X$170,15,FALSE)</f>
        <v>0</v>
      </c>
      <c r="R122" s="168">
        <f>VLOOKUP(C122,[1]allprides!$C$2:$X$170,16,FALSE)</f>
        <v>0</v>
      </c>
      <c r="S122" s="168">
        <f>VLOOKUP(C122,[1]allprides!$C$2:$X$170,17,FALSE)</f>
        <v>1</v>
      </c>
      <c r="T122" s="168">
        <f>VLOOKUP(C122,[1]allprides!$C$2:$X$170,18,FALSE)</f>
        <v>2013</v>
      </c>
      <c r="U122" s="168">
        <f>VLOOKUP(C122,[1]allprides!$C$2:$X$170,19,FALSE)</f>
        <v>11</v>
      </c>
      <c r="V122" s="168">
        <f>VLOOKUP(C122,[1]allprides!$C$2:$X$170,20,FALSE)</f>
        <v>1</v>
      </c>
      <c r="W122" s="168">
        <v>1</v>
      </c>
      <c r="X122" s="169" t="str">
        <f t="shared" si="1"/>
        <v>/*ELI-658*/ 00011110 1;</v>
      </c>
    </row>
    <row r="123" spans="1:24" s="169" customFormat="1" x14ac:dyDescent="0.25">
      <c r="A123" s="168" t="s">
        <v>526</v>
      </c>
      <c r="B123" s="168" t="s">
        <v>526</v>
      </c>
      <c r="C123" s="168" t="s">
        <v>366</v>
      </c>
      <c r="D123" s="163">
        <v>0</v>
      </c>
      <c r="E123" s="163">
        <v>0</v>
      </c>
      <c r="F123" s="163">
        <v>0</v>
      </c>
      <c r="G123" s="163">
        <v>0</v>
      </c>
      <c r="H123" s="163">
        <v>0</v>
      </c>
      <c r="I123" s="163">
        <v>0</v>
      </c>
      <c r="J123" s="162">
        <v>1</v>
      </c>
      <c r="K123" s="162">
        <v>1</v>
      </c>
      <c r="L123" s="163">
        <v>1</v>
      </c>
      <c r="M123" s="163">
        <v>0</v>
      </c>
      <c r="N123" s="163">
        <v>0</v>
      </c>
      <c r="O123" s="163">
        <v>0</v>
      </c>
      <c r="P123" s="168">
        <f>VLOOKUP(C123,[1]allprides!$C$2:$X$170,14,FALSE)</f>
        <v>1</v>
      </c>
      <c r="Q123" s="168">
        <f>VLOOKUP(C123,[1]allprides!$C$2:$X$170,15,FALSE)</f>
        <v>0</v>
      </c>
      <c r="R123" s="168">
        <f>VLOOKUP(C123,[1]allprides!$C$2:$X$170,16,FALSE)</f>
        <v>0</v>
      </c>
      <c r="S123" s="168">
        <f>VLOOKUP(C123,[1]allprides!$C$2:$X$170,17,FALSE)</f>
        <v>1</v>
      </c>
      <c r="T123" s="168">
        <f>VLOOKUP(C123,[1]allprides!$C$2:$X$170,18,FALSE)</f>
        <v>2013</v>
      </c>
      <c r="U123" s="168">
        <f>VLOOKUP(C123,[1]allprides!$C$2:$X$170,19,FALSE)</f>
        <v>8</v>
      </c>
      <c r="V123" s="168">
        <f>VLOOKUP(C123,[1]allprides!$C$2:$X$170,20,FALSE)</f>
        <v>0</v>
      </c>
      <c r="W123" s="168">
        <v>1</v>
      </c>
      <c r="X123" s="169" t="str">
        <f t="shared" si="1"/>
        <v>/*ELI-659*/ 00011100 1;</v>
      </c>
    </row>
    <row r="124" spans="1:24" s="169" customFormat="1" x14ac:dyDescent="0.25">
      <c r="A124" s="168" t="s">
        <v>526</v>
      </c>
      <c r="B124" s="168" t="s">
        <v>526</v>
      </c>
      <c r="C124" s="168" t="s">
        <v>371</v>
      </c>
      <c r="D124" s="163">
        <v>0</v>
      </c>
      <c r="E124" s="163">
        <v>0</v>
      </c>
      <c r="F124" s="163">
        <v>0</v>
      </c>
      <c r="G124" s="163">
        <v>0</v>
      </c>
      <c r="H124" s="163">
        <v>0</v>
      </c>
      <c r="I124" s="163">
        <v>0</v>
      </c>
      <c r="J124" s="163">
        <v>1</v>
      </c>
      <c r="K124" s="162">
        <v>1</v>
      </c>
      <c r="L124" s="163">
        <v>1</v>
      </c>
      <c r="M124" s="163">
        <v>0</v>
      </c>
      <c r="N124" s="163">
        <v>0</v>
      </c>
      <c r="O124" s="163">
        <v>0</v>
      </c>
      <c r="P124" s="168">
        <f>VLOOKUP(C124,[1]allprides!$C$2:$X$170,14,FALSE)</f>
        <v>1</v>
      </c>
      <c r="Q124" s="168">
        <f>VLOOKUP(C124,[1]allprides!$C$2:$X$170,15,FALSE)</f>
        <v>0</v>
      </c>
      <c r="R124" s="168">
        <f>VLOOKUP(C124,[1]allprides!$C$2:$X$170,16,FALSE)</f>
        <v>0</v>
      </c>
      <c r="S124" s="168">
        <f>VLOOKUP(C124,[1]allprides!$C$2:$X$170,17,FALSE)</f>
        <v>1</v>
      </c>
      <c r="T124" s="168">
        <f>VLOOKUP(C124,[1]allprides!$C$2:$X$170,18,FALSE)</f>
        <v>2013</v>
      </c>
      <c r="U124" s="168">
        <f>VLOOKUP(C124,[1]allprides!$C$2:$X$170,19,FALSE)</f>
        <v>8</v>
      </c>
      <c r="V124" s="168">
        <f>VLOOKUP(C124,[1]allprides!$C$2:$X$170,20,FALSE)</f>
        <v>0</v>
      </c>
      <c r="W124" s="168">
        <v>1</v>
      </c>
      <c r="X124" s="169" t="str">
        <f t="shared" si="1"/>
        <v>/*ELI-660*/ 00011100 1;</v>
      </c>
    </row>
    <row r="125" spans="1:24" s="169" customFormat="1" x14ac:dyDescent="0.25">
      <c r="A125" s="168" t="s">
        <v>526</v>
      </c>
      <c r="B125" s="168" t="s">
        <v>526</v>
      </c>
      <c r="C125" s="168" t="s">
        <v>444</v>
      </c>
      <c r="D125" s="163">
        <v>0</v>
      </c>
      <c r="E125" s="163">
        <v>0</v>
      </c>
      <c r="F125" s="163">
        <v>0</v>
      </c>
      <c r="G125" s="163">
        <v>0</v>
      </c>
      <c r="H125" s="163">
        <v>0</v>
      </c>
      <c r="I125" s="163">
        <v>1</v>
      </c>
      <c r="J125" s="163">
        <v>1</v>
      </c>
      <c r="K125" s="162">
        <v>1</v>
      </c>
      <c r="L125" s="163">
        <v>1</v>
      </c>
      <c r="M125" s="163">
        <v>0</v>
      </c>
      <c r="N125" s="163">
        <v>0</v>
      </c>
      <c r="O125" s="163">
        <v>0</v>
      </c>
      <c r="P125" s="168">
        <f>VLOOKUP(C125,[1]allprides!$C$2:$X$170,14,FALSE)</f>
        <v>1</v>
      </c>
      <c r="Q125" s="168">
        <f>VLOOKUP(C125,[1]allprides!$C$2:$X$170,15,FALSE)</f>
        <v>0</v>
      </c>
      <c r="R125" s="168">
        <f>VLOOKUP(C125,[1]allprides!$C$2:$X$170,16,FALSE)</f>
        <v>0</v>
      </c>
      <c r="S125" s="168">
        <f>VLOOKUP(C125,[1]allprides!$C$2:$X$170,17,FALSE)</f>
        <v>1</v>
      </c>
      <c r="T125" s="168">
        <f>VLOOKUP(C125,[1]allprides!$C$2:$X$170,18,FALSE)</f>
        <v>2013</v>
      </c>
      <c r="U125" s="168">
        <f>VLOOKUP(C125,[1]allprides!$C$2:$X$170,19,FALSE)</f>
        <v>8</v>
      </c>
      <c r="V125" s="168">
        <f>VLOOKUP(C125,[1]allprides!$C$2:$X$170,20,FALSE)</f>
        <v>0</v>
      </c>
      <c r="W125" s="168">
        <v>1</v>
      </c>
      <c r="X125" s="169" t="str">
        <f t="shared" si="1"/>
        <v>/*ELI-661*/ 00111100 1;</v>
      </c>
    </row>
    <row r="126" spans="1:24" s="169" customFormat="1" x14ac:dyDescent="0.25">
      <c r="A126" s="168" t="s">
        <v>526</v>
      </c>
      <c r="B126" s="168" t="s">
        <v>526</v>
      </c>
      <c r="C126" s="168" t="s">
        <v>372</v>
      </c>
      <c r="D126" s="163">
        <v>0</v>
      </c>
      <c r="E126" s="163">
        <v>0</v>
      </c>
      <c r="F126" s="163">
        <v>0</v>
      </c>
      <c r="G126" s="163">
        <v>0</v>
      </c>
      <c r="H126" s="163">
        <v>1</v>
      </c>
      <c r="I126" s="163">
        <v>0</v>
      </c>
      <c r="J126" s="163">
        <v>1</v>
      </c>
      <c r="K126" s="162">
        <v>1</v>
      </c>
      <c r="L126" s="163">
        <v>1</v>
      </c>
      <c r="M126" s="163">
        <v>0</v>
      </c>
      <c r="N126" s="163">
        <v>0</v>
      </c>
      <c r="O126" s="163">
        <v>0</v>
      </c>
      <c r="P126" s="168">
        <f>VLOOKUP(C126,[1]allprides!$C$2:$X$170,14,FALSE)</f>
        <v>1</v>
      </c>
      <c r="Q126" s="168">
        <f>VLOOKUP(C126,[1]allprides!$C$2:$X$170,15,FALSE)</f>
        <v>0</v>
      </c>
      <c r="R126" s="168">
        <f>VLOOKUP(C126,[1]allprides!$C$2:$X$170,16,FALSE)</f>
        <v>0</v>
      </c>
      <c r="S126" s="168">
        <f>VLOOKUP(C126,[1]allprides!$C$2:$X$170,17,FALSE)</f>
        <v>1</v>
      </c>
      <c r="T126" s="168">
        <f>VLOOKUP(C126,[1]allprides!$C$2:$X$170,18,FALSE)</f>
        <v>2013</v>
      </c>
      <c r="U126" s="168">
        <f>VLOOKUP(C126,[1]allprides!$C$2:$X$170,19,FALSE)</f>
        <v>8</v>
      </c>
      <c r="V126" s="168">
        <f>VLOOKUP(C126,[1]allprides!$C$2:$X$170,20,FALSE)</f>
        <v>0</v>
      </c>
      <c r="W126" s="168">
        <v>1</v>
      </c>
      <c r="X126" s="169" t="str">
        <f t="shared" si="1"/>
        <v>/*ELI-662*/ 01011100 1;</v>
      </c>
    </row>
    <row r="127" spans="1:24" s="169" customFormat="1" x14ac:dyDescent="0.25">
      <c r="A127" s="168" t="s">
        <v>526</v>
      </c>
      <c r="B127" s="168" t="s">
        <v>526</v>
      </c>
      <c r="C127" s="168" t="s">
        <v>367</v>
      </c>
      <c r="D127" s="163">
        <v>0</v>
      </c>
      <c r="E127" s="163">
        <v>0</v>
      </c>
      <c r="F127" s="163">
        <v>0</v>
      </c>
      <c r="G127" s="163">
        <v>0</v>
      </c>
      <c r="H127" s="163">
        <v>0</v>
      </c>
      <c r="I127" s="163">
        <v>0</v>
      </c>
      <c r="J127" s="163">
        <v>0</v>
      </c>
      <c r="K127" s="163">
        <v>0</v>
      </c>
      <c r="L127" s="163">
        <v>1</v>
      </c>
      <c r="M127" s="163">
        <v>0</v>
      </c>
      <c r="N127" s="163">
        <v>0</v>
      </c>
      <c r="O127" s="163">
        <v>0</v>
      </c>
      <c r="P127" s="168">
        <f>VLOOKUP(C127,[1]allprides!$C$2:$X$170,14,FALSE)</f>
        <v>1</v>
      </c>
      <c r="Q127" s="168">
        <f>VLOOKUP(C127,[1]allprides!$C$2:$X$170,15,FALSE)</f>
        <v>1</v>
      </c>
      <c r="R127" s="168">
        <f>VLOOKUP(C127,[1]allprides!$C$2:$X$170,16,FALSE)</f>
        <v>0</v>
      </c>
      <c r="S127" s="168">
        <f>VLOOKUP(C127,[1]allprides!$C$2:$X$170,17,FALSE)</f>
        <v>1</v>
      </c>
      <c r="T127" s="168">
        <f>VLOOKUP(C127,[1]allprides!$C$2:$X$170,18,FALSE)</f>
        <v>2013</v>
      </c>
      <c r="U127" s="168">
        <f>VLOOKUP(C127,[1]allprides!$C$2:$X$170,19,FALSE)</f>
        <v>8</v>
      </c>
      <c r="V127" s="168">
        <f>VLOOKUP(C127,[1]allprides!$C$2:$X$170,20,FALSE)</f>
        <v>2</v>
      </c>
      <c r="W127" s="168">
        <v>1</v>
      </c>
      <c r="X127" s="169" t="str">
        <f t="shared" si="1"/>
        <v>/*ELI-663*/ 00000100 1;</v>
      </c>
    </row>
    <row r="128" spans="1:24" s="169" customFormat="1" x14ac:dyDescent="0.25">
      <c r="A128" s="168" t="s">
        <v>526</v>
      </c>
      <c r="B128" s="168" t="s">
        <v>526</v>
      </c>
      <c r="C128" s="168" t="s">
        <v>360</v>
      </c>
      <c r="D128" s="163">
        <v>0</v>
      </c>
      <c r="E128" s="163">
        <v>0</v>
      </c>
      <c r="F128" s="163">
        <v>0</v>
      </c>
      <c r="G128" s="163">
        <v>0</v>
      </c>
      <c r="H128" s="163">
        <v>1</v>
      </c>
      <c r="I128" s="162">
        <v>1</v>
      </c>
      <c r="J128" s="162">
        <v>1</v>
      </c>
      <c r="K128" s="163">
        <v>0</v>
      </c>
      <c r="L128" s="163">
        <v>0</v>
      </c>
      <c r="M128" s="163">
        <v>0</v>
      </c>
      <c r="N128" s="163">
        <v>0</v>
      </c>
      <c r="O128" s="163">
        <v>0</v>
      </c>
      <c r="P128" s="168">
        <f>VLOOKUP(C128,[1]allprides!$C$2:$X$170,14,FALSE)</f>
        <v>1</v>
      </c>
      <c r="Q128" s="168">
        <f>VLOOKUP(C128,[1]allprides!$C$2:$X$170,15,FALSE)</f>
        <v>1</v>
      </c>
      <c r="R128" s="168">
        <f>VLOOKUP(C128,[1]allprides!$C$2:$X$170,16,FALSE)</f>
        <v>0</v>
      </c>
      <c r="S128" s="168">
        <f>VLOOKUP(C128,[1]allprides!$C$2:$X$170,17,FALSE)</f>
        <v>1</v>
      </c>
      <c r="T128" s="168">
        <f>VLOOKUP(C128,[1]allprides!$C$2:$X$170,18,FALSE)</f>
        <v>2013</v>
      </c>
      <c r="U128" s="168">
        <f>VLOOKUP(C128,[1]allprides!$C$2:$X$170,19,FALSE)</f>
        <v>8</v>
      </c>
      <c r="V128" s="168">
        <f>VLOOKUP(C128,[1]allprides!$C$2:$X$170,20,FALSE)</f>
        <v>1</v>
      </c>
      <c r="W128" s="168">
        <v>1</v>
      </c>
      <c r="X128" s="169" t="str">
        <f t="shared" si="1"/>
        <v>/*ELI-664*/ 01110000 1;</v>
      </c>
    </row>
    <row r="129" spans="1:24" s="172" customFormat="1" x14ac:dyDescent="0.25">
      <c r="A129" s="167" t="s">
        <v>526</v>
      </c>
      <c r="B129" s="167" t="s">
        <v>526</v>
      </c>
      <c r="C129" s="167" t="s">
        <v>600</v>
      </c>
      <c r="D129" s="171">
        <v>0</v>
      </c>
      <c r="E129" s="171">
        <v>0</v>
      </c>
      <c r="F129" s="171">
        <v>0</v>
      </c>
      <c r="G129" s="171">
        <v>0</v>
      </c>
      <c r="H129" s="171">
        <v>1</v>
      </c>
      <c r="I129" s="171">
        <v>0</v>
      </c>
      <c r="J129" s="171">
        <v>0</v>
      </c>
      <c r="K129" s="171">
        <v>0</v>
      </c>
      <c r="L129" s="171">
        <v>0</v>
      </c>
      <c r="M129" s="171">
        <v>0</v>
      </c>
      <c r="N129" s="171">
        <v>0</v>
      </c>
      <c r="O129" s="171">
        <v>0</v>
      </c>
      <c r="P129" s="168">
        <f>VLOOKUP(C129,[1]allprides!$C$2:$X$170,14,FALSE)</f>
        <v>1</v>
      </c>
      <c r="Q129" s="168">
        <f>VLOOKUP(C129,[1]allprides!$C$2:$X$170,15,FALSE)</f>
        <v>1</v>
      </c>
      <c r="R129" s="168">
        <f>VLOOKUP(C129,[1]allprides!$C$2:$X$170,16,FALSE)</f>
        <v>0</v>
      </c>
      <c r="S129" s="168">
        <f>VLOOKUP(C129,[1]allprides!$C$2:$X$170,17,FALSE)</f>
        <v>1</v>
      </c>
      <c r="T129" s="168">
        <f>VLOOKUP(C129,[1]allprides!$C$2:$X$170,18,FALSE)</f>
        <v>2013</v>
      </c>
      <c r="U129" s="167"/>
      <c r="V129" s="167"/>
      <c r="W129" s="168">
        <v>1</v>
      </c>
      <c r="X129" s="169" t="str">
        <f t="shared" si="1"/>
        <v>/*ELI-665*/ 01000000 1;</v>
      </c>
    </row>
    <row r="130" spans="1:24" s="169" customFormat="1" x14ac:dyDescent="0.25">
      <c r="A130" s="168" t="s">
        <v>526</v>
      </c>
      <c r="B130" s="168" t="s">
        <v>526</v>
      </c>
      <c r="C130" s="168" t="s">
        <v>368</v>
      </c>
      <c r="D130" s="163">
        <v>0</v>
      </c>
      <c r="E130" s="163">
        <v>0</v>
      </c>
      <c r="F130" s="163">
        <v>0</v>
      </c>
      <c r="G130" s="163">
        <v>0</v>
      </c>
      <c r="H130" s="163">
        <v>1</v>
      </c>
      <c r="I130" s="163">
        <v>0</v>
      </c>
      <c r="J130" s="162">
        <v>1</v>
      </c>
      <c r="K130" s="163">
        <v>0</v>
      </c>
      <c r="L130" s="163">
        <v>1</v>
      </c>
      <c r="M130" s="163">
        <v>0</v>
      </c>
      <c r="N130" s="163">
        <v>0</v>
      </c>
      <c r="O130" s="163">
        <v>0</v>
      </c>
      <c r="P130" s="168">
        <f>VLOOKUP(C130,[1]allprides!$C$2:$X$170,14,FALSE)</f>
        <v>1</v>
      </c>
      <c r="Q130" s="168">
        <f>VLOOKUP(C130,[1]allprides!$C$2:$X$170,15,FALSE)</f>
        <v>1</v>
      </c>
      <c r="R130" s="168">
        <f>VLOOKUP(C130,[1]allprides!$C$2:$X$170,16,FALSE)</f>
        <v>0</v>
      </c>
      <c r="S130" s="168">
        <f>VLOOKUP(C130,[1]allprides!$C$2:$X$170,17,FALSE)</f>
        <v>1</v>
      </c>
      <c r="T130" s="168">
        <f>VLOOKUP(C130,[1]allprides!$C$2:$X$170,18,FALSE)</f>
        <v>2013</v>
      </c>
      <c r="U130" s="168">
        <f>VLOOKUP(C130,[1]allprides!$C$2:$X$170,19,FALSE)</f>
        <v>11</v>
      </c>
      <c r="V130" s="168">
        <f>VLOOKUP(C130,[1]allprides!$C$2:$X$170,20,FALSE)</f>
        <v>1</v>
      </c>
      <c r="W130" s="168">
        <v>1</v>
      </c>
      <c r="X130" s="169" t="str">
        <f t="shared" si="1"/>
        <v>/*ELI-666*/ 01010100 1;</v>
      </c>
    </row>
    <row r="131" spans="1:24" s="169" customFormat="1" x14ac:dyDescent="0.25">
      <c r="A131" s="168" t="s">
        <v>526</v>
      </c>
      <c r="B131" s="168" t="s">
        <v>537</v>
      </c>
      <c r="C131" s="168" t="s">
        <v>361</v>
      </c>
      <c r="D131" s="163">
        <v>0</v>
      </c>
      <c r="E131" s="163">
        <v>0</v>
      </c>
      <c r="F131" s="163">
        <v>0</v>
      </c>
      <c r="G131" s="163">
        <v>0</v>
      </c>
      <c r="H131" s="163">
        <v>0</v>
      </c>
      <c r="I131" s="170">
        <v>1</v>
      </c>
      <c r="J131" s="184">
        <v>1</v>
      </c>
      <c r="K131" s="163">
        <v>0</v>
      </c>
      <c r="L131" s="170">
        <v>1</v>
      </c>
      <c r="M131" s="170">
        <v>1</v>
      </c>
      <c r="N131" s="163">
        <v>0</v>
      </c>
      <c r="O131" s="163">
        <v>0</v>
      </c>
      <c r="P131" s="168">
        <f>VLOOKUP(C131,[1]allprides!$C$2:$X$170,14,FALSE)</f>
        <v>1</v>
      </c>
      <c r="Q131" s="168">
        <f>VLOOKUP(C131,[1]allprides!$C$2:$X$170,15,FALSE)</f>
        <v>0</v>
      </c>
      <c r="R131" s="168">
        <f>VLOOKUP(C131,[1]allprides!$C$2:$X$170,16,FALSE)</f>
        <v>0</v>
      </c>
      <c r="S131" s="168">
        <f>VLOOKUP(C131,[1]allprides!$C$2:$X$170,17,FALSE)</f>
        <v>1</v>
      </c>
      <c r="T131" s="168">
        <f>VLOOKUP(C131,[1]allprides!$C$2:$X$170,18,FALSE)</f>
        <v>2014</v>
      </c>
      <c r="U131" s="168">
        <f>VLOOKUP(C131,[1]allprides!$C$2:$X$170,19,FALSE)</f>
        <v>7</v>
      </c>
      <c r="V131" s="168">
        <f>VLOOKUP(C131,[1]allprides!$C$2:$X$170,20,FALSE)</f>
        <v>6</v>
      </c>
      <c r="W131" s="168">
        <v>1</v>
      </c>
      <c r="X131" s="169" t="str">
        <f t="shared" si="1"/>
        <v>/*ELI-469*/ 00110110 1;</v>
      </c>
    </row>
    <row r="132" spans="1:24" s="169" customFormat="1" x14ac:dyDescent="0.25">
      <c r="A132" s="168" t="s">
        <v>526</v>
      </c>
      <c r="B132" s="168" t="s">
        <v>527</v>
      </c>
      <c r="C132" s="168" t="s">
        <v>555</v>
      </c>
      <c r="D132" s="163">
        <v>0</v>
      </c>
      <c r="E132" s="163">
        <v>0</v>
      </c>
      <c r="F132" s="163">
        <v>0</v>
      </c>
      <c r="G132" s="163">
        <v>0</v>
      </c>
      <c r="H132" s="163">
        <v>0</v>
      </c>
      <c r="I132" s="170">
        <v>1</v>
      </c>
      <c r="J132" s="184">
        <v>1</v>
      </c>
      <c r="K132" s="163">
        <v>0</v>
      </c>
      <c r="L132" s="170">
        <v>1</v>
      </c>
      <c r="M132" s="170">
        <v>1</v>
      </c>
      <c r="N132" s="163">
        <v>0</v>
      </c>
      <c r="O132" s="163">
        <v>0</v>
      </c>
      <c r="P132" s="168">
        <v>1</v>
      </c>
      <c r="Q132" s="168">
        <v>1</v>
      </c>
      <c r="R132" s="168">
        <v>0</v>
      </c>
      <c r="S132" s="168">
        <v>1</v>
      </c>
      <c r="T132" s="168">
        <v>2015</v>
      </c>
      <c r="U132" s="168">
        <v>6</v>
      </c>
      <c r="V132" s="168">
        <v>0</v>
      </c>
      <c r="W132" s="168">
        <v>1</v>
      </c>
      <c r="X132" s="169" t="str">
        <f t="shared" si="1"/>
        <v>/*ELI-801*/ 00110110 1;</v>
      </c>
    </row>
    <row r="133" spans="1:24" s="169" customFormat="1" x14ac:dyDescent="0.25">
      <c r="A133" s="168" t="s">
        <v>526</v>
      </c>
      <c r="B133" s="168" t="s">
        <v>528</v>
      </c>
      <c r="C133" s="168" t="s">
        <v>556</v>
      </c>
      <c r="D133" s="163">
        <v>0</v>
      </c>
      <c r="E133" s="163">
        <v>0</v>
      </c>
      <c r="F133" s="163">
        <v>0</v>
      </c>
      <c r="G133" s="163">
        <v>0</v>
      </c>
      <c r="H133" s="163">
        <v>0</v>
      </c>
      <c r="I133" s="170">
        <v>1</v>
      </c>
      <c r="J133" s="184">
        <v>1</v>
      </c>
      <c r="K133" s="163">
        <v>0</v>
      </c>
      <c r="L133" s="170">
        <v>1</v>
      </c>
      <c r="M133" s="170">
        <v>1</v>
      </c>
      <c r="N133" s="163">
        <v>0</v>
      </c>
      <c r="O133" s="163">
        <v>0</v>
      </c>
      <c r="P133" s="168">
        <v>1</v>
      </c>
      <c r="Q133" s="168">
        <v>1</v>
      </c>
      <c r="R133" s="168">
        <v>0</v>
      </c>
      <c r="S133" s="168">
        <v>1</v>
      </c>
      <c r="T133" s="168">
        <v>2015</v>
      </c>
      <c r="U133" s="168">
        <v>6</v>
      </c>
      <c r="V133" s="168">
        <v>0</v>
      </c>
      <c r="W133" s="168">
        <v>1</v>
      </c>
      <c r="X133" s="169" t="str">
        <f t="shared" si="1"/>
        <v>/*ELI-802*/ 00110110 1;</v>
      </c>
    </row>
    <row r="134" spans="1:24" s="169" customFormat="1" x14ac:dyDescent="0.25">
      <c r="A134" s="168" t="s">
        <v>526</v>
      </c>
      <c r="B134" s="168" t="s">
        <v>529</v>
      </c>
      <c r="C134" s="168" t="s">
        <v>557</v>
      </c>
      <c r="D134" s="163">
        <v>0</v>
      </c>
      <c r="E134" s="163">
        <v>0</v>
      </c>
      <c r="F134" s="163">
        <v>0</v>
      </c>
      <c r="G134" s="163">
        <v>0</v>
      </c>
      <c r="H134" s="163">
        <v>0</v>
      </c>
      <c r="I134" s="170">
        <v>1</v>
      </c>
      <c r="J134" s="184">
        <v>1</v>
      </c>
      <c r="K134" s="163">
        <v>0</v>
      </c>
      <c r="L134" s="170">
        <v>1</v>
      </c>
      <c r="M134" s="170">
        <v>1</v>
      </c>
      <c r="N134" s="163">
        <v>0</v>
      </c>
      <c r="O134" s="163">
        <v>0</v>
      </c>
      <c r="P134" s="168">
        <v>1</v>
      </c>
      <c r="Q134" s="168">
        <v>1</v>
      </c>
      <c r="R134" s="168">
        <v>1</v>
      </c>
      <c r="S134" s="168">
        <v>1</v>
      </c>
      <c r="T134" s="168">
        <v>2015</v>
      </c>
      <c r="U134" s="168">
        <v>6</v>
      </c>
      <c r="V134" s="168">
        <v>0</v>
      </c>
      <c r="W134" s="168">
        <v>1</v>
      </c>
      <c r="X134" s="169" t="str">
        <f t="shared" si="1"/>
        <v>/*ELI-803*/ 00110110 1;</v>
      </c>
    </row>
    <row r="135" spans="1:24" s="169" customFormat="1" x14ac:dyDescent="0.25">
      <c r="A135" s="168" t="s">
        <v>526</v>
      </c>
      <c r="B135" s="168" t="s">
        <v>530</v>
      </c>
      <c r="C135" s="168" t="s">
        <v>558</v>
      </c>
      <c r="D135" s="163">
        <v>0</v>
      </c>
      <c r="E135" s="163">
        <v>0</v>
      </c>
      <c r="F135" s="163">
        <v>0</v>
      </c>
      <c r="G135" s="163">
        <v>0</v>
      </c>
      <c r="H135" s="163">
        <v>0</v>
      </c>
      <c r="I135" s="170">
        <v>1</v>
      </c>
      <c r="J135" s="184">
        <v>1</v>
      </c>
      <c r="K135" s="163">
        <v>0</v>
      </c>
      <c r="L135" s="170">
        <v>1</v>
      </c>
      <c r="M135" s="170">
        <v>1</v>
      </c>
      <c r="N135" s="163">
        <v>0</v>
      </c>
      <c r="O135" s="163">
        <v>0</v>
      </c>
      <c r="P135" s="168">
        <v>1</v>
      </c>
      <c r="Q135" s="168">
        <v>0</v>
      </c>
      <c r="R135" s="168">
        <v>1</v>
      </c>
      <c r="S135" s="168">
        <v>1</v>
      </c>
      <c r="T135" s="168">
        <v>2015</v>
      </c>
      <c r="U135" s="168">
        <v>6</v>
      </c>
      <c r="V135" s="168">
        <v>0</v>
      </c>
      <c r="W135" s="168">
        <v>1</v>
      </c>
      <c r="X135" s="169" t="str">
        <f t="shared" ref="X135:X157" si="2">CONCATENATE("/*",C135,"*/ ",G135,H135,I135,J135,K135,L135,M135,N135," 1;")</f>
        <v>/*ELI-804*/ 00110110 1;</v>
      </c>
    </row>
    <row r="136" spans="1:24" s="169" customFormat="1" x14ac:dyDescent="0.25">
      <c r="A136" s="168" t="s">
        <v>544</v>
      </c>
      <c r="B136" s="185" t="s">
        <v>212</v>
      </c>
      <c r="C136" s="185" t="s">
        <v>213</v>
      </c>
      <c r="D136" s="163">
        <v>0</v>
      </c>
      <c r="E136" s="163">
        <v>0</v>
      </c>
      <c r="F136" s="163">
        <v>0</v>
      </c>
      <c r="G136" s="163">
        <v>0</v>
      </c>
      <c r="H136" s="163">
        <v>0</v>
      </c>
      <c r="I136" s="163">
        <v>0</v>
      </c>
      <c r="J136" s="163">
        <v>0</v>
      </c>
      <c r="K136" s="163">
        <v>1</v>
      </c>
      <c r="L136" s="170">
        <v>0</v>
      </c>
      <c r="M136" s="163">
        <v>1</v>
      </c>
      <c r="N136" s="163">
        <v>0</v>
      </c>
      <c r="O136" s="163">
        <v>0</v>
      </c>
      <c r="P136" s="168">
        <v>1</v>
      </c>
      <c r="Q136" s="168">
        <v>0</v>
      </c>
      <c r="R136" s="168">
        <v>0</v>
      </c>
      <c r="S136" s="168">
        <v>1</v>
      </c>
      <c r="T136" s="168">
        <v>2008</v>
      </c>
      <c r="U136" s="168">
        <v>10</v>
      </c>
      <c r="V136" s="168">
        <v>3</v>
      </c>
      <c r="W136" s="168">
        <v>0</v>
      </c>
      <c r="X136" s="169" t="str">
        <f t="shared" si="2"/>
        <v>/*ELI-134*/ 00001010 1;</v>
      </c>
    </row>
    <row r="137" spans="1:24" s="169" customFormat="1" x14ac:dyDescent="0.25">
      <c r="A137" s="168" t="s">
        <v>544</v>
      </c>
      <c r="B137" s="185" t="s">
        <v>214</v>
      </c>
      <c r="C137" s="185" t="s">
        <v>215</v>
      </c>
      <c r="D137" s="163">
        <v>0</v>
      </c>
      <c r="E137" s="163">
        <v>0</v>
      </c>
      <c r="F137" s="163">
        <v>0</v>
      </c>
      <c r="G137" s="163">
        <v>0</v>
      </c>
      <c r="H137" s="163">
        <v>0</v>
      </c>
      <c r="I137" s="163">
        <v>0</v>
      </c>
      <c r="J137" s="163">
        <v>0</v>
      </c>
      <c r="K137" s="163">
        <v>1</v>
      </c>
      <c r="L137" s="170">
        <v>0</v>
      </c>
      <c r="M137" s="163">
        <v>1</v>
      </c>
      <c r="N137" s="163">
        <v>0</v>
      </c>
      <c r="O137" s="163">
        <v>0</v>
      </c>
      <c r="P137" s="168">
        <v>1</v>
      </c>
      <c r="Q137" s="168">
        <v>0</v>
      </c>
      <c r="R137" s="168">
        <v>0</v>
      </c>
      <c r="S137" s="168">
        <v>1</v>
      </c>
      <c r="T137" s="168">
        <v>2008</v>
      </c>
      <c r="U137" s="168">
        <v>10</v>
      </c>
      <c r="V137" s="168">
        <v>2</v>
      </c>
      <c r="W137" s="168">
        <v>0</v>
      </c>
      <c r="X137" s="169" t="str">
        <f t="shared" si="2"/>
        <v>/*ELI-135*/ 00001010 1;</v>
      </c>
    </row>
    <row r="138" spans="1:24" s="169" customFormat="1" x14ac:dyDescent="0.25">
      <c r="A138" s="168" t="s">
        <v>544</v>
      </c>
      <c r="B138" s="185" t="s">
        <v>216</v>
      </c>
      <c r="C138" s="185" t="s">
        <v>217</v>
      </c>
      <c r="D138" s="163">
        <v>0</v>
      </c>
      <c r="E138" s="163">
        <v>0</v>
      </c>
      <c r="F138" s="163">
        <v>0</v>
      </c>
      <c r="G138" s="163">
        <v>0</v>
      </c>
      <c r="H138" s="163">
        <v>0</v>
      </c>
      <c r="I138" s="163">
        <v>0</v>
      </c>
      <c r="J138" s="163">
        <v>0</v>
      </c>
      <c r="K138" s="163">
        <v>1</v>
      </c>
      <c r="L138" s="170">
        <v>0</v>
      </c>
      <c r="M138" s="163">
        <v>1</v>
      </c>
      <c r="N138" s="163">
        <v>0</v>
      </c>
      <c r="O138" s="163">
        <v>0</v>
      </c>
      <c r="P138" s="168">
        <v>1</v>
      </c>
      <c r="Q138" s="168">
        <v>0</v>
      </c>
      <c r="R138" s="168">
        <v>0</v>
      </c>
      <c r="S138" s="168">
        <v>1</v>
      </c>
      <c r="T138" s="168">
        <v>2008</v>
      </c>
      <c r="U138" s="168">
        <v>10</v>
      </c>
      <c r="V138" s="168">
        <v>6</v>
      </c>
      <c r="W138" s="168">
        <v>0</v>
      </c>
      <c r="X138" s="169" t="str">
        <f t="shared" si="2"/>
        <v>/*ELI-136*/ 00001010 1;</v>
      </c>
    </row>
    <row r="139" spans="1:24" s="169" customFormat="1" x14ac:dyDescent="0.25">
      <c r="A139" s="168" t="s">
        <v>544</v>
      </c>
      <c r="B139" s="185" t="s">
        <v>605</v>
      </c>
      <c r="C139" s="185" t="s">
        <v>606</v>
      </c>
      <c r="D139" s="163">
        <v>0</v>
      </c>
      <c r="E139" s="163">
        <v>0</v>
      </c>
      <c r="F139" s="163">
        <v>0</v>
      </c>
      <c r="G139" s="163">
        <v>0</v>
      </c>
      <c r="H139" s="163">
        <v>0</v>
      </c>
      <c r="I139" s="163">
        <v>0</v>
      </c>
      <c r="J139" s="163">
        <v>0</v>
      </c>
      <c r="K139" s="163">
        <v>1</v>
      </c>
      <c r="L139" s="170">
        <v>0</v>
      </c>
      <c r="M139" s="163">
        <v>1</v>
      </c>
      <c r="N139" s="163">
        <v>0</v>
      </c>
      <c r="O139" s="163">
        <v>0</v>
      </c>
      <c r="P139" s="168">
        <v>1</v>
      </c>
      <c r="Q139" s="168">
        <v>0</v>
      </c>
      <c r="R139" s="168">
        <v>0</v>
      </c>
      <c r="S139" s="168">
        <v>1</v>
      </c>
      <c r="T139" s="168">
        <v>2008</v>
      </c>
      <c r="U139" s="168">
        <v>10</v>
      </c>
      <c r="V139" s="168">
        <v>2</v>
      </c>
      <c r="W139" s="168">
        <v>0</v>
      </c>
      <c r="X139" s="169" t="str">
        <f t="shared" si="2"/>
        <v>/*ELI-137*/ 00001010 1;</v>
      </c>
    </row>
    <row r="140" spans="1:24" s="169" customFormat="1" x14ac:dyDescent="0.25">
      <c r="A140" s="168" t="s">
        <v>544</v>
      </c>
      <c r="B140" s="185" t="s">
        <v>218</v>
      </c>
      <c r="C140" s="185" t="s">
        <v>614</v>
      </c>
      <c r="D140" s="163">
        <v>0</v>
      </c>
      <c r="E140" s="163">
        <v>0</v>
      </c>
      <c r="F140" s="163">
        <v>0</v>
      </c>
      <c r="G140" s="163">
        <v>0</v>
      </c>
      <c r="H140" s="163">
        <v>0</v>
      </c>
      <c r="I140" s="163">
        <v>0</v>
      </c>
      <c r="J140" s="163">
        <v>0</v>
      </c>
      <c r="K140" s="163">
        <v>1</v>
      </c>
      <c r="L140" s="170">
        <v>0</v>
      </c>
      <c r="M140" s="163">
        <v>1</v>
      </c>
      <c r="N140" s="163">
        <v>0</v>
      </c>
      <c r="O140" s="163">
        <v>0</v>
      </c>
      <c r="P140" s="168">
        <v>1</v>
      </c>
      <c r="Q140" s="168">
        <v>0</v>
      </c>
      <c r="R140" s="168">
        <v>0</v>
      </c>
      <c r="S140" s="168">
        <v>1</v>
      </c>
      <c r="T140" s="168">
        <v>2008</v>
      </c>
      <c r="U140" s="168">
        <v>10</v>
      </c>
      <c r="V140" s="168">
        <v>5</v>
      </c>
      <c r="W140" s="168">
        <v>0</v>
      </c>
      <c r="X140" s="169" t="str">
        <f t="shared" si="2"/>
        <v>/*ELI-989*/ 00001010 1;</v>
      </c>
    </row>
    <row r="141" spans="1:24" s="169" customFormat="1" x14ac:dyDescent="0.25">
      <c r="A141" s="168" t="s">
        <v>544</v>
      </c>
      <c r="B141" s="185" t="s">
        <v>220</v>
      </c>
      <c r="C141" s="185" t="s">
        <v>637</v>
      </c>
      <c r="D141" s="163">
        <v>0</v>
      </c>
      <c r="E141" s="163">
        <v>0</v>
      </c>
      <c r="F141" s="163">
        <v>0</v>
      </c>
      <c r="G141" s="163">
        <v>0</v>
      </c>
      <c r="H141" s="163">
        <v>0</v>
      </c>
      <c r="I141" s="163">
        <v>0</v>
      </c>
      <c r="J141" s="163">
        <v>0</v>
      </c>
      <c r="K141" s="163">
        <v>1</v>
      </c>
      <c r="L141" s="170">
        <v>0</v>
      </c>
      <c r="M141" s="163">
        <v>1</v>
      </c>
      <c r="N141" s="163">
        <v>0</v>
      </c>
      <c r="O141" s="163">
        <v>0</v>
      </c>
      <c r="P141" s="168">
        <v>1</v>
      </c>
      <c r="Q141" s="168">
        <v>0</v>
      </c>
      <c r="R141" s="168">
        <v>0</v>
      </c>
      <c r="S141" s="168">
        <v>1</v>
      </c>
      <c r="T141" s="168">
        <v>2015</v>
      </c>
      <c r="U141" s="168">
        <v>8</v>
      </c>
      <c r="V141" s="168">
        <v>8</v>
      </c>
      <c r="W141" s="168">
        <v>0</v>
      </c>
      <c r="X141" s="169" t="str">
        <f t="shared" si="2"/>
        <v>/*ELI-961*/ 00001010 1;</v>
      </c>
    </row>
    <row r="142" spans="1:24" s="169" customFormat="1" x14ac:dyDescent="0.25">
      <c r="A142" s="168" t="s">
        <v>544</v>
      </c>
      <c r="B142" s="185" t="s">
        <v>611</v>
      </c>
      <c r="C142" s="185" t="s">
        <v>615</v>
      </c>
      <c r="D142" s="163">
        <v>0</v>
      </c>
      <c r="E142" s="163">
        <v>0</v>
      </c>
      <c r="F142" s="163">
        <v>0</v>
      </c>
      <c r="G142" s="163">
        <v>0</v>
      </c>
      <c r="H142" s="163">
        <v>0</v>
      </c>
      <c r="I142" s="163">
        <v>0</v>
      </c>
      <c r="J142" s="163">
        <v>0</v>
      </c>
      <c r="K142" s="163">
        <v>1</v>
      </c>
      <c r="L142" s="170">
        <v>0</v>
      </c>
      <c r="M142" s="163">
        <v>1</v>
      </c>
      <c r="N142" s="163">
        <v>0</v>
      </c>
      <c r="O142" s="163">
        <v>0</v>
      </c>
      <c r="P142" s="168">
        <v>1</v>
      </c>
      <c r="Q142" s="168">
        <v>0</v>
      </c>
      <c r="R142" s="168">
        <v>0</v>
      </c>
      <c r="S142" s="168">
        <v>1</v>
      </c>
      <c r="T142" s="168">
        <v>2015</v>
      </c>
      <c r="U142" s="168">
        <v>8</v>
      </c>
      <c r="V142" s="168">
        <v>6</v>
      </c>
      <c r="W142" s="168">
        <v>0</v>
      </c>
      <c r="X142" s="169" t="str">
        <f t="shared" si="2"/>
        <v>/*ELI-962*/ 00001010 1;</v>
      </c>
    </row>
    <row r="143" spans="1:24" s="169" customFormat="1" x14ac:dyDescent="0.25">
      <c r="A143" s="168" t="s">
        <v>544</v>
      </c>
      <c r="B143" s="185" t="s">
        <v>612</v>
      </c>
      <c r="C143" s="185" t="s">
        <v>616</v>
      </c>
      <c r="D143" s="163">
        <v>0</v>
      </c>
      <c r="E143" s="163">
        <v>0</v>
      </c>
      <c r="F143" s="163">
        <v>0</v>
      </c>
      <c r="G143" s="163">
        <v>0</v>
      </c>
      <c r="H143" s="163">
        <v>0</v>
      </c>
      <c r="I143" s="163">
        <v>0</v>
      </c>
      <c r="J143" s="163">
        <v>0</v>
      </c>
      <c r="K143" s="163">
        <v>1</v>
      </c>
      <c r="L143" s="170">
        <v>0</v>
      </c>
      <c r="M143" s="163">
        <v>1</v>
      </c>
      <c r="N143" s="163">
        <v>0</v>
      </c>
      <c r="O143" s="163">
        <v>0</v>
      </c>
      <c r="P143" s="168">
        <v>1</v>
      </c>
      <c r="Q143" s="168">
        <v>0</v>
      </c>
      <c r="R143" s="168">
        <v>0</v>
      </c>
      <c r="S143" s="168">
        <v>1</v>
      </c>
      <c r="T143" s="168">
        <v>2015</v>
      </c>
      <c r="U143" s="168">
        <v>8</v>
      </c>
      <c r="V143" s="168">
        <v>9</v>
      </c>
      <c r="W143" s="168">
        <v>0</v>
      </c>
      <c r="X143" s="169" t="str">
        <f t="shared" si="2"/>
        <v>/*ELI-963*/ 00001010 1;</v>
      </c>
    </row>
    <row r="144" spans="1:24" s="169" customFormat="1" x14ac:dyDescent="0.25">
      <c r="A144" s="168" t="s">
        <v>544</v>
      </c>
      <c r="B144" s="168" t="s">
        <v>545</v>
      </c>
      <c r="C144" s="168" t="s">
        <v>597</v>
      </c>
      <c r="D144" s="163">
        <v>0</v>
      </c>
      <c r="E144" s="163">
        <v>0</v>
      </c>
      <c r="F144" s="163">
        <v>0</v>
      </c>
      <c r="G144" s="163">
        <v>0</v>
      </c>
      <c r="H144" s="163">
        <v>0</v>
      </c>
      <c r="I144" s="163">
        <v>0</v>
      </c>
      <c r="J144" s="163">
        <v>0</v>
      </c>
      <c r="K144" s="163">
        <v>1</v>
      </c>
      <c r="L144" s="170">
        <v>0</v>
      </c>
      <c r="M144" s="163">
        <v>1</v>
      </c>
      <c r="N144" s="170">
        <v>0</v>
      </c>
      <c r="O144" s="170">
        <v>0</v>
      </c>
      <c r="P144" s="168">
        <v>1</v>
      </c>
      <c r="Q144" s="168">
        <v>0</v>
      </c>
      <c r="R144" s="168">
        <v>0</v>
      </c>
      <c r="S144" s="168">
        <v>1</v>
      </c>
      <c r="T144" s="168">
        <v>2013</v>
      </c>
      <c r="U144" s="168">
        <v>8</v>
      </c>
      <c r="V144" s="168">
        <v>0</v>
      </c>
      <c r="W144" s="168">
        <v>0</v>
      </c>
      <c r="X144" s="169" t="str">
        <f t="shared" si="2"/>
        <v>/*ELI-647*/ 00001010 1;</v>
      </c>
    </row>
    <row r="145" spans="1:24" s="169" customFormat="1" x14ac:dyDescent="0.25">
      <c r="A145" s="168" t="s">
        <v>544</v>
      </c>
      <c r="B145" s="168" t="s">
        <v>546</v>
      </c>
      <c r="C145" s="168" t="s">
        <v>625</v>
      </c>
      <c r="D145" s="163">
        <v>0</v>
      </c>
      <c r="E145" s="163">
        <v>0</v>
      </c>
      <c r="F145" s="163">
        <v>0</v>
      </c>
      <c r="G145" s="163">
        <v>0</v>
      </c>
      <c r="H145" s="163">
        <v>0</v>
      </c>
      <c r="I145" s="163">
        <v>0</v>
      </c>
      <c r="J145" s="163">
        <v>0</v>
      </c>
      <c r="K145" s="163">
        <v>1</v>
      </c>
      <c r="L145" s="170">
        <v>0</v>
      </c>
      <c r="M145" s="163">
        <v>1</v>
      </c>
      <c r="N145" s="170">
        <v>0</v>
      </c>
      <c r="O145" s="170">
        <v>0</v>
      </c>
      <c r="P145" s="168">
        <v>1</v>
      </c>
      <c r="Q145" s="168">
        <v>1</v>
      </c>
      <c r="R145" s="168">
        <v>0</v>
      </c>
      <c r="S145" s="168">
        <v>1</v>
      </c>
      <c r="T145" s="168">
        <v>2015</v>
      </c>
      <c r="U145" s="168">
        <v>8</v>
      </c>
      <c r="V145" s="168">
        <v>0</v>
      </c>
      <c r="W145" s="168">
        <v>0</v>
      </c>
      <c r="X145" s="169" t="str">
        <f t="shared" si="2"/>
        <v>/*ELI-965*/ 00001010 1;</v>
      </c>
    </row>
    <row r="146" spans="1:24" s="169" customFormat="1" x14ac:dyDescent="0.25">
      <c r="A146" s="168" t="s">
        <v>544</v>
      </c>
      <c r="B146" s="168" t="s">
        <v>547</v>
      </c>
      <c r="C146" s="168" t="s">
        <v>626</v>
      </c>
      <c r="D146" s="163">
        <v>0</v>
      </c>
      <c r="E146" s="163">
        <v>0</v>
      </c>
      <c r="F146" s="163">
        <v>0</v>
      </c>
      <c r="G146" s="163">
        <v>0</v>
      </c>
      <c r="H146" s="163">
        <v>0</v>
      </c>
      <c r="I146" s="163">
        <v>0</v>
      </c>
      <c r="J146" s="163">
        <v>0</v>
      </c>
      <c r="K146" s="163">
        <v>1</v>
      </c>
      <c r="L146" s="170">
        <v>0</v>
      </c>
      <c r="M146" s="163">
        <v>1</v>
      </c>
      <c r="N146" s="170">
        <v>0</v>
      </c>
      <c r="O146" s="170">
        <v>0</v>
      </c>
      <c r="P146" s="168">
        <v>1</v>
      </c>
      <c r="Q146" s="168">
        <v>0</v>
      </c>
      <c r="R146" s="168">
        <v>0</v>
      </c>
      <c r="S146" s="168">
        <v>1</v>
      </c>
      <c r="T146" s="168">
        <v>2015</v>
      </c>
      <c r="U146" s="168">
        <v>8</v>
      </c>
      <c r="V146" s="168">
        <v>0</v>
      </c>
      <c r="W146" s="168">
        <v>0</v>
      </c>
      <c r="X146" s="169" t="str">
        <f t="shared" si="2"/>
        <v>/*ELI-966*/ 00001010 1;</v>
      </c>
    </row>
    <row r="147" spans="1:24" s="169" customFormat="1" x14ac:dyDescent="0.25">
      <c r="A147" s="168" t="s">
        <v>544</v>
      </c>
      <c r="B147" s="168" t="s">
        <v>548</v>
      </c>
      <c r="C147" s="168" t="s">
        <v>627</v>
      </c>
      <c r="D147" s="163">
        <v>0</v>
      </c>
      <c r="E147" s="163">
        <v>0</v>
      </c>
      <c r="F147" s="163">
        <v>0</v>
      </c>
      <c r="G147" s="163">
        <v>0</v>
      </c>
      <c r="H147" s="163">
        <v>0</v>
      </c>
      <c r="I147" s="163">
        <v>0</v>
      </c>
      <c r="J147" s="163">
        <v>0</v>
      </c>
      <c r="K147" s="163">
        <v>1</v>
      </c>
      <c r="L147" s="170">
        <v>0</v>
      </c>
      <c r="M147" s="163">
        <v>1</v>
      </c>
      <c r="N147" s="170">
        <v>0</v>
      </c>
      <c r="O147" s="170">
        <v>0</v>
      </c>
      <c r="P147" s="168">
        <v>1</v>
      </c>
      <c r="Q147" s="168">
        <v>0</v>
      </c>
      <c r="R147" s="168">
        <v>0</v>
      </c>
      <c r="S147" s="168">
        <v>1</v>
      </c>
      <c r="T147" s="168">
        <v>2015</v>
      </c>
      <c r="U147" s="168">
        <v>8</v>
      </c>
      <c r="V147" s="168">
        <v>0</v>
      </c>
      <c r="W147" s="168">
        <v>0</v>
      </c>
      <c r="X147" s="169" t="str">
        <f t="shared" si="2"/>
        <v>/*ELI-967*/ 00001010 1;</v>
      </c>
    </row>
    <row r="148" spans="1:24" s="169" customFormat="1" x14ac:dyDescent="0.25">
      <c r="A148" s="168" t="s">
        <v>544</v>
      </c>
      <c r="B148" s="168" t="s">
        <v>549</v>
      </c>
      <c r="C148" s="168" t="s">
        <v>628</v>
      </c>
      <c r="D148" s="163">
        <v>0</v>
      </c>
      <c r="E148" s="163">
        <v>0</v>
      </c>
      <c r="F148" s="163">
        <v>0</v>
      </c>
      <c r="G148" s="163">
        <v>0</v>
      </c>
      <c r="H148" s="163">
        <v>0</v>
      </c>
      <c r="I148" s="163">
        <v>0</v>
      </c>
      <c r="J148" s="163">
        <v>0</v>
      </c>
      <c r="K148" s="163">
        <v>1</v>
      </c>
      <c r="L148" s="170">
        <v>0</v>
      </c>
      <c r="M148" s="163">
        <v>1</v>
      </c>
      <c r="N148" s="170">
        <v>0</v>
      </c>
      <c r="O148" s="170">
        <v>0</v>
      </c>
      <c r="P148" s="168">
        <v>0</v>
      </c>
      <c r="Q148" s="168" t="s">
        <v>554</v>
      </c>
      <c r="R148" s="168">
        <v>0</v>
      </c>
      <c r="S148" s="168">
        <v>1</v>
      </c>
      <c r="T148" s="168">
        <v>2015</v>
      </c>
      <c r="U148" s="168">
        <v>8</v>
      </c>
      <c r="V148" s="168">
        <v>0</v>
      </c>
      <c r="W148" s="168">
        <v>0</v>
      </c>
      <c r="X148" s="169" t="str">
        <f t="shared" si="2"/>
        <v>/*ELI-968*/ 00001010 1;</v>
      </c>
    </row>
    <row r="149" spans="1:24" s="169" customFormat="1" x14ac:dyDescent="0.25">
      <c r="A149" s="168" t="s">
        <v>544</v>
      </c>
      <c r="B149" s="168" t="s">
        <v>550</v>
      </c>
      <c r="C149" s="168" t="s">
        <v>641</v>
      </c>
      <c r="D149" s="163">
        <v>0</v>
      </c>
      <c r="E149" s="163">
        <v>0</v>
      </c>
      <c r="F149" s="163">
        <v>0</v>
      </c>
      <c r="G149" s="163">
        <v>0</v>
      </c>
      <c r="H149" s="163">
        <v>0</v>
      </c>
      <c r="I149" s="163">
        <v>0</v>
      </c>
      <c r="J149" s="163">
        <v>0</v>
      </c>
      <c r="K149" s="163">
        <v>1</v>
      </c>
      <c r="L149" s="170">
        <v>0</v>
      </c>
      <c r="M149" s="163">
        <v>1</v>
      </c>
      <c r="N149" s="170">
        <v>0</v>
      </c>
      <c r="O149" s="170">
        <v>0</v>
      </c>
      <c r="P149" s="168">
        <v>1</v>
      </c>
      <c r="Q149" s="168">
        <v>0</v>
      </c>
      <c r="R149" s="168">
        <v>0</v>
      </c>
      <c r="S149" s="168">
        <v>1</v>
      </c>
      <c r="T149" s="168">
        <v>2015</v>
      </c>
      <c r="U149" s="168">
        <v>8</v>
      </c>
      <c r="V149" s="168">
        <v>0</v>
      </c>
      <c r="W149" s="168">
        <v>0</v>
      </c>
      <c r="X149" s="169" t="str">
        <f t="shared" si="2"/>
        <v>/*ELI-992*/ 00001010 1;</v>
      </c>
    </row>
    <row r="150" spans="1:24" s="169" customFormat="1" x14ac:dyDescent="0.25">
      <c r="A150" s="168" t="s">
        <v>544</v>
      </c>
      <c r="B150" s="168" t="s">
        <v>551</v>
      </c>
      <c r="C150" s="168" t="s">
        <v>644</v>
      </c>
      <c r="D150" s="163">
        <v>0</v>
      </c>
      <c r="E150" s="163">
        <v>0</v>
      </c>
      <c r="F150" s="163">
        <v>0</v>
      </c>
      <c r="G150" s="163">
        <v>0</v>
      </c>
      <c r="H150" s="163">
        <v>0</v>
      </c>
      <c r="I150" s="163">
        <v>0</v>
      </c>
      <c r="J150" s="163">
        <v>0</v>
      </c>
      <c r="K150" s="163">
        <v>1</v>
      </c>
      <c r="L150" s="170">
        <v>0</v>
      </c>
      <c r="M150" s="163">
        <v>1</v>
      </c>
      <c r="N150" s="170">
        <v>0</v>
      </c>
      <c r="O150" s="170">
        <v>0</v>
      </c>
      <c r="P150" s="168">
        <v>1</v>
      </c>
      <c r="Q150" s="168">
        <v>0</v>
      </c>
      <c r="R150" s="168">
        <v>0</v>
      </c>
      <c r="S150" s="168">
        <v>1</v>
      </c>
      <c r="T150" s="168">
        <v>2015</v>
      </c>
      <c r="U150" s="168">
        <v>8</v>
      </c>
      <c r="V150" s="168">
        <v>0</v>
      </c>
      <c r="W150" s="168">
        <v>0</v>
      </c>
      <c r="X150" s="169" t="str">
        <f t="shared" si="2"/>
        <v>/*ELI-969*/ 00001010 1;</v>
      </c>
    </row>
    <row r="151" spans="1:24" s="169" customFormat="1" x14ac:dyDescent="0.25">
      <c r="A151" s="168" t="s">
        <v>544</v>
      </c>
      <c r="B151" s="168" t="s">
        <v>552</v>
      </c>
      <c r="C151" s="168" t="s">
        <v>645</v>
      </c>
      <c r="D151" s="163">
        <v>0</v>
      </c>
      <c r="E151" s="163">
        <v>0</v>
      </c>
      <c r="F151" s="163">
        <v>0</v>
      </c>
      <c r="G151" s="163">
        <v>0</v>
      </c>
      <c r="H151" s="163">
        <v>0</v>
      </c>
      <c r="I151" s="163">
        <v>0</v>
      </c>
      <c r="J151" s="163">
        <v>0</v>
      </c>
      <c r="K151" s="163">
        <v>1</v>
      </c>
      <c r="L151" s="170">
        <v>0</v>
      </c>
      <c r="M151" s="163">
        <v>1</v>
      </c>
      <c r="N151" s="170">
        <v>0</v>
      </c>
      <c r="O151" s="170">
        <v>0</v>
      </c>
      <c r="P151" s="168">
        <v>1</v>
      </c>
      <c r="Q151" s="168">
        <v>0</v>
      </c>
      <c r="R151" s="168">
        <v>0</v>
      </c>
      <c r="S151" s="168">
        <v>1</v>
      </c>
      <c r="T151" s="168">
        <v>2015</v>
      </c>
      <c r="U151" s="168">
        <v>8</v>
      </c>
      <c r="V151" s="168">
        <v>0</v>
      </c>
      <c r="W151" s="168">
        <v>0</v>
      </c>
      <c r="X151" s="169" t="str">
        <f t="shared" si="2"/>
        <v>/*ELI-970*/ 00001010 1;</v>
      </c>
    </row>
    <row r="152" spans="1:24" s="169" customFormat="1" x14ac:dyDescent="0.25">
      <c r="A152" s="168" t="s">
        <v>544</v>
      </c>
      <c r="B152" s="168" t="s">
        <v>553</v>
      </c>
      <c r="C152" s="168" t="s">
        <v>646</v>
      </c>
      <c r="D152" s="163">
        <v>0</v>
      </c>
      <c r="E152" s="163">
        <v>0</v>
      </c>
      <c r="F152" s="163">
        <v>0</v>
      </c>
      <c r="G152" s="163">
        <v>0</v>
      </c>
      <c r="H152" s="163">
        <v>0</v>
      </c>
      <c r="I152" s="163">
        <v>0</v>
      </c>
      <c r="J152" s="163">
        <v>0</v>
      </c>
      <c r="K152" s="163">
        <v>1</v>
      </c>
      <c r="L152" s="170">
        <v>0</v>
      </c>
      <c r="M152" s="163">
        <v>1</v>
      </c>
      <c r="N152" s="170">
        <v>0</v>
      </c>
      <c r="O152" s="170">
        <v>0</v>
      </c>
      <c r="P152" s="168">
        <v>1</v>
      </c>
      <c r="Q152" s="168">
        <v>1</v>
      </c>
      <c r="R152" s="168">
        <v>0</v>
      </c>
      <c r="S152" s="168">
        <v>1</v>
      </c>
      <c r="T152" s="168">
        <v>2015</v>
      </c>
      <c r="U152" s="168">
        <v>8</v>
      </c>
      <c r="V152" s="168">
        <v>0</v>
      </c>
      <c r="W152" s="168">
        <v>0</v>
      </c>
      <c r="X152" s="169" t="str">
        <f t="shared" si="2"/>
        <v>/*ELI-971*/ 00001010 1;</v>
      </c>
    </row>
    <row r="153" spans="1:24" s="169" customFormat="1" x14ac:dyDescent="0.25">
      <c r="A153" s="168" t="s">
        <v>464</v>
      </c>
      <c r="B153" s="168" t="s">
        <v>465</v>
      </c>
      <c r="C153" s="168" t="s">
        <v>343</v>
      </c>
      <c r="D153" s="162">
        <v>0</v>
      </c>
      <c r="E153" s="162">
        <v>0</v>
      </c>
      <c r="F153" s="162">
        <v>0</v>
      </c>
      <c r="G153" s="162">
        <v>1</v>
      </c>
      <c r="H153" s="162">
        <v>1</v>
      </c>
      <c r="I153" s="162">
        <v>0</v>
      </c>
      <c r="J153" s="162">
        <v>0</v>
      </c>
      <c r="K153" s="162">
        <v>1</v>
      </c>
      <c r="L153" s="162">
        <v>1</v>
      </c>
      <c r="M153" s="162">
        <v>1</v>
      </c>
      <c r="N153" s="162">
        <v>0</v>
      </c>
      <c r="O153" s="162">
        <v>0</v>
      </c>
      <c r="P153" s="168">
        <f>VLOOKUP(C153,[1]allprides!$C$2:$X$170,14,FALSE)</f>
        <v>1</v>
      </c>
      <c r="Q153" s="168">
        <f>VLOOKUP(C153,[1]allprides!$C$2:$X$170,15,FALSE)</f>
        <v>0</v>
      </c>
      <c r="R153" s="168">
        <f>VLOOKUP(C153,[1]allprides!$C$2:$X$170,16,FALSE)</f>
        <v>0</v>
      </c>
      <c r="S153" s="168">
        <f>VLOOKUP(C153,[1]allprides!$C$2:$X$170,17,FALSE)</f>
        <v>1</v>
      </c>
      <c r="T153" s="168">
        <f>VLOOKUP(C153,[1]allprides!$C$2:$X$170,18,FALSE)</f>
        <v>2013</v>
      </c>
      <c r="U153" s="168">
        <f>VLOOKUP(C153,[1]allprides!$C$2:$X$170,19,FALSE)</f>
        <v>4</v>
      </c>
      <c r="V153" s="168">
        <f>VLOOKUP(C153,[1]allprides!$C$2:$X$170,20,FALSE)</f>
        <v>6</v>
      </c>
      <c r="W153" s="168">
        <v>1</v>
      </c>
      <c r="X153" s="169" t="str">
        <f t="shared" si="2"/>
        <v>/*ELI-700*/ 11001110 1;</v>
      </c>
    </row>
    <row r="154" spans="1:24" s="169" customFormat="1" x14ac:dyDescent="0.25">
      <c r="A154" s="168" t="s">
        <v>464</v>
      </c>
      <c r="B154" s="168" t="s">
        <v>466</v>
      </c>
      <c r="C154" s="168" t="s">
        <v>344</v>
      </c>
      <c r="D154" s="162">
        <v>0</v>
      </c>
      <c r="E154" s="186">
        <v>1</v>
      </c>
      <c r="F154" s="162">
        <v>0</v>
      </c>
      <c r="G154" s="162">
        <v>1</v>
      </c>
      <c r="H154" s="162">
        <v>1</v>
      </c>
      <c r="I154" s="186">
        <v>1</v>
      </c>
      <c r="J154" s="162">
        <v>1</v>
      </c>
      <c r="K154" s="162">
        <v>1</v>
      </c>
      <c r="L154" s="162">
        <v>1</v>
      </c>
      <c r="M154" s="162">
        <v>1</v>
      </c>
      <c r="N154" s="162">
        <v>0</v>
      </c>
      <c r="O154" s="162">
        <v>0</v>
      </c>
      <c r="P154" s="168">
        <f>VLOOKUP(C154,[1]allprides!$C$2:$X$170,14,FALSE)</f>
        <v>1</v>
      </c>
      <c r="Q154" s="168">
        <f>VLOOKUP(C154,[1]allprides!$C$2:$X$170,15,FALSE)</f>
        <v>0</v>
      </c>
      <c r="R154" s="168">
        <f>VLOOKUP(C154,[1]allprides!$C$2:$X$170,16,FALSE)</f>
        <v>0</v>
      </c>
      <c r="S154" s="168">
        <f>VLOOKUP(C154,[1]allprides!$C$2:$X$170,17,FALSE)</f>
        <v>1</v>
      </c>
      <c r="T154" s="168">
        <f>VLOOKUP(C154,[1]allprides!$C$2:$X$170,18,FALSE)</f>
        <v>2013</v>
      </c>
      <c r="U154" s="168">
        <f>VLOOKUP(C154,[1]allprides!$C$2:$X$170,19,FALSE)</f>
        <v>4</v>
      </c>
      <c r="V154" s="168">
        <f>VLOOKUP(C154,[1]allprides!$C$2:$X$170,20,FALSE)</f>
        <v>4</v>
      </c>
      <c r="W154" s="168">
        <v>1</v>
      </c>
      <c r="X154" s="169" t="str">
        <f t="shared" si="2"/>
        <v>/*ELI-701*/ 11111110 1;</v>
      </c>
    </row>
    <row r="155" spans="1:24" s="169" customFormat="1" x14ac:dyDescent="0.25">
      <c r="A155" s="168" t="s">
        <v>464</v>
      </c>
      <c r="B155" s="168" t="s">
        <v>467</v>
      </c>
      <c r="C155" s="168" t="s">
        <v>345</v>
      </c>
      <c r="D155" s="162">
        <v>0</v>
      </c>
      <c r="E155" s="162">
        <v>0</v>
      </c>
      <c r="F155" s="162">
        <v>0</v>
      </c>
      <c r="G155" s="162">
        <v>1</v>
      </c>
      <c r="H155" s="162">
        <v>1</v>
      </c>
      <c r="I155" s="162">
        <v>0</v>
      </c>
      <c r="J155" s="162">
        <v>0</v>
      </c>
      <c r="K155" s="162">
        <v>1</v>
      </c>
      <c r="L155" s="162">
        <v>1</v>
      </c>
      <c r="M155" s="162">
        <v>1</v>
      </c>
      <c r="N155" s="162">
        <v>0</v>
      </c>
      <c r="O155" s="162">
        <v>0</v>
      </c>
      <c r="P155" s="168">
        <f>VLOOKUP(C155,[1]allprides!$C$2:$X$170,14,FALSE)</f>
        <v>1</v>
      </c>
      <c r="Q155" s="168">
        <f>VLOOKUP(C155,[1]allprides!$C$2:$X$170,15,FALSE)</f>
        <v>0</v>
      </c>
      <c r="R155" s="168">
        <f>VLOOKUP(C155,[1]allprides!$C$2:$X$170,16,FALSE)</f>
        <v>0</v>
      </c>
      <c r="S155" s="168">
        <f>VLOOKUP(C155,[1]allprides!$C$2:$X$170,17,FALSE)</f>
        <v>1</v>
      </c>
      <c r="T155" s="168">
        <f>VLOOKUP(C155,[1]allprides!$C$2:$X$170,18,FALSE)</f>
        <v>2013</v>
      </c>
      <c r="U155" s="168">
        <f>VLOOKUP(C155,[1]allprides!$C$2:$X$170,19,FALSE)</f>
        <v>4</v>
      </c>
      <c r="V155" s="168">
        <f>VLOOKUP(C155,[1]allprides!$C$2:$X$170,20,FALSE)</f>
        <v>5</v>
      </c>
      <c r="W155" s="168">
        <v>1</v>
      </c>
      <c r="X155" s="169" t="str">
        <f t="shared" si="2"/>
        <v>/*ELI-702*/ 11001110 1;</v>
      </c>
    </row>
    <row r="156" spans="1:24" s="169" customFormat="1" x14ac:dyDescent="0.25">
      <c r="A156" s="168" t="s">
        <v>464</v>
      </c>
      <c r="B156" s="168" t="s">
        <v>468</v>
      </c>
      <c r="C156" s="168" t="s">
        <v>346</v>
      </c>
      <c r="D156" s="162">
        <v>0</v>
      </c>
      <c r="E156" s="162">
        <v>0</v>
      </c>
      <c r="F156" s="162">
        <v>0</v>
      </c>
      <c r="G156" s="162">
        <v>0</v>
      </c>
      <c r="H156" s="162">
        <v>1</v>
      </c>
      <c r="I156" s="162">
        <v>0</v>
      </c>
      <c r="J156" s="162">
        <v>0</v>
      </c>
      <c r="K156" s="162">
        <v>1</v>
      </c>
      <c r="L156" s="162">
        <v>1</v>
      </c>
      <c r="M156" s="162">
        <v>1</v>
      </c>
      <c r="N156" s="162">
        <v>0</v>
      </c>
      <c r="O156" s="162">
        <v>0</v>
      </c>
      <c r="P156" s="168">
        <f>VLOOKUP(C156,[1]allprides!$C$2:$X$170,14,FALSE)</f>
        <v>1</v>
      </c>
      <c r="Q156" s="168">
        <f>VLOOKUP(C156,[1]allprides!$C$2:$X$170,15,FALSE)</f>
        <v>0</v>
      </c>
      <c r="R156" s="168">
        <f>VLOOKUP(C156,[1]allprides!$C$2:$X$170,16,FALSE)</f>
        <v>0</v>
      </c>
      <c r="S156" s="168">
        <f>VLOOKUP(C156,[1]allprides!$C$2:$X$170,17,FALSE)</f>
        <v>1</v>
      </c>
      <c r="T156" s="168">
        <f>VLOOKUP(C156,[1]allprides!$C$2:$X$170,18,FALSE)</f>
        <v>2014</v>
      </c>
      <c r="U156" s="168">
        <f>VLOOKUP(C156,[1]allprides!$C$2:$X$170,19,FALSE)</f>
        <v>6</v>
      </c>
      <c r="V156" s="168">
        <f>VLOOKUP(C156,[1]allprides!$C$2:$X$170,20,FALSE)</f>
        <v>0</v>
      </c>
      <c r="W156" s="168">
        <v>1</v>
      </c>
      <c r="X156" s="169" t="str">
        <f t="shared" si="2"/>
        <v>/*ELI-708*/ 01001110 1;</v>
      </c>
    </row>
    <row r="157" spans="1:24" s="169" customFormat="1" x14ac:dyDescent="0.25">
      <c r="A157" s="168" t="s">
        <v>464</v>
      </c>
      <c r="B157" s="168" t="s">
        <v>469</v>
      </c>
      <c r="C157" s="168" t="s">
        <v>347</v>
      </c>
      <c r="D157" s="162">
        <v>0</v>
      </c>
      <c r="E157" s="162">
        <v>0</v>
      </c>
      <c r="F157" s="162">
        <v>0</v>
      </c>
      <c r="G157" s="162">
        <v>0</v>
      </c>
      <c r="H157" s="162">
        <v>1</v>
      </c>
      <c r="I157" s="162">
        <v>0</v>
      </c>
      <c r="J157" s="162">
        <v>0</v>
      </c>
      <c r="K157" s="162">
        <v>1</v>
      </c>
      <c r="L157" s="162">
        <v>1</v>
      </c>
      <c r="M157" s="162">
        <v>1</v>
      </c>
      <c r="N157" s="162">
        <v>0</v>
      </c>
      <c r="O157" s="162">
        <v>0</v>
      </c>
      <c r="P157" s="168">
        <f>VLOOKUP(C157,[1]allprides!$C$2:$X$170,14,FALSE)</f>
        <v>1</v>
      </c>
      <c r="Q157" s="168">
        <f>VLOOKUP(C157,[1]allprides!$C$2:$X$170,15,FALSE)</f>
        <v>0</v>
      </c>
      <c r="R157" s="168">
        <f>VLOOKUP(C157,[1]allprides!$C$2:$X$170,16,FALSE)</f>
        <v>0</v>
      </c>
      <c r="S157" s="168">
        <f>VLOOKUP(C157,[1]allprides!$C$2:$X$170,17,FALSE)</f>
        <v>1</v>
      </c>
      <c r="T157" s="168">
        <f>VLOOKUP(C157,[1]allprides!$C$2:$X$170,18,FALSE)</f>
        <v>2014</v>
      </c>
      <c r="U157" s="168">
        <f>VLOOKUP(C157,[1]allprides!$C$2:$X$170,19,FALSE)</f>
        <v>6</v>
      </c>
      <c r="V157" s="168">
        <f>VLOOKUP(C157,[1]allprides!$C$2:$X$170,20,FALSE)</f>
        <v>0</v>
      </c>
      <c r="W157" s="168">
        <v>1</v>
      </c>
      <c r="X157" s="169" t="str">
        <f t="shared" si="2"/>
        <v>/*ELI-709*/ 01001110 1;</v>
      </c>
    </row>
    <row r="158" spans="1:24" s="169" customFormat="1" x14ac:dyDescent="0.25">
      <c r="A158" s="168" t="s">
        <v>464</v>
      </c>
      <c r="B158" s="168" t="s">
        <v>470</v>
      </c>
      <c r="C158" s="168" t="s">
        <v>348</v>
      </c>
      <c r="D158" s="162">
        <v>0</v>
      </c>
      <c r="E158" s="162">
        <v>0</v>
      </c>
      <c r="F158" s="162">
        <v>0</v>
      </c>
      <c r="G158" s="162">
        <v>0</v>
      </c>
      <c r="H158" s="162">
        <v>1</v>
      </c>
      <c r="I158" s="162">
        <v>0</v>
      </c>
      <c r="J158" s="162">
        <v>0</v>
      </c>
      <c r="K158" s="162">
        <v>1</v>
      </c>
      <c r="L158" s="162">
        <v>1</v>
      </c>
      <c r="M158" s="162">
        <v>1</v>
      </c>
      <c r="N158" s="162">
        <v>0</v>
      </c>
      <c r="O158" s="162">
        <v>0</v>
      </c>
      <c r="P158" s="168">
        <f>VLOOKUP(C158,[1]allprides!$C$2:$X$170,14,FALSE)</f>
        <v>1</v>
      </c>
      <c r="Q158" s="168">
        <f>VLOOKUP(C158,[1]allprides!$C$2:$X$170,15,FALSE)</f>
        <v>0</v>
      </c>
      <c r="R158" s="168">
        <f>VLOOKUP(C158,[1]allprides!$C$2:$X$170,16,FALSE)</f>
        <v>0</v>
      </c>
      <c r="S158" s="168">
        <f>VLOOKUP(C158,[1]allprides!$C$2:$X$170,17,FALSE)</f>
        <v>1</v>
      </c>
      <c r="T158" s="168">
        <f>VLOOKUP(C158,[1]allprides!$C$2:$X$170,18,FALSE)</f>
        <v>2014</v>
      </c>
      <c r="U158" s="168">
        <f>VLOOKUP(C158,[1]allprides!$C$2:$X$170,19,FALSE)</f>
        <v>6</v>
      </c>
      <c r="V158" s="168">
        <f>VLOOKUP(C158,[1]allprides!$C$2:$X$170,20,FALSE)</f>
        <v>0</v>
      </c>
      <c r="W158" s="168">
        <v>1</v>
      </c>
      <c r="X158" s="169" t="str">
        <f>CONCATENATE("/*",C158,"*/ ",G158,H158,I158,J158,K158,L158,M158,N158," 1;")</f>
        <v>/*ELI-710*/ 01001110 1;</v>
      </c>
    </row>
    <row r="159" spans="1:24" s="169" customFormat="1" x14ac:dyDescent="0.25">
      <c r="A159" s="168" t="s">
        <v>464</v>
      </c>
      <c r="B159" s="168" t="s">
        <v>471</v>
      </c>
      <c r="C159" s="168" t="s">
        <v>349</v>
      </c>
      <c r="D159" s="162">
        <v>0</v>
      </c>
      <c r="E159" s="162">
        <v>0</v>
      </c>
      <c r="F159" s="162">
        <v>0</v>
      </c>
      <c r="G159" s="162">
        <v>0</v>
      </c>
      <c r="H159" s="162">
        <v>1</v>
      </c>
      <c r="I159" s="162">
        <v>0</v>
      </c>
      <c r="J159" s="162">
        <v>0</v>
      </c>
      <c r="K159" s="162">
        <v>1</v>
      </c>
      <c r="L159" s="162">
        <v>1</v>
      </c>
      <c r="M159" s="162">
        <v>1</v>
      </c>
      <c r="N159" s="162">
        <v>0</v>
      </c>
      <c r="O159" s="162">
        <v>0</v>
      </c>
      <c r="P159" s="168">
        <f>VLOOKUP(C159,[1]allprides!$C$2:$X$170,14,FALSE)</f>
        <v>1</v>
      </c>
      <c r="Q159" s="168">
        <f>VLOOKUP(C159,[1]allprides!$C$2:$X$170,15,FALSE)</f>
        <v>0</v>
      </c>
      <c r="R159" s="168">
        <f>VLOOKUP(C159,[1]allprides!$C$2:$X$170,16,FALSE)</f>
        <v>0</v>
      </c>
      <c r="S159" s="168">
        <f>VLOOKUP(C159,[1]allprides!$C$2:$X$170,17,FALSE)</f>
        <v>1</v>
      </c>
      <c r="T159" s="168">
        <f>VLOOKUP(C159,[1]allprides!$C$2:$X$170,18,FALSE)</f>
        <v>2014</v>
      </c>
      <c r="U159" s="168">
        <f>VLOOKUP(C159,[1]allprides!$C$2:$X$170,19,FALSE)</f>
        <v>6</v>
      </c>
      <c r="V159" s="168">
        <f>VLOOKUP(C159,[1]allprides!$C$2:$X$170,20,FALSE)</f>
        <v>0</v>
      </c>
      <c r="W159" s="168">
        <v>1</v>
      </c>
      <c r="X159" s="169" t="str">
        <f t="shared" ref="X159:X200" si="3">CONCATENATE("/*",C159,"*/ ",G159,H159,I159,J159,K159,L159,M159,N159," 1;")</f>
        <v>/*ELI-711*/ 01001110 1;</v>
      </c>
    </row>
    <row r="160" spans="1:24" s="169" customFormat="1" x14ac:dyDescent="0.25">
      <c r="A160" s="168" t="s">
        <v>464</v>
      </c>
      <c r="B160" s="168" t="s">
        <v>472</v>
      </c>
      <c r="C160" s="168" t="s">
        <v>575</v>
      </c>
      <c r="D160" s="162">
        <v>0</v>
      </c>
      <c r="E160" s="162">
        <v>0</v>
      </c>
      <c r="F160" s="162">
        <v>0</v>
      </c>
      <c r="G160" s="162">
        <v>0</v>
      </c>
      <c r="H160" s="162">
        <v>0</v>
      </c>
      <c r="I160" s="162">
        <v>0</v>
      </c>
      <c r="J160" s="178">
        <v>1</v>
      </c>
      <c r="K160" s="162">
        <v>1</v>
      </c>
      <c r="L160" s="162">
        <v>1</v>
      </c>
      <c r="M160" s="162">
        <v>1</v>
      </c>
      <c r="N160" s="162">
        <v>0</v>
      </c>
      <c r="O160" s="162">
        <v>0</v>
      </c>
      <c r="P160" s="168">
        <v>1</v>
      </c>
      <c r="Q160" s="168">
        <v>1</v>
      </c>
      <c r="R160" s="168">
        <v>0</v>
      </c>
      <c r="S160" s="168">
        <v>1</v>
      </c>
      <c r="T160" s="168">
        <v>2015</v>
      </c>
      <c r="U160" s="168">
        <v>8</v>
      </c>
      <c r="V160" s="168">
        <v>0</v>
      </c>
      <c r="W160" s="168">
        <v>1</v>
      </c>
      <c r="X160" s="169" t="str">
        <f t="shared" si="3"/>
        <v>/*ELI-832*/ 00011110 1;</v>
      </c>
    </row>
    <row r="161" spans="1:24" s="169" customFormat="1" x14ac:dyDescent="0.25">
      <c r="A161" s="168" t="s">
        <v>464</v>
      </c>
      <c r="B161" s="168" t="s">
        <v>473</v>
      </c>
      <c r="C161" s="168" t="s">
        <v>577</v>
      </c>
      <c r="D161" s="162">
        <v>0</v>
      </c>
      <c r="E161" s="162">
        <v>0</v>
      </c>
      <c r="F161" s="162">
        <v>0</v>
      </c>
      <c r="G161" s="162">
        <v>0</v>
      </c>
      <c r="H161" s="162">
        <v>0</v>
      </c>
      <c r="I161" s="162">
        <v>0</v>
      </c>
      <c r="J161" s="178">
        <v>1</v>
      </c>
      <c r="K161" s="162">
        <v>1</v>
      </c>
      <c r="L161" s="162">
        <v>1</v>
      </c>
      <c r="M161" s="162">
        <v>1</v>
      </c>
      <c r="N161" s="162">
        <v>0</v>
      </c>
      <c r="O161" s="162">
        <v>0</v>
      </c>
      <c r="P161" s="168">
        <v>1</v>
      </c>
      <c r="Q161" s="168">
        <v>0</v>
      </c>
      <c r="R161" s="168">
        <v>0</v>
      </c>
      <c r="S161" s="168">
        <v>1</v>
      </c>
      <c r="T161" s="168">
        <v>2015</v>
      </c>
      <c r="U161" s="168">
        <v>8</v>
      </c>
      <c r="V161" s="168">
        <v>0</v>
      </c>
      <c r="W161" s="168">
        <v>1</v>
      </c>
      <c r="X161" s="169" t="str">
        <f t="shared" si="3"/>
        <v>/*ELI-833*/ 00011110 1;</v>
      </c>
    </row>
    <row r="162" spans="1:24" s="169" customFormat="1" x14ac:dyDescent="0.25">
      <c r="A162" s="168" t="s">
        <v>532</v>
      </c>
      <c r="B162" s="168" t="s">
        <v>246</v>
      </c>
      <c r="C162" s="168" t="s">
        <v>247</v>
      </c>
      <c r="D162" s="162">
        <v>0</v>
      </c>
      <c r="E162" s="162">
        <v>0</v>
      </c>
      <c r="F162" s="162">
        <v>0</v>
      </c>
      <c r="G162" s="162">
        <v>0</v>
      </c>
      <c r="H162" s="162">
        <v>0</v>
      </c>
      <c r="I162" s="162">
        <v>0</v>
      </c>
      <c r="J162" s="162">
        <v>0</v>
      </c>
      <c r="K162" s="162">
        <v>0</v>
      </c>
      <c r="L162" s="162">
        <v>1</v>
      </c>
      <c r="M162" s="162">
        <v>0</v>
      </c>
      <c r="N162" s="162">
        <v>0</v>
      </c>
      <c r="O162" s="162">
        <v>0</v>
      </c>
      <c r="P162" s="168">
        <v>1</v>
      </c>
      <c r="Q162" s="168">
        <v>0</v>
      </c>
      <c r="R162" s="168">
        <f>VLOOKUP(C162,[1]allprides!$C$2:$X$170,16,FALSE)</f>
        <v>0</v>
      </c>
      <c r="S162" s="168">
        <f>VLOOKUP(C162,[1]allprides!$C$2:$X$170,17,FALSE)</f>
        <v>1</v>
      </c>
      <c r="T162" s="168">
        <f>VLOOKUP(C162,[1]allprides!$C$2:$X$170,18,FALSE)</f>
        <v>2011</v>
      </c>
      <c r="U162" s="168">
        <f>VLOOKUP(C162,[1]allprides!$C$2:$X$170,19,FALSE)</f>
        <v>10</v>
      </c>
      <c r="V162" s="168">
        <f>VLOOKUP(C162,[1]allprides!$C$2:$X$170,20,FALSE)</f>
        <v>0</v>
      </c>
      <c r="W162" s="168">
        <v>1</v>
      </c>
      <c r="X162" s="169" t="str">
        <f t="shared" si="3"/>
        <v>/*ELI-468*/ 00000100 1;</v>
      </c>
    </row>
    <row r="163" spans="1:24" s="169" customFormat="1" x14ac:dyDescent="0.25">
      <c r="A163" s="168" t="s">
        <v>532</v>
      </c>
      <c r="B163" s="168" t="s">
        <v>254</v>
      </c>
      <c r="C163" s="168" t="s">
        <v>255</v>
      </c>
      <c r="D163" s="162">
        <v>0</v>
      </c>
      <c r="E163" s="162">
        <v>0</v>
      </c>
      <c r="F163" s="162">
        <v>0</v>
      </c>
      <c r="G163" s="162">
        <v>0</v>
      </c>
      <c r="H163" s="162">
        <v>0</v>
      </c>
      <c r="I163" s="162">
        <v>0</v>
      </c>
      <c r="J163" s="162">
        <v>0</v>
      </c>
      <c r="K163" s="162">
        <v>0</v>
      </c>
      <c r="L163" s="162">
        <v>1</v>
      </c>
      <c r="M163" s="162">
        <v>0</v>
      </c>
      <c r="N163" s="162">
        <v>0</v>
      </c>
      <c r="O163" s="162">
        <v>0</v>
      </c>
      <c r="P163" s="168">
        <f>VLOOKUP(C163,[1]allprides!$C$2:$X$170,14,FALSE)</f>
        <v>1</v>
      </c>
      <c r="Q163" s="168">
        <f>VLOOKUP(C163,[1]allprides!$C$2:$X$170,15,FALSE)</f>
        <v>0</v>
      </c>
      <c r="R163" s="168">
        <f>VLOOKUP(C163,[1]allprides!$C$2:$X$170,16,FALSE)</f>
        <v>0</v>
      </c>
      <c r="S163" s="168">
        <f>VLOOKUP(C163,[1]allprides!$C$2:$X$170,17,FALSE)</f>
        <v>1</v>
      </c>
      <c r="T163" s="168">
        <f>VLOOKUP(C163,[1]allprides!$C$2:$X$170,18,FALSE)</f>
        <v>2009</v>
      </c>
      <c r="U163" s="168">
        <f>VLOOKUP(C163,[1]allprides!$C$2:$X$170,19,FALSE)</f>
        <v>11</v>
      </c>
      <c r="V163" s="168">
        <f>VLOOKUP(C163,[1]allprides!$C$2:$X$170,20,FALSE)</f>
        <v>1</v>
      </c>
      <c r="W163" s="168">
        <v>1</v>
      </c>
      <c r="X163" s="169" t="str">
        <f t="shared" si="3"/>
        <v>/*ELI-257*/ 00000100 1;</v>
      </c>
    </row>
    <row r="164" spans="1:24" s="169" customFormat="1" x14ac:dyDescent="0.25">
      <c r="A164" s="168" t="s">
        <v>532</v>
      </c>
      <c r="B164" s="168" t="s">
        <v>256</v>
      </c>
      <c r="C164" s="168" t="s">
        <v>257</v>
      </c>
      <c r="D164" s="162">
        <v>0</v>
      </c>
      <c r="E164" s="162">
        <v>0</v>
      </c>
      <c r="F164" s="162">
        <v>0</v>
      </c>
      <c r="G164" s="162">
        <v>0</v>
      </c>
      <c r="H164" s="162">
        <v>0</v>
      </c>
      <c r="I164" s="162">
        <v>0</v>
      </c>
      <c r="J164" s="162">
        <v>0</v>
      </c>
      <c r="K164" s="162">
        <v>0</v>
      </c>
      <c r="L164" s="162">
        <v>1</v>
      </c>
      <c r="M164" s="162">
        <v>0</v>
      </c>
      <c r="N164" s="162">
        <v>0</v>
      </c>
      <c r="O164" s="162">
        <v>0</v>
      </c>
      <c r="P164" s="168">
        <f>VLOOKUP(C164,[1]allprides!$C$2:$X$170,14,FALSE)</f>
        <v>1</v>
      </c>
      <c r="Q164" s="168">
        <f>VLOOKUP(C164,[1]allprides!$C$2:$X$170,15,FALSE)</f>
        <v>0</v>
      </c>
      <c r="R164" s="168">
        <f>VLOOKUP(C164,[1]allprides!$C$2:$X$170,16,FALSE)</f>
        <v>0</v>
      </c>
      <c r="S164" s="168">
        <f>VLOOKUP(C164,[1]allprides!$C$2:$X$170,17,FALSE)</f>
        <v>1</v>
      </c>
      <c r="T164" s="168">
        <f>VLOOKUP(C164,[1]allprides!$C$2:$X$170,18,FALSE)</f>
        <v>2009</v>
      </c>
      <c r="U164" s="168">
        <f>VLOOKUP(C164,[1]allprides!$C$2:$X$170,19,FALSE)</f>
        <v>9</v>
      </c>
      <c r="V164" s="168">
        <f>VLOOKUP(C164,[1]allprides!$C$2:$X$170,20,FALSE)</f>
        <v>7</v>
      </c>
      <c r="W164" s="168">
        <v>1</v>
      </c>
      <c r="X164" s="169" t="str">
        <f t="shared" si="3"/>
        <v>/*ELI-183*/ 00000100 1;</v>
      </c>
    </row>
    <row r="165" spans="1:24" s="169" customFormat="1" x14ac:dyDescent="0.25">
      <c r="A165" s="168" t="s">
        <v>532</v>
      </c>
      <c r="B165" s="168" t="s">
        <v>258</v>
      </c>
      <c r="C165" s="168" t="s">
        <v>259</v>
      </c>
      <c r="D165" s="162">
        <v>0</v>
      </c>
      <c r="E165" s="162">
        <v>0</v>
      </c>
      <c r="F165" s="162">
        <v>0</v>
      </c>
      <c r="G165" s="162">
        <v>0</v>
      </c>
      <c r="H165" s="162">
        <v>0</v>
      </c>
      <c r="I165" s="162">
        <v>0</v>
      </c>
      <c r="J165" s="162">
        <v>0</v>
      </c>
      <c r="K165" s="162">
        <v>0</v>
      </c>
      <c r="L165" s="162">
        <v>1</v>
      </c>
      <c r="M165" s="162">
        <v>1</v>
      </c>
      <c r="N165" s="162">
        <v>1</v>
      </c>
      <c r="O165" s="162">
        <v>0</v>
      </c>
      <c r="P165" s="168">
        <f>VLOOKUP(C165,[1]allprides!$C$2:$X$170,14,FALSE)</f>
        <v>1</v>
      </c>
      <c r="Q165" s="168">
        <f>VLOOKUP(C165,[1]allprides!$C$2:$X$170,15,FALSE)</f>
        <v>0</v>
      </c>
      <c r="R165" s="168">
        <f>VLOOKUP(C165,[1]allprides!$C$2:$X$170,16,FALSE)</f>
        <v>0</v>
      </c>
      <c r="S165" s="168">
        <f>VLOOKUP(C165,[1]allprides!$C$2:$X$170,17,FALSE)</f>
        <v>1</v>
      </c>
      <c r="T165" s="168">
        <f>VLOOKUP(C165,[1]allprides!$C$2:$X$170,18,FALSE)</f>
        <v>2008</v>
      </c>
      <c r="U165" s="168">
        <f>VLOOKUP(C165,[1]allprides!$C$2:$X$170,19,FALSE)</f>
        <v>8</v>
      </c>
      <c r="V165" s="168">
        <f>VLOOKUP(C165,[1]allprides!$C$2:$X$170,20,FALSE)</f>
        <v>1</v>
      </c>
      <c r="W165" s="168">
        <v>1</v>
      </c>
      <c r="X165" s="169" t="str">
        <f t="shared" si="3"/>
        <v>/*ELI-189*/ 00000111 1;</v>
      </c>
    </row>
    <row r="166" spans="1:24" s="169" customFormat="1" x14ac:dyDescent="0.25">
      <c r="A166" s="168" t="s">
        <v>532</v>
      </c>
      <c r="B166" s="168" t="s">
        <v>262</v>
      </c>
      <c r="C166" s="168" t="s">
        <v>263</v>
      </c>
      <c r="D166" s="162">
        <v>0</v>
      </c>
      <c r="E166" s="162">
        <v>0</v>
      </c>
      <c r="F166" s="162">
        <v>0</v>
      </c>
      <c r="G166" s="162">
        <v>0</v>
      </c>
      <c r="H166" s="162">
        <v>0</v>
      </c>
      <c r="I166" s="162">
        <v>0</v>
      </c>
      <c r="J166" s="162">
        <v>0</v>
      </c>
      <c r="K166" s="162">
        <v>0</v>
      </c>
      <c r="L166" s="162">
        <v>1</v>
      </c>
      <c r="M166" s="162">
        <v>0</v>
      </c>
      <c r="N166" s="162">
        <v>0</v>
      </c>
      <c r="O166" s="162">
        <v>0</v>
      </c>
      <c r="P166" s="168">
        <f>VLOOKUP(C166,[1]allprides!$C$2:$X$170,14,FALSE)</f>
        <v>1</v>
      </c>
      <c r="Q166" s="168">
        <f>VLOOKUP(C166,[1]allprides!$C$2:$X$170,15,FALSE)</f>
        <v>0</v>
      </c>
      <c r="R166" s="168">
        <f>VLOOKUP(C166,[1]allprides!$C$2:$X$170,16,FALSE)</f>
        <v>0</v>
      </c>
      <c r="S166" s="168">
        <f>VLOOKUP(C166,[1]allprides!$C$2:$X$170,17,FALSE)</f>
        <v>1</v>
      </c>
      <c r="T166" s="168">
        <f>VLOOKUP(C166,[1]allprides!$C$2:$X$170,18,FALSE)</f>
        <v>2011</v>
      </c>
      <c r="U166" s="168">
        <f>VLOOKUP(C166,[1]allprides!$C$2:$X$170,19,FALSE)</f>
        <v>10</v>
      </c>
      <c r="V166" s="168">
        <f>VLOOKUP(C166,[1]allprides!$C$2:$X$170,20,FALSE)</f>
        <v>0</v>
      </c>
      <c r="W166" s="168">
        <v>1</v>
      </c>
      <c r="X166" s="169" t="str">
        <f t="shared" si="3"/>
        <v>/*ELI-467*/ 00000100 1;</v>
      </c>
    </row>
    <row r="167" spans="1:24" s="169" customFormat="1" x14ac:dyDescent="0.25">
      <c r="A167" s="168" t="s">
        <v>532</v>
      </c>
      <c r="B167" s="168" t="s">
        <v>578</v>
      </c>
      <c r="C167" s="168" t="s">
        <v>583</v>
      </c>
      <c r="D167" s="162">
        <v>0</v>
      </c>
      <c r="E167" s="162">
        <v>0</v>
      </c>
      <c r="F167" s="162">
        <v>0</v>
      </c>
      <c r="G167" s="162">
        <v>0</v>
      </c>
      <c r="H167" s="162">
        <v>0</v>
      </c>
      <c r="I167" s="162">
        <v>0</v>
      </c>
      <c r="J167" s="162">
        <v>0</v>
      </c>
      <c r="K167" s="162">
        <v>0</v>
      </c>
      <c r="L167" s="162">
        <v>1</v>
      </c>
      <c r="M167" s="162">
        <v>0</v>
      </c>
      <c r="N167" s="162">
        <v>0</v>
      </c>
      <c r="O167" s="162">
        <v>0</v>
      </c>
      <c r="P167" s="168">
        <v>1</v>
      </c>
      <c r="Q167" s="168">
        <v>0</v>
      </c>
      <c r="R167" s="168">
        <v>0</v>
      </c>
      <c r="S167" s="168">
        <v>1</v>
      </c>
      <c r="T167" s="168">
        <v>2015</v>
      </c>
      <c r="U167" s="168">
        <v>9</v>
      </c>
      <c r="V167" s="168">
        <v>0</v>
      </c>
      <c r="W167" s="168">
        <v>1</v>
      </c>
      <c r="X167" s="169" t="str">
        <f t="shared" si="3"/>
        <v>/*ELI-770*/ 00000100 1;</v>
      </c>
    </row>
    <row r="168" spans="1:24" s="169" customFormat="1" x14ac:dyDescent="0.25">
      <c r="A168" s="168" t="s">
        <v>532</v>
      </c>
      <c r="B168" s="168" t="s">
        <v>579</v>
      </c>
      <c r="C168" s="168" t="s">
        <v>584</v>
      </c>
      <c r="D168" s="162">
        <v>0</v>
      </c>
      <c r="E168" s="162">
        <v>0</v>
      </c>
      <c r="F168" s="162">
        <v>0</v>
      </c>
      <c r="G168" s="162">
        <v>0</v>
      </c>
      <c r="H168" s="162">
        <v>0</v>
      </c>
      <c r="I168" s="162">
        <v>0</v>
      </c>
      <c r="J168" s="162">
        <v>0</v>
      </c>
      <c r="K168" s="162">
        <v>0</v>
      </c>
      <c r="L168" s="162">
        <v>1</v>
      </c>
      <c r="M168" s="162">
        <v>0</v>
      </c>
      <c r="N168" s="162">
        <v>0</v>
      </c>
      <c r="O168" s="162">
        <v>0</v>
      </c>
      <c r="P168" s="168">
        <v>1</v>
      </c>
      <c r="Q168" s="168">
        <v>0</v>
      </c>
      <c r="R168" s="168">
        <v>0</v>
      </c>
      <c r="S168" s="168">
        <v>1</v>
      </c>
      <c r="T168" s="168">
        <v>2015</v>
      </c>
      <c r="U168" s="168">
        <v>9</v>
      </c>
      <c r="V168" s="168">
        <v>0</v>
      </c>
      <c r="W168" s="168">
        <v>1</v>
      </c>
      <c r="X168" s="169" t="str">
        <f t="shared" si="3"/>
        <v>/*ELI-771*/ 00000100 1;</v>
      </c>
    </row>
    <row r="169" spans="1:24" s="169" customFormat="1" x14ac:dyDescent="0.25">
      <c r="A169" s="168" t="s">
        <v>532</v>
      </c>
      <c r="B169" s="168" t="s">
        <v>580</v>
      </c>
      <c r="C169" s="168" t="s">
        <v>585</v>
      </c>
      <c r="D169" s="162">
        <v>0</v>
      </c>
      <c r="E169" s="162">
        <v>0</v>
      </c>
      <c r="F169" s="162">
        <v>0</v>
      </c>
      <c r="G169" s="162">
        <v>0</v>
      </c>
      <c r="H169" s="162">
        <v>0</v>
      </c>
      <c r="I169" s="162">
        <v>0</v>
      </c>
      <c r="J169" s="162">
        <v>0</v>
      </c>
      <c r="K169" s="162">
        <v>0</v>
      </c>
      <c r="L169" s="162">
        <v>1</v>
      </c>
      <c r="M169" s="162">
        <v>0</v>
      </c>
      <c r="N169" s="162">
        <v>0</v>
      </c>
      <c r="O169" s="162">
        <v>0</v>
      </c>
      <c r="P169" s="168">
        <v>1</v>
      </c>
      <c r="Q169" s="168">
        <v>0</v>
      </c>
      <c r="R169" s="168">
        <v>0</v>
      </c>
      <c r="S169" s="168">
        <v>1</v>
      </c>
      <c r="T169" s="168">
        <v>2015</v>
      </c>
      <c r="U169" s="168">
        <v>9</v>
      </c>
      <c r="V169" s="168">
        <v>0</v>
      </c>
      <c r="W169" s="168">
        <v>1</v>
      </c>
      <c r="X169" s="169" t="str">
        <f t="shared" si="3"/>
        <v>/*ELI-772*/ 00000100 1;</v>
      </c>
    </row>
    <row r="170" spans="1:24" s="169" customFormat="1" x14ac:dyDescent="0.25">
      <c r="A170" s="168" t="s">
        <v>532</v>
      </c>
      <c r="B170" s="168" t="s">
        <v>581</v>
      </c>
      <c r="C170" s="168" t="s">
        <v>586</v>
      </c>
      <c r="D170" s="162">
        <v>0</v>
      </c>
      <c r="E170" s="162">
        <v>0</v>
      </c>
      <c r="F170" s="162">
        <v>0</v>
      </c>
      <c r="G170" s="162">
        <v>0</v>
      </c>
      <c r="H170" s="162">
        <v>0</v>
      </c>
      <c r="I170" s="162">
        <v>0</v>
      </c>
      <c r="J170" s="162">
        <v>0</v>
      </c>
      <c r="K170" s="162">
        <v>0</v>
      </c>
      <c r="L170" s="162">
        <v>1</v>
      </c>
      <c r="M170" s="162">
        <v>0</v>
      </c>
      <c r="N170" s="162">
        <v>0</v>
      </c>
      <c r="O170" s="162">
        <v>0</v>
      </c>
      <c r="P170" s="168">
        <v>1</v>
      </c>
      <c r="Q170" s="168">
        <v>0</v>
      </c>
      <c r="R170" s="168">
        <v>0</v>
      </c>
      <c r="S170" s="168">
        <v>1</v>
      </c>
      <c r="T170" s="168">
        <v>2015</v>
      </c>
      <c r="U170" s="168">
        <v>9</v>
      </c>
      <c r="V170" s="168">
        <v>0</v>
      </c>
      <c r="W170" s="168">
        <v>1</v>
      </c>
      <c r="X170" s="169" t="str">
        <f t="shared" si="3"/>
        <v>/*ELI-773*/ 00000100 1;</v>
      </c>
    </row>
    <row r="171" spans="1:24" s="169" customFormat="1" x14ac:dyDescent="0.25">
      <c r="A171" s="168" t="s">
        <v>532</v>
      </c>
      <c r="B171" s="168" t="s">
        <v>582</v>
      </c>
      <c r="C171" s="168" t="s">
        <v>587</v>
      </c>
      <c r="D171" s="162">
        <v>0</v>
      </c>
      <c r="E171" s="162">
        <v>0</v>
      </c>
      <c r="F171" s="162">
        <v>0</v>
      </c>
      <c r="G171" s="162">
        <v>0</v>
      </c>
      <c r="H171" s="162">
        <v>0</v>
      </c>
      <c r="I171" s="162">
        <v>0</v>
      </c>
      <c r="J171" s="162">
        <v>0</v>
      </c>
      <c r="K171" s="162">
        <v>0</v>
      </c>
      <c r="L171" s="162">
        <v>1</v>
      </c>
      <c r="M171" s="162">
        <v>0</v>
      </c>
      <c r="N171" s="162">
        <v>0</v>
      </c>
      <c r="O171" s="162">
        <v>0</v>
      </c>
      <c r="P171" s="168">
        <v>1</v>
      </c>
      <c r="Q171" s="168">
        <v>0</v>
      </c>
      <c r="R171" s="168">
        <v>0</v>
      </c>
      <c r="S171" s="168">
        <v>1</v>
      </c>
      <c r="T171" s="168">
        <v>2015</v>
      </c>
      <c r="U171" s="168">
        <v>9</v>
      </c>
      <c r="V171" s="168">
        <v>0</v>
      </c>
      <c r="W171" s="168">
        <v>1</v>
      </c>
      <c r="X171" s="169" t="str">
        <f t="shared" si="3"/>
        <v>/*ELI-774*/ 00000100 1;</v>
      </c>
    </row>
    <row r="172" spans="1:24" s="169" customFormat="1" x14ac:dyDescent="0.25">
      <c r="A172" s="164" t="s">
        <v>380</v>
      </c>
      <c r="B172" s="168" t="s">
        <v>380</v>
      </c>
      <c r="C172" s="168" t="s">
        <v>381</v>
      </c>
      <c r="D172" s="170">
        <v>0</v>
      </c>
      <c r="E172" s="191">
        <v>1</v>
      </c>
      <c r="F172" s="170">
        <v>0</v>
      </c>
      <c r="G172" s="170">
        <v>0</v>
      </c>
      <c r="H172" s="170">
        <v>1</v>
      </c>
      <c r="I172" s="170">
        <v>0</v>
      </c>
      <c r="J172" s="170">
        <v>0</v>
      </c>
      <c r="K172" s="170">
        <v>1</v>
      </c>
      <c r="L172" s="183">
        <v>1</v>
      </c>
      <c r="M172" s="170">
        <v>0</v>
      </c>
      <c r="N172" s="170">
        <v>0</v>
      </c>
      <c r="O172" s="170">
        <v>0</v>
      </c>
      <c r="P172" s="168">
        <f>VLOOKUP(C172,[1]allprides!$C$2:$X$170,14,FALSE)</f>
        <v>1</v>
      </c>
      <c r="Q172" s="168">
        <f>VLOOKUP(C172,[1]allprides!$C$2:$X$170,15,FALSE)</f>
        <v>0</v>
      </c>
      <c r="R172" s="168">
        <f>VLOOKUP(C172,[1]allprides!$C$2:$X$170,16,FALSE)</f>
        <v>0</v>
      </c>
      <c r="S172" s="168">
        <f>VLOOKUP(C172,[1]allprides!$C$2:$X$170,17,FALSE)</f>
        <v>1</v>
      </c>
      <c r="T172" s="168">
        <f>VLOOKUP(C172,[1]allprides!$C$2:$X$170,18,FALSE)</f>
        <v>2014</v>
      </c>
      <c r="U172" s="168">
        <f>VLOOKUP(C172,[1]allprides!$C$2:$X$170,19,FALSE)</f>
        <v>9</v>
      </c>
      <c r="V172" s="168">
        <f>VLOOKUP(C172,[1]allprides!$C$2:$X$170,20,FALSE)</f>
        <v>1</v>
      </c>
      <c r="W172" s="168">
        <v>1</v>
      </c>
      <c r="X172" s="169" t="str">
        <f t="shared" si="3"/>
        <v>/*ELI-775*/ 01001100 1;</v>
      </c>
    </row>
    <row r="173" spans="1:24" s="169" customFormat="1" x14ac:dyDescent="0.25">
      <c r="A173" s="164" t="s">
        <v>380</v>
      </c>
      <c r="B173" s="164" t="s">
        <v>380</v>
      </c>
      <c r="C173" s="168" t="s">
        <v>382</v>
      </c>
      <c r="D173" s="170">
        <v>0</v>
      </c>
      <c r="E173" s="191">
        <v>1</v>
      </c>
      <c r="F173" s="170">
        <v>0</v>
      </c>
      <c r="G173" s="170">
        <v>0</v>
      </c>
      <c r="H173" s="170">
        <v>1</v>
      </c>
      <c r="I173" s="170">
        <v>0</v>
      </c>
      <c r="J173" s="170">
        <v>0</v>
      </c>
      <c r="K173" s="170">
        <v>1</v>
      </c>
      <c r="L173" s="183">
        <v>1</v>
      </c>
      <c r="M173" s="170">
        <v>0</v>
      </c>
      <c r="N173" s="170">
        <v>1</v>
      </c>
      <c r="O173" s="170">
        <v>0</v>
      </c>
      <c r="P173" s="168">
        <f>VLOOKUP(C173,[1]allprides!$C$2:$X$170,14,FALSE)</f>
        <v>1</v>
      </c>
      <c r="Q173" s="168">
        <f>VLOOKUP(C173,[1]allprides!$C$2:$X$170,15,FALSE)</f>
        <v>0</v>
      </c>
      <c r="R173" s="168">
        <f>VLOOKUP(C173,[1]allprides!$C$2:$X$170,16,FALSE)</f>
        <v>0</v>
      </c>
      <c r="S173" s="168">
        <f>VLOOKUP(C173,[1]allprides!$C$2:$X$170,17,FALSE)</f>
        <v>1</v>
      </c>
      <c r="T173" s="168">
        <f>VLOOKUP(C173,[1]allprides!$C$2:$X$170,18,FALSE)</f>
        <v>2014</v>
      </c>
      <c r="U173" s="168">
        <f>VLOOKUP(C173,[1]allprides!$C$2:$X$170,19,FALSE)</f>
        <v>9</v>
      </c>
      <c r="V173" s="168">
        <f>VLOOKUP(C173,[1]allprides!$C$2:$X$170,20,FALSE)</f>
        <v>1</v>
      </c>
      <c r="W173" s="168">
        <v>1</v>
      </c>
      <c r="X173" s="169" t="str">
        <f t="shared" si="3"/>
        <v>/*ELI-776*/ 01001101 1;</v>
      </c>
    </row>
    <row r="174" spans="1:24" s="169" customFormat="1" x14ac:dyDescent="0.25">
      <c r="A174" s="164" t="s">
        <v>380</v>
      </c>
      <c r="B174" s="164" t="s">
        <v>380</v>
      </c>
      <c r="C174" s="168" t="s">
        <v>383</v>
      </c>
      <c r="D174" s="170">
        <v>0</v>
      </c>
      <c r="E174" s="191">
        <v>1</v>
      </c>
      <c r="F174" s="170">
        <v>0</v>
      </c>
      <c r="G174" s="170">
        <v>0</v>
      </c>
      <c r="H174" s="170">
        <v>1</v>
      </c>
      <c r="I174" s="170">
        <v>0</v>
      </c>
      <c r="J174" s="170">
        <v>0</v>
      </c>
      <c r="K174" s="170">
        <v>1</v>
      </c>
      <c r="L174" s="183">
        <v>1</v>
      </c>
      <c r="M174" s="170">
        <v>0</v>
      </c>
      <c r="N174" s="170">
        <v>1</v>
      </c>
      <c r="O174" s="170">
        <v>0</v>
      </c>
      <c r="P174" s="168">
        <f>VLOOKUP(C174,[1]allprides!$C$2:$X$170,14,FALSE)</f>
        <v>1</v>
      </c>
      <c r="Q174" s="168">
        <f>VLOOKUP(C174,[1]allprides!$C$2:$X$170,15,FALSE)</f>
        <v>0</v>
      </c>
      <c r="R174" s="168">
        <f>VLOOKUP(C174,[1]allprides!$C$2:$X$170,16,FALSE)</f>
        <v>0</v>
      </c>
      <c r="S174" s="168">
        <f>VLOOKUP(C174,[1]allprides!$C$2:$X$170,17,FALSE)</f>
        <v>1</v>
      </c>
      <c r="T174" s="168">
        <f>VLOOKUP(C174,[1]allprides!$C$2:$X$170,18,FALSE)</f>
        <v>2014</v>
      </c>
      <c r="U174" s="168">
        <f>VLOOKUP(C174,[1]allprides!$C$2:$X$170,19,FALSE)</f>
        <v>9</v>
      </c>
      <c r="V174" s="168">
        <f>VLOOKUP(C174,[1]allprides!$C$2:$X$170,20,FALSE)</f>
        <v>1</v>
      </c>
      <c r="W174" s="168">
        <v>1</v>
      </c>
      <c r="X174" s="169" t="str">
        <f t="shared" si="3"/>
        <v>/*ELI-777*/ 01001101 1;</v>
      </c>
    </row>
    <row r="175" spans="1:24" s="169" customFormat="1" x14ac:dyDescent="0.25">
      <c r="A175" s="164" t="s">
        <v>380</v>
      </c>
      <c r="B175" s="164" t="s">
        <v>380</v>
      </c>
      <c r="C175" s="168" t="s">
        <v>384</v>
      </c>
      <c r="D175" s="170">
        <v>0</v>
      </c>
      <c r="E175" s="191">
        <v>1</v>
      </c>
      <c r="F175" s="170">
        <v>0</v>
      </c>
      <c r="G175" s="170">
        <v>0</v>
      </c>
      <c r="H175" s="170">
        <v>1</v>
      </c>
      <c r="I175" s="170">
        <v>0</v>
      </c>
      <c r="J175" s="170">
        <v>0</v>
      </c>
      <c r="K175" s="170">
        <v>1</v>
      </c>
      <c r="L175" s="183">
        <v>1</v>
      </c>
      <c r="M175" s="170">
        <v>0</v>
      </c>
      <c r="N175" s="170">
        <v>1</v>
      </c>
      <c r="O175" s="170">
        <v>0</v>
      </c>
      <c r="P175" s="168">
        <f>VLOOKUP(C175,[1]allprides!$C$2:$X$170,14,FALSE)</f>
        <v>1</v>
      </c>
      <c r="Q175" s="168">
        <f>VLOOKUP(C175,[1]allprides!$C$2:$X$170,15,FALSE)</f>
        <v>0</v>
      </c>
      <c r="R175" s="168">
        <f>VLOOKUP(C175,[1]allprides!$C$2:$X$170,16,FALSE)</f>
        <v>0</v>
      </c>
      <c r="S175" s="168">
        <f>VLOOKUP(C175,[1]allprides!$C$2:$X$170,17,FALSE)</f>
        <v>1</v>
      </c>
      <c r="T175" s="168">
        <f>VLOOKUP(C175,[1]allprides!$C$2:$X$170,18,FALSE)</f>
        <v>2014</v>
      </c>
      <c r="U175" s="168">
        <f>VLOOKUP(C175,[1]allprides!$C$2:$X$170,19,FALSE)</f>
        <v>9</v>
      </c>
      <c r="V175" s="168">
        <f>VLOOKUP(C175,[1]allprides!$C$2:$X$170,20,FALSE)</f>
        <v>1</v>
      </c>
      <c r="W175" s="168">
        <v>1</v>
      </c>
      <c r="X175" s="169" t="str">
        <f t="shared" si="3"/>
        <v>/*ELI-778*/ 01001101 1;</v>
      </c>
    </row>
    <row r="176" spans="1:24" s="169" customFormat="1" x14ac:dyDescent="0.25">
      <c r="A176" s="164" t="s">
        <v>380</v>
      </c>
      <c r="B176" s="164" t="s">
        <v>380</v>
      </c>
      <c r="C176" s="168" t="s">
        <v>385</v>
      </c>
      <c r="D176" s="170">
        <v>0</v>
      </c>
      <c r="E176" s="191">
        <v>1</v>
      </c>
      <c r="F176" s="170">
        <v>0</v>
      </c>
      <c r="G176" s="170">
        <v>0</v>
      </c>
      <c r="H176" s="170">
        <v>1</v>
      </c>
      <c r="I176" s="170">
        <v>0</v>
      </c>
      <c r="J176" s="191">
        <v>1</v>
      </c>
      <c r="K176" s="170">
        <v>1</v>
      </c>
      <c r="L176" s="183">
        <v>1</v>
      </c>
      <c r="M176" s="191">
        <v>1</v>
      </c>
      <c r="N176" s="170">
        <v>1</v>
      </c>
      <c r="O176" s="170">
        <v>0</v>
      </c>
      <c r="P176" s="168">
        <f>VLOOKUP(C176,[1]allprides!$C$2:$X$170,14,FALSE)</f>
        <v>1</v>
      </c>
      <c r="Q176" s="168">
        <f>VLOOKUP(C176,[1]allprides!$C$2:$X$170,15,FALSE)</f>
        <v>0</v>
      </c>
      <c r="R176" s="168">
        <f>VLOOKUP(C176,[1]allprides!$C$2:$X$170,16,FALSE)</f>
        <v>0</v>
      </c>
      <c r="S176" s="168">
        <f>VLOOKUP(C176,[1]allprides!$C$2:$X$170,17,FALSE)</f>
        <v>1</v>
      </c>
      <c r="T176" s="168">
        <f>VLOOKUP(C176,[1]allprides!$C$2:$X$170,18,FALSE)</f>
        <v>2014</v>
      </c>
      <c r="U176" s="168">
        <f>VLOOKUP(C176,[1]allprides!$C$2:$X$170,19,FALSE)</f>
        <v>9</v>
      </c>
      <c r="V176" s="168">
        <f>VLOOKUP(C176,[1]allprides!$C$2:$X$170,20,FALSE)</f>
        <v>5</v>
      </c>
      <c r="W176" s="168">
        <v>1</v>
      </c>
      <c r="X176" s="169" t="str">
        <f t="shared" si="3"/>
        <v>/*ELI-786*/ 01011111 1;</v>
      </c>
    </row>
    <row r="177" spans="1:30" s="169" customFormat="1" x14ac:dyDescent="0.25">
      <c r="A177" s="164" t="s">
        <v>380</v>
      </c>
      <c r="B177" s="164" t="s">
        <v>380</v>
      </c>
      <c r="C177" s="164" t="s">
        <v>613</v>
      </c>
      <c r="D177" s="170">
        <v>0</v>
      </c>
      <c r="E177" s="191">
        <v>1</v>
      </c>
      <c r="F177" s="170">
        <v>0</v>
      </c>
      <c r="G177" s="170">
        <v>0</v>
      </c>
      <c r="H177" s="170">
        <v>1</v>
      </c>
      <c r="I177" s="170">
        <v>0</v>
      </c>
      <c r="J177" s="170">
        <v>0</v>
      </c>
      <c r="K177" s="170">
        <v>0</v>
      </c>
      <c r="L177" s="183">
        <v>1</v>
      </c>
      <c r="M177" s="170">
        <v>0</v>
      </c>
      <c r="N177" s="170">
        <v>1</v>
      </c>
      <c r="O177" s="170">
        <v>0</v>
      </c>
      <c r="P177" s="168">
        <v>1</v>
      </c>
      <c r="Q177" s="168">
        <v>0</v>
      </c>
      <c r="R177" s="168">
        <v>0</v>
      </c>
      <c r="S177" s="168">
        <v>1</v>
      </c>
      <c r="T177" s="168">
        <v>2014</v>
      </c>
      <c r="U177" s="168">
        <v>9</v>
      </c>
      <c r="V177" s="168">
        <v>6</v>
      </c>
      <c r="W177" s="168">
        <v>1</v>
      </c>
      <c r="X177" s="169" t="str">
        <f t="shared" si="3"/>
        <v>/*ELI-990*/ 01000101 1;</v>
      </c>
    </row>
    <row r="178" spans="1:30" s="169" customFormat="1" x14ac:dyDescent="0.25">
      <c r="A178" s="164" t="s">
        <v>534</v>
      </c>
      <c r="B178" s="168" t="s">
        <v>284</v>
      </c>
      <c r="C178" s="168" t="s">
        <v>285</v>
      </c>
      <c r="D178" s="162">
        <v>0</v>
      </c>
      <c r="E178" s="162">
        <v>0</v>
      </c>
      <c r="F178" s="162">
        <v>0</v>
      </c>
      <c r="G178" s="162">
        <v>0</v>
      </c>
      <c r="H178" s="162">
        <v>0</v>
      </c>
      <c r="I178" s="162">
        <v>0</v>
      </c>
      <c r="J178" s="162">
        <v>0</v>
      </c>
      <c r="K178" s="162">
        <v>0</v>
      </c>
      <c r="L178" s="162">
        <v>0</v>
      </c>
      <c r="M178" s="162">
        <v>1</v>
      </c>
      <c r="N178" s="162">
        <v>0</v>
      </c>
      <c r="O178" s="162">
        <v>0</v>
      </c>
      <c r="P178" s="168">
        <f>VLOOKUP(C178,[1]allprides!$C$2:$X$170,14,FALSE)</f>
        <v>1</v>
      </c>
      <c r="Q178" s="168">
        <f>VLOOKUP(C178,[1]allprides!$C$2:$X$170,15,FALSE)</f>
        <v>1</v>
      </c>
      <c r="R178" s="168">
        <f>VLOOKUP(C178,[1]allprides!$C$2:$X$170,16,FALSE)</f>
        <v>0</v>
      </c>
      <c r="S178" s="168">
        <f>VLOOKUP(C178,[1]allprides!$C$2:$X$170,17,FALSE)</f>
        <v>1</v>
      </c>
      <c r="T178" s="168">
        <f>VLOOKUP(C178,[1]allprides!$C$2:$X$170,18,FALSE)</f>
        <v>2012</v>
      </c>
      <c r="U178" s="168">
        <f>VLOOKUP(C178,[1]allprides!$C$2:$X$170,19,FALSE)</f>
        <v>10</v>
      </c>
      <c r="V178" s="168">
        <f>VLOOKUP(C178,[1]allprides!$C$2:$X$170,20,FALSE)</f>
        <v>3</v>
      </c>
      <c r="W178" s="168">
        <v>0</v>
      </c>
      <c r="X178" s="169" t="str">
        <f t="shared" si="3"/>
        <v>/*ELI-564*/ 00000010 1;</v>
      </c>
    </row>
    <row r="179" spans="1:30" s="169" customFormat="1" x14ac:dyDescent="0.25">
      <c r="A179" s="164" t="s">
        <v>534</v>
      </c>
      <c r="B179" s="168" t="s">
        <v>286</v>
      </c>
      <c r="C179" s="168" t="s">
        <v>287</v>
      </c>
      <c r="D179" s="162">
        <v>0</v>
      </c>
      <c r="E179" s="162">
        <v>0</v>
      </c>
      <c r="F179" s="162">
        <v>0</v>
      </c>
      <c r="G179" s="162">
        <v>0</v>
      </c>
      <c r="H179" s="162">
        <v>0</v>
      </c>
      <c r="I179" s="162">
        <v>0</v>
      </c>
      <c r="J179" s="162">
        <v>0</v>
      </c>
      <c r="K179" s="162">
        <v>0</v>
      </c>
      <c r="L179" s="162">
        <v>0</v>
      </c>
      <c r="M179" s="162">
        <v>1</v>
      </c>
      <c r="N179" s="162">
        <v>1</v>
      </c>
      <c r="O179" s="162">
        <v>0</v>
      </c>
      <c r="P179" s="168">
        <f>VLOOKUP(C179,[1]allprides!$C$2:$X$170,14,FALSE)</f>
        <v>1</v>
      </c>
      <c r="Q179" s="168">
        <f>VLOOKUP(C179,[1]allprides!$C$2:$X$170,15,FALSE)</f>
        <v>1</v>
      </c>
      <c r="R179" s="168">
        <f>VLOOKUP(C179,[1]allprides!$C$2:$X$170,16,FALSE)</f>
        <v>0</v>
      </c>
      <c r="S179" s="168">
        <f>VLOOKUP(C179,[1]allprides!$C$2:$X$170,17,FALSE)</f>
        <v>1</v>
      </c>
      <c r="T179" s="168">
        <f>VLOOKUP(C179,[1]allprides!$C$2:$X$170,18,FALSE)</f>
        <v>2012</v>
      </c>
      <c r="U179" s="168">
        <f>VLOOKUP(C179,[1]allprides!$C$2:$X$170,19,FALSE)</f>
        <v>10</v>
      </c>
      <c r="V179" s="168">
        <f>VLOOKUP(C179,[1]allprides!$C$2:$X$170,20,FALSE)</f>
        <v>3</v>
      </c>
      <c r="W179" s="168">
        <v>0</v>
      </c>
      <c r="X179" s="169" t="str">
        <f t="shared" si="3"/>
        <v>/*ELI-565*/ 00000011 1;</v>
      </c>
      <c r="Y179" s="175"/>
      <c r="Z179" s="175"/>
      <c r="AA179" s="175"/>
      <c r="AB179" s="175"/>
      <c r="AC179" s="175"/>
      <c r="AD179" s="175"/>
    </row>
    <row r="180" spans="1:30" s="169" customFormat="1" x14ac:dyDescent="0.25">
      <c r="A180" s="168" t="s">
        <v>535</v>
      </c>
      <c r="B180" s="168" t="s">
        <v>290</v>
      </c>
      <c r="C180" s="168" t="s">
        <v>291</v>
      </c>
      <c r="D180" s="162">
        <v>0</v>
      </c>
      <c r="E180" s="162">
        <v>0</v>
      </c>
      <c r="F180" s="162">
        <v>0</v>
      </c>
      <c r="G180" s="162">
        <v>0</v>
      </c>
      <c r="H180" s="162">
        <v>0</v>
      </c>
      <c r="I180" s="162">
        <v>0</v>
      </c>
      <c r="J180" s="162">
        <v>1</v>
      </c>
      <c r="K180" s="162">
        <v>0</v>
      </c>
      <c r="L180" s="162">
        <v>1</v>
      </c>
      <c r="M180" s="162">
        <v>1</v>
      </c>
      <c r="N180" s="162">
        <v>0</v>
      </c>
      <c r="O180" s="162">
        <v>0</v>
      </c>
      <c r="P180" s="168">
        <f>VLOOKUP(C180,[1]allprides!$C$2:$X$170,14,FALSE)</f>
        <v>1</v>
      </c>
      <c r="Q180" s="168">
        <f>VLOOKUP(C180,[1]allprides!$C$2:$X$170,15,FALSE)</f>
        <v>1</v>
      </c>
      <c r="R180" s="168">
        <f>VLOOKUP(C180,[1]allprides!$C$2:$X$170,16,FALSE)</f>
        <v>0</v>
      </c>
      <c r="S180" s="168">
        <f>VLOOKUP(C180,[1]allprides!$C$2:$X$170,17,FALSE)</f>
        <v>1</v>
      </c>
      <c r="T180" s="168">
        <f>VLOOKUP(C180,[1]allprides!$C$2:$X$170,18,FALSE)</f>
        <v>2008</v>
      </c>
      <c r="U180" s="168">
        <f>VLOOKUP(C180,[1]allprides!$C$2:$X$170,19,FALSE)</f>
        <v>10</v>
      </c>
      <c r="V180" s="168">
        <f>VLOOKUP(C180,[1]allprides!$C$2:$X$170,20,FALSE)</f>
        <v>0</v>
      </c>
      <c r="W180" s="168">
        <v>0</v>
      </c>
      <c r="X180" s="169" t="str">
        <f t="shared" si="3"/>
        <v>/*ELI-213*/ 00010110 1;</v>
      </c>
    </row>
    <row r="181" spans="1:30" s="169" customFormat="1" x14ac:dyDescent="0.25">
      <c r="A181" s="168" t="s">
        <v>535</v>
      </c>
      <c r="B181" s="168" t="s">
        <v>292</v>
      </c>
      <c r="C181" s="168" t="s">
        <v>293</v>
      </c>
      <c r="D181" s="162">
        <v>0</v>
      </c>
      <c r="E181" s="162">
        <v>0</v>
      </c>
      <c r="F181" s="162">
        <v>0</v>
      </c>
      <c r="G181" s="162">
        <v>0</v>
      </c>
      <c r="H181" s="162">
        <v>0</v>
      </c>
      <c r="I181" s="162">
        <v>1</v>
      </c>
      <c r="J181" s="162">
        <v>1</v>
      </c>
      <c r="K181" s="162">
        <v>1</v>
      </c>
      <c r="L181" s="162">
        <v>1</v>
      </c>
      <c r="M181" s="162">
        <v>1</v>
      </c>
      <c r="N181" s="162">
        <v>0</v>
      </c>
      <c r="O181" s="162">
        <v>0</v>
      </c>
      <c r="P181" s="168">
        <f>VLOOKUP(C181,[1]allprides!$C$2:$X$170,14,FALSE)</f>
        <v>1</v>
      </c>
      <c r="Q181" s="168">
        <f>VLOOKUP(C181,[1]allprides!$C$2:$X$170,15,FALSE)</f>
        <v>1</v>
      </c>
      <c r="R181" s="168">
        <f>VLOOKUP(C181,[1]allprides!$C$2:$X$170,16,FALSE)</f>
        <v>0</v>
      </c>
      <c r="S181" s="168">
        <f>VLOOKUP(C181,[1]allprides!$C$2:$X$170,17,FALSE)</f>
        <v>1</v>
      </c>
      <c r="T181" s="168">
        <f>VLOOKUP(C181,[1]allprides!$C$2:$X$170,18,FALSE)</f>
        <v>2008</v>
      </c>
      <c r="U181" s="168">
        <f>VLOOKUP(C181,[1]allprides!$C$2:$X$170,19,FALSE)</f>
        <v>10</v>
      </c>
      <c r="V181" s="168">
        <f>VLOOKUP(C181,[1]allprides!$C$2:$X$170,20,FALSE)</f>
        <v>0</v>
      </c>
      <c r="W181" s="168">
        <v>0</v>
      </c>
      <c r="X181" s="169" t="str">
        <f t="shared" si="3"/>
        <v>/*ELI-214*/ 00111110 1;</v>
      </c>
    </row>
    <row r="182" spans="1:30" s="169" customFormat="1" x14ac:dyDescent="0.25">
      <c r="A182" s="168" t="s">
        <v>535</v>
      </c>
      <c r="B182" s="168" t="s">
        <v>294</v>
      </c>
      <c r="C182" s="168" t="s">
        <v>295</v>
      </c>
      <c r="D182" s="162">
        <v>0</v>
      </c>
      <c r="E182" s="162">
        <v>0</v>
      </c>
      <c r="F182" s="162">
        <v>0</v>
      </c>
      <c r="G182" s="162">
        <v>0</v>
      </c>
      <c r="H182" s="162">
        <v>0</v>
      </c>
      <c r="I182" s="162">
        <v>0</v>
      </c>
      <c r="J182" s="162">
        <v>1</v>
      </c>
      <c r="K182" s="162">
        <v>1</v>
      </c>
      <c r="L182" s="162">
        <v>1</v>
      </c>
      <c r="M182" s="162">
        <v>1</v>
      </c>
      <c r="N182" s="162">
        <v>0</v>
      </c>
      <c r="O182" s="162">
        <v>0</v>
      </c>
      <c r="P182" s="168">
        <f>VLOOKUP(C182,[1]allprides!$C$2:$X$170,14,FALSE)</f>
        <v>1</v>
      </c>
      <c r="Q182" s="168">
        <f>VLOOKUP(C182,[1]allprides!$C$2:$X$170,15,FALSE)</f>
        <v>1</v>
      </c>
      <c r="R182" s="168">
        <f>VLOOKUP(C182,[1]allprides!$C$2:$X$170,16,FALSE)</f>
        <v>0</v>
      </c>
      <c r="S182" s="168">
        <f>VLOOKUP(C182,[1]allprides!$C$2:$X$170,17,FALSE)</f>
        <v>1</v>
      </c>
      <c r="T182" s="168">
        <f>VLOOKUP(C182,[1]allprides!$C$2:$X$170,18,FALSE)</f>
        <v>2008</v>
      </c>
      <c r="U182" s="168">
        <f>VLOOKUP(C182,[1]allprides!$C$2:$X$170,19,FALSE)</f>
        <v>10</v>
      </c>
      <c r="V182" s="168">
        <f>VLOOKUP(C182,[1]allprides!$C$2:$X$170,20,FALSE)</f>
        <v>2</v>
      </c>
      <c r="W182" s="168">
        <v>0</v>
      </c>
      <c r="X182" s="169" t="str">
        <f t="shared" si="3"/>
        <v>/*ELI-216*/ 00011110 1;</v>
      </c>
    </row>
    <row r="183" spans="1:30" s="169" customFormat="1" x14ac:dyDescent="0.25">
      <c r="A183" s="164" t="s">
        <v>445</v>
      </c>
      <c r="B183" s="164" t="s">
        <v>446</v>
      </c>
      <c r="C183" s="164" t="s">
        <v>373</v>
      </c>
      <c r="D183" s="162">
        <v>0</v>
      </c>
      <c r="E183" s="162">
        <v>0</v>
      </c>
      <c r="F183" s="162">
        <v>0</v>
      </c>
      <c r="G183" s="162">
        <v>0</v>
      </c>
      <c r="H183" s="162">
        <v>0</v>
      </c>
      <c r="I183" s="162">
        <v>0</v>
      </c>
      <c r="J183" s="178">
        <v>1</v>
      </c>
      <c r="K183" s="162">
        <v>0</v>
      </c>
      <c r="L183" s="162">
        <v>1</v>
      </c>
      <c r="M183" s="162">
        <v>1</v>
      </c>
      <c r="N183" s="162">
        <v>0</v>
      </c>
      <c r="O183" s="162">
        <v>0</v>
      </c>
      <c r="P183" s="168">
        <f>VLOOKUP(C183,[1]allprides!$C$2:$X$170,14,FALSE)</f>
        <v>1</v>
      </c>
      <c r="Q183" s="168">
        <f>VLOOKUP(C183,[1]allprides!$C$2:$X$170,15,FALSE)</f>
        <v>1</v>
      </c>
      <c r="R183" s="168">
        <f>VLOOKUP(C183,[1]allprides!$C$2:$X$170,16,FALSE)</f>
        <v>0</v>
      </c>
      <c r="S183" s="168">
        <f>VLOOKUP(C183,[1]allprides!$C$2:$X$170,17,FALSE)</f>
        <v>1</v>
      </c>
      <c r="T183" s="168">
        <f>VLOOKUP(C183,[1]allprides!$C$2:$X$170,18,FALSE)</f>
        <v>2011</v>
      </c>
      <c r="U183" s="168">
        <f>VLOOKUP(C183,[1]allprides!$C$2:$X$170,19,FALSE)</f>
        <v>8</v>
      </c>
      <c r="V183" s="168">
        <f>VLOOKUP(C183,[1]allprides!$C$2:$X$170,20,FALSE)</f>
        <v>3</v>
      </c>
      <c r="W183" s="168">
        <v>0</v>
      </c>
      <c r="X183" s="169" t="str">
        <f t="shared" si="3"/>
        <v>/*ELI-421*/ 00010110 1;</v>
      </c>
    </row>
    <row r="184" spans="1:30" s="169" customFormat="1" x14ac:dyDescent="0.25">
      <c r="A184" s="164" t="s">
        <v>536</v>
      </c>
      <c r="B184" s="168" t="s">
        <v>314</v>
      </c>
      <c r="C184" s="168" t="s">
        <v>315</v>
      </c>
      <c r="D184" s="162">
        <v>0</v>
      </c>
      <c r="E184" s="162">
        <v>0</v>
      </c>
      <c r="F184" s="162">
        <v>0</v>
      </c>
      <c r="G184" s="162">
        <v>0</v>
      </c>
      <c r="H184" s="162">
        <v>0</v>
      </c>
      <c r="I184" s="162">
        <v>0</v>
      </c>
      <c r="J184" s="162">
        <v>1</v>
      </c>
      <c r="K184" s="162">
        <v>0</v>
      </c>
      <c r="L184" s="162">
        <v>0</v>
      </c>
      <c r="M184" s="162">
        <v>0</v>
      </c>
      <c r="N184" s="162">
        <v>0</v>
      </c>
      <c r="O184" s="162">
        <v>0</v>
      </c>
      <c r="P184" s="168">
        <f>VLOOKUP(C184,[1]allprides!$C$2:$X$170,14,FALSE)</f>
        <v>1</v>
      </c>
      <c r="Q184" s="168">
        <f>VLOOKUP(C184,[1]allprides!$C$2:$X$170,15,FALSE)</f>
        <v>1</v>
      </c>
      <c r="R184" s="168">
        <f>VLOOKUP(C184,[1]allprides!$C$2:$X$170,16,FALSE)</f>
        <v>0</v>
      </c>
      <c r="S184" s="168">
        <f>VLOOKUP(C184,[1]allprides!$C$2:$X$170,17,FALSE)</f>
        <v>1</v>
      </c>
      <c r="T184" s="168">
        <f>VLOOKUP(C184,[1]allprides!$C$2:$X$170,18,FALSE)</f>
        <v>2011</v>
      </c>
      <c r="U184" s="168">
        <f>VLOOKUP(C184,[1]allprides!$C$2:$X$170,19,FALSE)</f>
        <v>9</v>
      </c>
      <c r="V184" s="168">
        <f>VLOOKUP(C184,[1]allprides!$C$2:$X$170,20,FALSE)</f>
        <v>3</v>
      </c>
      <c r="W184" s="168">
        <v>0</v>
      </c>
      <c r="X184" s="169" t="str">
        <f t="shared" si="3"/>
        <v>/*ELI-474*/ 00010000 1;</v>
      </c>
    </row>
    <row r="185" spans="1:30" s="169" customFormat="1" x14ac:dyDescent="0.25">
      <c r="A185" s="168" t="s">
        <v>415</v>
      </c>
      <c r="B185" s="164" t="s">
        <v>416</v>
      </c>
      <c r="C185" s="164" t="s">
        <v>417</v>
      </c>
      <c r="D185" s="162">
        <v>0</v>
      </c>
      <c r="E185" s="162">
        <v>0</v>
      </c>
      <c r="F185" s="162">
        <v>0</v>
      </c>
      <c r="G185" s="162">
        <v>0</v>
      </c>
      <c r="H185" s="162">
        <v>0</v>
      </c>
      <c r="I185" s="162">
        <v>0</v>
      </c>
      <c r="J185" s="162">
        <v>1</v>
      </c>
      <c r="K185" s="162">
        <v>1</v>
      </c>
      <c r="L185" s="162">
        <v>1</v>
      </c>
      <c r="M185" s="162">
        <v>1</v>
      </c>
      <c r="N185" s="162">
        <v>1</v>
      </c>
      <c r="O185" s="162">
        <v>0</v>
      </c>
      <c r="P185" s="168">
        <f>VLOOKUP(C185,[1]allprides!$C$2:$X$170,14,FALSE)</f>
        <v>1</v>
      </c>
      <c r="Q185" s="168">
        <f>VLOOKUP(C185,[1]allprides!$C$2:$X$170,15,FALSE)</f>
        <v>1</v>
      </c>
      <c r="R185" s="168">
        <f>VLOOKUP(C185,[1]allprides!$C$2:$X$170,16,FALSE)</f>
        <v>0</v>
      </c>
      <c r="S185" s="168">
        <f>VLOOKUP(C185,[1]allprides!$C$2:$X$170,17,FALSE)</f>
        <v>1</v>
      </c>
      <c r="T185" s="168">
        <f>VLOOKUP(C185,[1]allprides!$C$2:$X$170,18,FALSE)</f>
        <v>2013</v>
      </c>
      <c r="U185" s="168">
        <f>VLOOKUP(C185,[1]allprides!$C$2:$X$170,19,FALSE)</f>
        <v>8</v>
      </c>
      <c r="V185" s="168">
        <f>VLOOKUP(C185,[1]allprides!$C$2:$X$170,20,FALSE)</f>
        <v>4</v>
      </c>
      <c r="W185" s="168">
        <v>0</v>
      </c>
      <c r="X185" s="169" t="str">
        <f t="shared" si="3"/>
        <v>/*ELI-628*/ 00011111 1;</v>
      </c>
    </row>
    <row r="186" spans="1:30" s="169" customFormat="1" x14ac:dyDescent="0.25">
      <c r="A186" s="168" t="s">
        <v>415</v>
      </c>
      <c r="B186" s="164" t="s">
        <v>418</v>
      </c>
      <c r="C186" s="164" t="s">
        <v>419</v>
      </c>
      <c r="D186" s="162">
        <v>0</v>
      </c>
      <c r="E186" s="162">
        <v>0</v>
      </c>
      <c r="F186" s="162">
        <v>0</v>
      </c>
      <c r="G186" s="162">
        <v>0</v>
      </c>
      <c r="H186" s="162">
        <v>0</v>
      </c>
      <c r="I186" s="162">
        <v>0</v>
      </c>
      <c r="J186" s="162">
        <v>1</v>
      </c>
      <c r="K186" s="162">
        <v>1</v>
      </c>
      <c r="L186" s="162">
        <v>1</v>
      </c>
      <c r="M186" s="162">
        <v>1</v>
      </c>
      <c r="N186" s="162">
        <v>1</v>
      </c>
      <c r="O186" s="162">
        <v>0</v>
      </c>
      <c r="P186" s="168">
        <f>VLOOKUP(C186,[1]allprides!$C$2:$X$170,14,FALSE)</f>
        <v>1</v>
      </c>
      <c r="Q186" s="168">
        <f>VLOOKUP(C186,[1]allprides!$C$2:$X$170,15,FALSE)</f>
        <v>1</v>
      </c>
      <c r="R186" s="168">
        <f>VLOOKUP(C186,[1]allprides!$C$2:$X$170,16,FALSE)</f>
        <v>0</v>
      </c>
      <c r="S186" s="168">
        <f>VLOOKUP(C186,[1]allprides!$C$2:$X$170,17,FALSE)</f>
        <v>1</v>
      </c>
      <c r="T186" s="168">
        <f>VLOOKUP(C186,[1]allprides!$C$2:$X$170,18,FALSE)</f>
        <v>2013</v>
      </c>
      <c r="U186" s="168">
        <f>VLOOKUP(C186,[1]allprides!$C$2:$X$170,19,FALSE)</f>
        <v>8</v>
      </c>
      <c r="V186" s="168">
        <f>VLOOKUP(C186,[1]allprides!$C$2:$X$170,20,FALSE)</f>
        <v>4</v>
      </c>
      <c r="W186" s="168">
        <v>0</v>
      </c>
      <c r="X186" s="169" t="str">
        <f t="shared" si="3"/>
        <v>/*ELI-629*/ 00011111 1;</v>
      </c>
    </row>
    <row r="187" spans="1:30" s="169" customFormat="1" x14ac:dyDescent="0.25">
      <c r="A187" s="164" t="s">
        <v>422</v>
      </c>
      <c r="B187" s="164" t="s">
        <v>423</v>
      </c>
      <c r="C187" s="164" t="s">
        <v>211</v>
      </c>
      <c r="D187" s="162">
        <v>0</v>
      </c>
      <c r="E187" s="162">
        <v>0</v>
      </c>
      <c r="F187" s="162">
        <v>0</v>
      </c>
      <c r="G187" s="162">
        <v>0</v>
      </c>
      <c r="H187" s="162">
        <v>0</v>
      </c>
      <c r="I187" s="162">
        <v>0</v>
      </c>
      <c r="J187" s="162">
        <v>1</v>
      </c>
      <c r="K187" s="162">
        <v>0</v>
      </c>
      <c r="L187" s="162">
        <v>0</v>
      </c>
      <c r="M187" s="162">
        <v>0</v>
      </c>
      <c r="N187" s="162">
        <v>0</v>
      </c>
      <c r="O187" s="162">
        <v>0</v>
      </c>
      <c r="P187" s="168">
        <f>VLOOKUP(C187,[1]allprides!$C$2:$X$170,14,FALSE)</f>
        <v>1</v>
      </c>
      <c r="Q187" s="168">
        <f>VLOOKUP(C187,[1]allprides!$C$2:$X$170,15,FALSE)</f>
        <v>1</v>
      </c>
      <c r="R187" s="168">
        <f>VLOOKUP(C187,[1]allprides!$C$2:$X$170,16,FALSE)</f>
        <v>0</v>
      </c>
      <c r="S187" s="168">
        <f>VLOOKUP(C187,[1]allprides!$C$2:$X$170,17,FALSE)</f>
        <v>1</v>
      </c>
      <c r="T187" s="168">
        <f>VLOOKUP(C187,[1]allprides!$C$2:$X$170,18,FALSE)</f>
        <v>2008</v>
      </c>
      <c r="U187" s="168">
        <f>VLOOKUP(C187,[1]allprides!$C$2:$X$170,19,FALSE)</f>
        <v>9</v>
      </c>
      <c r="V187" s="168">
        <f>VLOOKUP(C187,[1]allprides!$C$2:$X$170,20,FALSE)</f>
        <v>0</v>
      </c>
      <c r="W187" s="168">
        <v>0</v>
      </c>
      <c r="X187" s="169" t="str">
        <f t="shared" si="3"/>
        <v>/*ELI-130*/ 00010000 1;</v>
      </c>
    </row>
    <row r="188" spans="1:30" s="169" customFormat="1" x14ac:dyDescent="0.25">
      <c r="A188" s="164" t="s">
        <v>422</v>
      </c>
      <c r="B188" s="164" t="s">
        <v>424</v>
      </c>
      <c r="C188" s="164" t="s">
        <v>425</v>
      </c>
      <c r="D188" s="162">
        <v>0</v>
      </c>
      <c r="E188" s="162">
        <v>0</v>
      </c>
      <c r="F188" s="162">
        <v>0</v>
      </c>
      <c r="G188" s="162">
        <v>0</v>
      </c>
      <c r="H188" s="162">
        <v>0</v>
      </c>
      <c r="I188" s="162">
        <v>0</v>
      </c>
      <c r="J188" s="162">
        <v>1</v>
      </c>
      <c r="K188" s="162">
        <v>0</v>
      </c>
      <c r="L188" s="162">
        <v>0</v>
      </c>
      <c r="M188" s="162">
        <v>0</v>
      </c>
      <c r="N188" s="162">
        <v>0</v>
      </c>
      <c r="O188" s="162">
        <v>0</v>
      </c>
      <c r="P188" s="168">
        <f>VLOOKUP(C188,[1]allprides!$C$2:$X$170,14,FALSE)</f>
        <v>1</v>
      </c>
      <c r="Q188" s="168">
        <f>VLOOKUP(C188,[1]allprides!$C$2:$X$170,15,FALSE)</f>
        <v>1</v>
      </c>
      <c r="R188" s="168">
        <f>VLOOKUP(C188,[1]allprides!$C$2:$X$170,16,FALSE)</f>
        <v>0</v>
      </c>
      <c r="S188" s="168">
        <f>VLOOKUP(C188,[1]allprides!$C$2:$X$170,17,FALSE)</f>
        <v>1</v>
      </c>
      <c r="T188" s="168">
        <f>VLOOKUP(C188,[1]allprides!$C$2:$X$170,18,FALSE)</f>
        <v>2013</v>
      </c>
      <c r="U188" s="168">
        <f>VLOOKUP(C188,[1]allprides!$C$2:$X$170,19,FALSE)</f>
        <v>4</v>
      </c>
      <c r="V188" s="168">
        <f>VLOOKUP(C188,[1]allprides!$C$2:$X$170,20,FALSE)</f>
        <v>3</v>
      </c>
      <c r="W188" s="168">
        <v>0</v>
      </c>
      <c r="X188" s="169" t="str">
        <f t="shared" si="3"/>
        <v>/*ELI-699*/ 00010000 1;</v>
      </c>
    </row>
    <row r="189" spans="1:30" s="169" customFormat="1" x14ac:dyDescent="0.25">
      <c r="A189" s="164" t="s">
        <v>387</v>
      </c>
      <c r="B189" s="168" t="s">
        <v>387</v>
      </c>
      <c r="C189" s="168" t="s">
        <v>116</v>
      </c>
      <c r="D189" s="162">
        <v>0</v>
      </c>
      <c r="E189" s="162">
        <v>0</v>
      </c>
      <c r="F189" s="162">
        <v>0</v>
      </c>
      <c r="G189" s="162">
        <v>0</v>
      </c>
      <c r="H189" s="162">
        <v>0</v>
      </c>
      <c r="I189" s="162">
        <v>0</v>
      </c>
      <c r="J189" s="178">
        <v>1</v>
      </c>
      <c r="K189" s="162">
        <v>1</v>
      </c>
      <c r="L189" s="162">
        <v>0</v>
      </c>
      <c r="M189" s="162">
        <v>0</v>
      </c>
      <c r="N189" s="162">
        <v>1</v>
      </c>
      <c r="O189" s="162">
        <v>0</v>
      </c>
      <c r="P189" s="168">
        <f>VLOOKUP(C189,[1]allprides!$C$2:$X$170,14,FALSE)</f>
        <v>1</v>
      </c>
      <c r="Q189" s="168">
        <f>VLOOKUP(C189,[1]allprides!$C$2:$X$170,15,FALSE)</f>
        <v>1</v>
      </c>
      <c r="R189" s="168">
        <f>VLOOKUP(C189,[1]allprides!$C$2:$X$170,16,FALSE)</f>
        <v>0</v>
      </c>
      <c r="S189" s="168">
        <f>VLOOKUP(C189,[1]allprides!$C$2:$X$170,17,FALSE)</f>
        <v>1</v>
      </c>
      <c r="T189" s="168">
        <f>VLOOKUP(C189,[1]allprides!$C$2:$X$170,18,FALSE)</f>
        <v>2010</v>
      </c>
      <c r="U189" s="168">
        <f>VLOOKUP(C189,[1]allprides!$C$2:$X$170,19,FALSE)</f>
        <v>7</v>
      </c>
      <c r="V189" s="168">
        <f>VLOOKUP(C189,[1]allprides!$C$2:$X$170,20,FALSE)</f>
        <v>0</v>
      </c>
      <c r="W189" s="168">
        <v>0</v>
      </c>
      <c r="X189" s="169" t="str">
        <f t="shared" si="3"/>
        <v>/*ELI-373*/ 00011001 1;</v>
      </c>
    </row>
    <row r="190" spans="1:30" s="169" customFormat="1" x14ac:dyDescent="0.25">
      <c r="A190" s="164" t="s">
        <v>387</v>
      </c>
      <c r="B190" s="168" t="s">
        <v>387</v>
      </c>
      <c r="C190" s="168" t="s">
        <v>117</v>
      </c>
      <c r="D190" s="162">
        <v>0</v>
      </c>
      <c r="E190" s="162">
        <v>0</v>
      </c>
      <c r="F190" s="162">
        <v>0</v>
      </c>
      <c r="G190" s="162">
        <v>0</v>
      </c>
      <c r="H190" s="162">
        <v>0</v>
      </c>
      <c r="I190" s="162">
        <v>0</v>
      </c>
      <c r="J190" s="178">
        <v>1</v>
      </c>
      <c r="K190" s="162">
        <v>1</v>
      </c>
      <c r="L190" s="162">
        <v>0</v>
      </c>
      <c r="M190" s="162">
        <v>0</v>
      </c>
      <c r="N190" s="162">
        <v>0</v>
      </c>
      <c r="O190" s="162">
        <v>0</v>
      </c>
      <c r="P190" s="168">
        <f>VLOOKUP(C190,[1]allprides!$C$2:$X$170,14,FALSE)</f>
        <v>1</v>
      </c>
      <c r="Q190" s="168">
        <f>VLOOKUP(C190,[1]allprides!$C$2:$X$170,15,FALSE)</f>
        <v>1</v>
      </c>
      <c r="R190" s="168">
        <f>VLOOKUP(C190,[1]allprides!$C$2:$X$170,16,FALSE)</f>
        <v>0</v>
      </c>
      <c r="S190" s="168">
        <f>VLOOKUP(C190,[1]allprides!$C$2:$X$170,17,FALSE)</f>
        <v>1</v>
      </c>
      <c r="T190" s="168">
        <f>VLOOKUP(C190,[1]allprides!$C$2:$X$170,18,FALSE)</f>
        <v>2010</v>
      </c>
      <c r="U190" s="168">
        <f>VLOOKUP(C190,[1]allprides!$C$2:$X$170,19,FALSE)</f>
        <v>10</v>
      </c>
      <c r="V190" s="168">
        <f>VLOOKUP(C190,[1]allprides!$C$2:$X$170,20,FALSE)</f>
        <v>0</v>
      </c>
      <c r="W190" s="168">
        <v>0</v>
      </c>
      <c r="X190" s="169" t="str">
        <f t="shared" si="3"/>
        <v>/*ELI-375*/ 00011000 1;</v>
      </c>
    </row>
    <row r="191" spans="1:30" s="169" customFormat="1" x14ac:dyDescent="0.25">
      <c r="A191" s="164" t="s">
        <v>387</v>
      </c>
      <c r="B191" s="168" t="s">
        <v>387</v>
      </c>
      <c r="C191" s="168" t="s">
        <v>543</v>
      </c>
      <c r="D191" s="162">
        <v>0</v>
      </c>
      <c r="E191" s="162">
        <v>0</v>
      </c>
      <c r="F191" s="162">
        <v>0</v>
      </c>
      <c r="G191" s="162">
        <v>0</v>
      </c>
      <c r="H191" s="162">
        <v>0</v>
      </c>
      <c r="I191" s="162">
        <v>0</v>
      </c>
      <c r="J191" s="178">
        <v>1</v>
      </c>
      <c r="K191" s="162">
        <v>1</v>
      </c>
      <c r="L191" s="162">
        <v>0</v>
      </c>
      <c r="M191" s="162">
        <v>0</v>
      </c>
      <c r="N191" s="162">
        <v>1</v>
      </c>
      <c r="O191" s="162">
        <v>0</v>
      </c>
      <c r="P191" s="168">
        <f>VLOOKUP(C191,[1]allprides!$C$2:$X$170,14,FALSE)</f>
        <v>1</v>
      </c>
      <c r="Q191" s="168">
        <f>VLOOKUP(C191,[1]allprides!$C$2:$X$170,15,FALSE)</f>
        <v>1</v>
      </c>
      <c r="R191" s="168">
        <f>VLOOKUP(C191,[1]allprides!$C$2:$X$170,16,FALSE)</f>
        <v>0</v>
      </c>
      <c r="S191" s="168">
        <f>VLOOKUP(C191,[1]allprides!$C$2:$X$170,17,FALSE)</f>
        <v>1</v>
      </c>
      <c r="T191" s="168">
        <f>VLOOKUP(C191,[1]allprides!$C$2:$X$170,18,FALSE)</f>
        <v>2010</v>
      </c>
      <c r="U191" s="168">
        <f>VLOOKUP(C191,[1]allprides!$C$2:$X$170,19,FALSE)</f>
        <v>10</v>
      </c>
      <c r="V191" s="168">
        <f>VLOOKUP(C191,[1]allprides!$C$2:$X$170,20,FALSE)</f>
        <v>0</v>
      </c>
      <c r="W191" s="168">
        <v>0</v>
      </c>
      <c r="X191" s="169" t="str">
        <f t="shared" si="3"/>
        <v>/*ELI-376*/ 00011001 1;</v>
      </c>
    </row>
    <row r="192" spans="1:30" s="169" customFormat="1" x14ac:dyDescent="0.25">
      <c r="A192" s="164" t="s">
        <v>387</v>
      </c>
      <c r="B192" s="168" t="s">
        <v>387</v>
      </c>
      <c r="C192" s="168" t="s">
        <v>118</v>
      </c>
      <c r="D192" s="162">
        <v>0</v>
      </c>
      <c r="E192" s="162">
        <v>0</v>
      </c>
      <c r="F192" s="162">
        <v>0</v>
      </c>
      <c r="G192" s="162">
        <v>0</v>
      </c>
      <c r="H192" s="162">
        <v>0</v>
      </c>
      <c r="I192" s="162">
        <v>0</v>
      </c>
      <c r="J192" s="178">
        <v>1</v>
      </c>
      <c r="K192" s="170">
        <v>1</v>
      </c>
      <c r="L192" s="162">
        <v>0</v>
      </c>
      <c r="M192" s="162">
        <v>0</v>
      </c>
      <c r="N192" s="170">
        <v>1</v>
      </c>
      <c r="O192" s="162">
        <v>0</v>
      </c>
      <c r="P192" s="168">
        <f>VLOOKUP(C192,[1]allprides!$C$2:$X$170,14,FALSE)</f>
        <v>1</v>
      </c>
      <c r="Q192" s="168">
        <f>VLOOKUP(C192,[1]allprides!$C$2:$X$170,15,FALSE)</f>
        <v>1</v>
      </c>
      <c r="R192" s="168">
        <f>VLOOKUP(C192,[1]allprides!$C$2:$X$170,16,FALSE)</f>
        <v>0</v>
      </c>
      <c r="S192" s="168">
        <f>VLOOKUP(C192,[1]allprides!$C$2:$X$170,17,FALSE)</f>
        <v>1</v>
      </c>
      <c r="T192" s="168">
        <f>VLOOKUP(C192,[1]allprides!$C$2:$X$170,18,FALSE)</f>
        <v>2010</v>
      </c>
      <c r="U192" s="168">
        <f>VLOOKUP(C192,[1]allprides!$C$2:$X$170,19,FALSE)</f>
        <v>10</v>
      </c>
      <c r="V192" s="168">
        <f>VLOOKUP(C192,[1]allprides!$C$2:$X$170,20,FALSE)</f>
        <v>0</v>
      </c>
      <c r="W192" s="168">
        <v>0</v>
      </c>
      <c r="X192" s="169" t="str">
        <f t="shared" si="3"/>
        <v>/*ELI-377*/ 00011001 1;</v>
      </c>
    </row>
    <row r="193" spans="1:24" s="169" customFormat="1" x14ac:dyDescent="0.25">
      <c r="A193" s="164" t="s">
        <v>538</v>
      </c>
      <c r="B193" s="168" t="s">
        <v>539</v>
      </c>
      <c r="C193" s="168" t="s">
        <v>629</v>
      </c>
      <c r="D193" s="162">
        <v>0</v>
      </c>
      <c r="E193" s="162">
        <v>0</v>
      </c>
      <c r="F193" s="162">
        <v>0</v>
      </c>
      <c r="G193" s="162">
        <v>0</v>
      </c>
      <c r="H193" s="162">
        <v>0</v>
      </c>
      <c r="I193" s="162">
        <v>0</v>
      </c>
      <c r="J193" s="162">
        <v>1</v>
      </c>
      <c r="K193" s="162">
        <v>1</v>
      </c>
      <c r="L193" s="162">
        <v>0</v>
      </c>
      <c r="M193" s="162">
        <v>0</v>
      </c>
      <c r="N193" s="162">
        <v>0</v>
      </c>
      <c r="O193" s="162">
        <v>0</v>
      </c>
      <c r="P193" s="168">
        <v>1</v>
      </c>
      <c r="Q193" s="168">
        <v>1</v>
      </c>
      <c r="R193" s="168">
        <v>0</v>
      </c>
      <c r="S193" s="168">
        <v>1</v>
      </c>
      <c r="T193" s="168">
        <v>2015</v>
      </c>
      <c r="U193" s="168">
        <v>7</v>
      </c>
      <c r="V193" s="168">
        <v>7</v>
      </c>
      <c r="W193" s="168">
        <v>0</v>
      </c>
      <c r="X193" s="169" t="str">
        <f t="shared" si="3"/>
        <v>/*ELI-972*/ 00011000 1;</v>
      </c>
    </row>
    <row r="194" spans="1:24" s="169" customFormat="1" x14ac:dyDescent="0.25">
      <c r="A194" s="164" t="s">
        <v>621</v>
      </c>
      <c r="B194" s="168" t="s">
        <v>622</v>
      </c>
      <c r="C194" s="168" t="s">
        <v>630</v>
      </c>
      <c r="D194" s="162">
        <v>0</v>
      </c>
      <c r="E194" s="162">
        <v>0</v>
      </c>
      <c r="F194" s="162">
        <v>0</v>
      </c>
      <c r="G194" s="162">
        <v>0</v>
      </c>
      <c r="H194" s="162">
        <v>0</v>
      </c>
      <c r="I194" s="162">
        <v>0</v>
      </c>
      <c r="J194" s="162">
        <v>1</v>
      </c>
      <c r="K194" s="162">
        <v>0</v>
      </c>
      <c r="L194" s="178">
        <v>1</v>
      </c>
      <c r="M194" s="162">
        <v>0</v>
      </c>
      <c r="N194" s="162">
        <v>0</v>
      </c>
      <c r="O194" s="162">
        <v>0</v>
      </c>
      <c r="P194" s="168">
        <v>1</v>
      </c>
      <c r="Q194" s="168">
        <v>1</v>
      </c>
      <c r="R194" s="168">
        <v>0</v>
      </c>
      <c r="S194" s="168">
        <v>1</v>
      </c>
      <c r="T194" s="168">
        <v>2015</v>
      </c>
      <c r="U194" s="168">
        <v>7</v>
      </c>
      <c r="V194" s="168">
        <v>3</v>
      </c>
      <c r="W194" s="168">
        <v>0</v>
      </c>
      <c r="X194" s="169" t="str">
        <f t="shared" si="3"/>
        <v>/*ELI-982*/ 00010100 1;</v>
      </c>
    </row>
    <row r="195" spans="1:24" s="169" customFormat="1" x14ac:dyDescent="0.25">
      <c r="A195" s="164" t="s">
        <v>621</v>
      </c>
      <c r="B195" s="168" t="s">
        <v>623</v>
      </c>
      <c r="C195" s="168" t="s">
        <v>631</v>
      </c>
      <c r="D195" s="162">
        <v>0</v>
      </c>
      <c r="E195" s="162">
        <v>0</v>
      </c>
      <c r="F195" s="162">
        <v>0</v>
      </c>
      <c r="G195" s="162">
        <v>0</v>
      </c>
      <c r="H195" s="162">
        <v>0</v>
      </c>
      <c r="I195" s="162">
        <v>0</v>
      </c>
      <c r="J195" s="162">
        <v>1</v>
      </c>
      <c r="K195" s="178">
        <v>1</v>
      </c>
      <c r="L195" s="178">
        <v>1</v>
      </c>
      <c r="M195" s="162">
        <v>0</v>
      </c>
      <c r="N195" s="162">
        <v>0</v>
      </c>
      <c r="O195" s="162">
        <v>0</v>
      </c>
      <c r="P195" s="168">
        <v>1</v>
      </c>
      <c r="Q195" s="168">
        <v>1</v>
      </c>
      <c r="R195" s="168">
        <v>0</v>
      </c>
      <c r="S195" s="168">
        <v>1</v>
      </c>
      <c r="T195" s="168">
        <v>2015</v>
      </c>
      <c r="U195" s="168">
        <v>7</v>
      </c>
      <c r="V195" s="168">
        <v>3</v>
      </c>
      <c r="W195" s="168">
        <v>0</v>
      </c>
      <c r="X195" s="169" t="str">
        <f t="shared" si="3"/>
        <v>/*ELI-983*/ 00011100 1;</v>
      </c>
    </row>
    <row r="196" spans="1:24" s="169" customFormat="1" x14ac:dyDescent="0.25">
      <c r="A196" s="164" t="s">
        <v>621</v>
      </c>
      <c r="B196" s="168" t="s">
        <v>624</v>
      </c>
      <c r="C196" s="168" t="s">
        <v>632</v>
      </c>
      <c r="D196" s="162">
        <v>0</v>
      </c>
      <c r="E196" s="162">
        <v>0</v>
      </c>
      <c r="F196" s="162">
        <v>0</v>
      </c>
      <c r="G196" s="162">
        <v>0</v>
      </c>
      <c r="H196" s="162">
        <v>0</v>
      </c>
      <c r="I196" s="162">
        <v>0</v>
      </c>
      <c r="J196" s="162">
        <v>1</v>
      </c>
      <c r="K196" s="178">
        <v>1</v>
      </c>
      <c r="L196" s="178">
        <v>1</v>
      </c>
      <c r="M196" s="162">
        <v>0</v>
      </c>
      <c r="N196" s="162">
        <v>0</v>
      </c>
      <c r="O196" s="162">
        <v>0</v>
      </c>
      <c r="P196" s="168">
        <v>1</v>
      </c>
      <c r="Q196" s="168">
        <v>1</v>
      </c>
      <c r="R196" s="168">
        <v>0</v>
      </c>
      <c r="S196" s="168">
        <v>1</v>
      </c>
      <c r="T196" s="168">
        <v>2015</v>
      </c>
      <c r="U196" s="168">
        <v>7</v>
      </c>
      <c r="V196" s="168">
        <v>3</v>
      </c>
      <c r="W196" s="168">
        <v>0</v>
      </c>
      <c r="X196" s="169" t="str">
        <f t="shared" si="3"/>
        <v>/*ELI-984*/ 00011100 1;</v>
      </c>
    </row>
    <row r="197" spans="1:24" s="169" customFormat="1" x14ac:dyDescent="0.25">
      <c r="A197" s="164" t="s">
        <v>601</v>
      </c>
      <c r="B197" s="164" t="s">
        <v>601</v>
      </c>
      <c r="C197" s="168" t="s">
        <v>635</v>
      </c>
      <c r="D197" s="162">
        <v>0</v>
      </c>
      <c r="E197" s="162">
        <v>0</v>
      </c>
      <c r="F197" s="162">
        <v>0</v>
      </c>
      <c r="G197" s="162">
        <v>0</v>
      </c>
      <c r="H197" s="162">
        <v>0</v>
      </c>
      <c r="I197" s="162">
        <v>0</v>
      </c>
      <c r="J197" s="162">
        <v>0</v>
      </c>
      <c r="K197" s="162">
        <v>0</v>
      </c>
      <c r="L197" s="162">
        <v>0</v>
      </c>
      <c r="M197" s="162">
        <v>1</v>
      </c>
      <c r="N197" s="162">
        <v>0</v>
      </c>
      <c r="O197" s="162">
        <v>0</v>
      </c>
      <c r="P197" s="168">
        <v>1</v>
      </c>
      <c r="Q197" s="168">
        <v>1</v>
      </c>
      <c r="R197" s="168">
        <v>0</v>
      </c>
      <c r="S197" s="168">
        <v>1</v>
      </c>
      <c r="T197" s="168">
        <v>2015</v>
      </c>
      <c r="U197" s="168">
        <v>10</v>
      </c>
      <c r="V197" s="168">
        <v>4</v>
      </c>
      <c r="W197" s="168">
        <v>0</v>
      </c>
      <c r="X197" s="169" t="str">
        <f t="shared" si="3"/>
        <v>/*ELI-976*/ 00000010 1;</v>
      </c>
    </row>
    <row r="198" spans="1:24" s="169" customFormat="1" x14ac:dyDescent="0.25">
      <c r="A198" s="164" t="s">
        <v>602</v>
      </c>
      <c r="B198" s="164" t="s">
        <v>602</v>
      </c>
      <c r="C198" s="168" t="s">
        <v>620</v>
      </c>
      <c r="D198" s="162">
        <v>0</v>
      </c>
      <c r="E198" s="162">
        <v>0</v>
      </c>
      <c r="F198" s="162">
        <v>0</v>
      </c>
      <c r="G198" s="162">
        <v>0</v>
      </c>
      <c r="H198" s="162">
        <v>0</v>
      </c>
      <c r="I198" s="162">
        <v>0</v>
      </c>
      <c r="J198" s="162">
        <v>0</v>
      </c>
      <c r="K198" s="162">
        <v>1</v>
      </c>
      <c r="L198" s="162">
        <v>1</v>
      </c>
      <c r="M198" s="162">
        <v>0</v>
      </c>
      <c r="N198" s="162">
        <v>0</v>
      </c>
      <c r="O198" s="162">
        <v>0</v>
      </c>
      <c r="P198" s="168">
        <v>1</v>
      </c>
      <c r="Q198" s="168">
        <v>1</v>
      </c>
      <c r="R198" s="168">
        <v>0</v>
      </c>
      <c r="S198" s="168">
        <v>1</v>
      </c>
      <c r="T198" s="168">
        <v>2015</v>
      </c>
      <c r="U198" s="168">
        <v>8</v>
      </c>
      <c r="V198" s="168">
        <v>4</v>
      </c>
      <c r="W198" s="168">
        <v>0</v>
      </c>
      <c r="X198" s="169" t="str">
        <f t="shared" si="3"/>
        <v>/*ELI-985*/ 00001100 1;</v>
      </c>
    </row>
    <row r="199" spans="1:24" s="169" customFormat="1" x14ac:dyDescent="0.25">
      <c r="A199" s="164" t="s">
        <v>642</v>
      </c>
      <c r="B199" s="164" t="s">
        <v>603</v>
      </c>
      <c r="C199" s="168" t="s">
        <v>633</v>
      </c>
      <c r="D199" s="162">
        <v>0</v>
      </c>
      <c r="E199" s="162">
        <v>0</v>
      </c>
      <c r="F199" s="162">
        <v>0</v>
      </c>
      <c r="G199" s="162">
        <v>0</v>
      </c>
      <c r="H199" s="162">
        <v>1</v>
      </c>
      <c r="I199" s="162">
        <v>0</v>
      </c>
      <c r="J199" s="162">
        <v>0</v>
      </c>
      <c r="K199" s="162">
        <v>0</v>
      </c>
      <c r="L199" s="162">
        <v>0</v>
      </c>
      <c r="M199" s="162">
        <v>1</v>
      </c>
      <c r="N199" s="162">
        <v>0</v>
      </c>
      <c r="O199" s="162">
        <v>0</v>
      </c>
      <c r="P199" s="168">
        <v>1</v>
      </c>
      <c r="Q199" s="168">
        <v>1</v>
      </c>
      <c r="R199" s="168">
        <v>0</v>
      </c>
      <c r="S199" s="168">
        <v>1</v>
      </c>
      <c r="T199" s="168">
        <v>2015</v>
      </c>
      <c r="U199" s="168">
        <v>5</v>
      </c>
      <c r="V199" s="168">
        <v>7</v>
      </c>
      <c r="W199" s="168">
        <v>0</v>
      </c>
      <c r="X199" s="169" t="str">
        <f t="shared" si="3"/>
        <v>/*ELI-986*/ 01000010 1;</v>
      </c>
    </row>
    <row r="200" spans="1:24" s="169" customFormat="1" ht="15.75" thickBot="1" x14ac:dyDescent="0.3">
      <c r="A200" s="164" t="s">
        <v>642</v>
      </c>
      <c r="B200" s="164" t="s">
        <v>604</v>
      </c>
      <c r="C200" s="168" t="s">
        <v>634</v>
      </c>
      <c r="D200" s="162">
        <v>0</v>
      </c>
      <c r="E200" s="162">
        <v>0</v>
      </c>
      <c r="F200" s="162">
        <v>0</v>
      </c>
      <c r="G200" s="162">
        <v>0</v>
      </c>
      <c r="H200" s="162">
        <v>1</v>
      </c>
      <c r="I200" s="162">
        <v>0</v>
      </c>
      <c r="J200" s="162">
        <v>0</v>
      </c>
      <c r="K200" s="162">
        <v>0</v>
      </c>
      <c r="L200" s="162">
        <v>0</v>
      </c>
      <c r="M200" s="162">
        <v>1</v>
      </c>
      <c r="N200" s="162">
        <v>0</v>
      </c>
      <c r="O200" s="162">
        <v>0</v>
      </c>
      <c r="P200" s="168">
        <v>1</v>
      </c>
      <c r="Q200" s="168">
        <v>1</v>
      </c>
      <c r="R200" s="168">
        <v>0</v>
      </c>
      <c r="S200" s="168">
        <v>1</v>
      </c>
      <c r="T200" s="168">
        <v>2015</v>
      </c>
      <c r="U200" s="168">
        <v>5</v>
      </c>
      <c r="V200" s="168">
        <v>7</v>
      </c>
      <c r="W200" s="168">
        <v>0</v>
      </c>
      <c r="X200" s="169" t="str">
        <f t="shared" si="3"/>
        <v>/*ELI-987*/ 01000010 1;</v>
      </c>
    </row>
    <row r="201" spans="1:24" s="179" customFormat="1" ht="15.75" thickBot="1" x14ac:dyDescent="0.3">
      <c r="A201" s="179" t="s">
        <v>648</v>
      </c>
      <c r="C201" s="179" t="s">
        <v>649</v>
      </c>
      <c r="D201" s="178">
        <v>0</v>
      </c>
      <c r="E201" s="178">
        <v>0</v>
      </c>
      <c r="F201" s="178">
        <v>0</v>
      </c>
      <c r="G201" s="178">
        <v>0</v>
      </c>
      <c r="H201" s="178">
        <v>0</v>
      </c>
      <c r="I201" s="180">
        <v>1</v>
      </c>
      <c r="J201" s="178">
        <v>0</v>
      </c>
      <c r="K201" s="178">
        <v>0</v>
      </c>
      <c r="L201" s="178">
        <v>0</v>
      </c>
      <c r="M201" s="178">
        <v>0</v>
      </c>
      <c r="N201" s="178">
        <v>0</v>
      </c>
      <c r="O201" s="178">
        <v>0</v>
      </c>
      <c r="P201" s="181">
        <v>1</v>
      </c>
      <c r="Q201" s="182">
        <v>1</v>
      </c>
      <c r="R201" s="179">
        <v>0</v>
      </c>
      <c r="S201" s="179">
        <v>1</v>
      </c>
      <c r="T201" s="179">
        <v>2013</v>
      </c>
      <c r="U201" s="179">
        <v>5</v>
      </c>
      <c r="V201" s="179">
        <v>4</v>
      </c>
      <c r="W201" s="179">
        <v>0</v>
      </c>
    </row>
  </sheetData>
  <pageMargins left="0.7" right="0.7" top="0.75" bottom="0.75" header="0.3" footer="0.3"/>
  <pageSetup orientation="portrait" r:id="rId1"/>
  <ignoredErrors>
    <ignoredError sqref="Q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6"/>
  <sheetViews>
    <sheetView zoomScaleNormal="100" workbookViewId="0">
      <pane ySplit="1" topLeftCell="A89" activePane="bottomLeft" state="frozen"/>
      <selection activeCell="M23" sqref="M23"/>
      <selection pane="bottomLeft" activeCell="Q186" sqref="A56:Q186"/>
    </sheetView>
  </sheetViews>
  <sheetFormatPr defaultColWidth="8.85546875" defaultRowHeight="15" x14ac:dyDescent="0.25"/>
  <cols>
    <col min="1" max="1" width="18.5703125" customWidth="1"/>
    <col min="2" max="2" width="18.42578125" customWidth="1"/>
  </cols>
  <sheetData>
    <row r="1" spans="1:16" ht="15.75" thickBot="1" x14ac:dyDescent="0.3">
      <c r="B1" s="92"/>
      <c r="C1" s="93"/>
      <c r="D1" s="64" t="s">
        <v>37</v>
      </c>
      <c r="E1" s="64" t="s">
        <v>38</v>
      </c>
      <c r="F1" s="64" t="s">
        <v>39</v>
      </c>
      <c r="G1" s="64" t="s">
        <v>40</v>
      </c>
      <c r="H1" s="60" t="s">
        <v>36</v>
      </c>
      <c r="I1" s="64" t="s">
        <v>41</v>
      </c>
      <c r="J1" s="59" t="s">
        <v>42</v>
      </c>
      <c r="K1" s="59" t="s">
        <v>43</v>
      </c>
      <c r="L1" s="59" t="s">
        <v>44</v>
      </c>
      <c r="M1" s="59" t="s">
        <v>45</v>
      </c>
      <c r="N1" s="64" t="s">
        <v>46</v>
      </c>
      <c r="O1" s="18" t="s">
        <v>47</v>
      </c>
    </row>
    <row r="2" spans="1:16" ht="15.75" thickBot="1" x14ac:dyDescent="0.3">
      <c r="B2" s="26" t="s">
        <v>0</v>
      </c>
      <c r="C2" s="28" t="s">
        <v>1</v>
      </c>
      <c r="D2" s="102"/>
      <c r="E2" s="94"/>
      <c r="F2" s="94"/>
      <c r="G2" s="94"/>
      <c r="H2" s="103"/>
      <c r="I2" s="102"/>
      <c r="J2" s="94"/>
      <c r="K2" s="2"/>
      <c r="L2" s="2"/>
      <c r="M2" s="2"/>
      <c r="N2" s="27"/>
      <c r="O2" s="18"/>
    </row>
    <row r="3" spans="1:16" ht="18.75" customHeight="1" x14ac:dyDescent="0.25">
      <c r="B3" s="85" t="s">
        <v>98</v>
      </c>
      <c r="C3" s="76" t="s">
        <v>99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7">
        <v>1</v>
      </c>
      <c r="M3" s="3">
        <v>0</v>
      </c>
      <c r="N3" s="20">
        <v>1</v>
      </c>
      <c r="O3" s="104">
        <v>0</v>
      </c>
    </row>
    <row r="4" spans="1:16" x14ac:dyDescent="0.25">
      <c r="B4" s="85" t="s">
        <v>100</v>
      </c>
      <c r="C4" s="76" t="s">
        <v>101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104">
        <v>0</v>
      </c>
      <c r="O4" s="104">
        <v>0</v>
      </c>
    </row>
    <row r="5" spans="1:16" x14ac:dyDescent="0.25">
      <c r="B5" s="85" t="s">
        <v>102</v>
      </c>
      <c r="C5" s="76" t="s">
        <v>103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0</v>
      </c>
      <c r="L5" s="3">
        <v>1</v>
      </c>
      <c r="M5" s="3">
        <v>0</v>
      </c>
      <c r="N5" s="17">
        <v>1</v>
      </c>
      <c r="O5" s="104">
        <v>0</v>
      </c>
    </row>
    <row r="6" spans="1:16" x14ac:dyDescent="0.25">
      <c r="B6" s="85" t="s">
        <v>104</v>
      </c>
      <c r="C6" s="76" t="s">
        <v>105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1</v>
      </c>
      <c r="K6" s="3">
        <v>0</v>
      </c>
      <c r="L6" s="3">
        <v>1</v>
      </c>
      <c r="M6" s="3">
        <v>1</v>
      </c>
      <c r="N6" s="17">
        <v>1</v>
      </c>
      <c r="O6" s="104">
        <v>0</v>
      </c>
    </row>
    <row r="7" spans="1:16" s="44" customFormat="1" x14ac:dyDescent="0.25">
      <c r="B7" s="85" t="s">
        <v>106</v>
      </c>
      <c r="C7" s="76" t="s">
        <v>107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104">
        <v>0</v>
      </c>
      <c r="O7" s="104">
        <v>0</v>
      </c>
    </row>
    <row r="8" spans="1:16" x14ac:dyDescent="0.25">
      <c r="B8" s="85" t="s">
        <v>108</v>
      </c>
      <c r="C8" s="76" t="s">
        <v>109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1</v>
      </c>
      <c r="M8" s="3">
        <v>1</v>
      </c>
      <c r="N8" s="19">
        <v>1</v>
      </c>
      <c r="O8" s="104">
        <v>0</v>
      </c>
    </row>
    <row r="9" spans="1:16" x14ac:dyDescent="0.25">
      <c r="B9" s="85" t="s">
        <v>110</v>
      </c>
      <c r="C9" s="76" t="s">
        <v>111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1</v>
      </c>
      <c r="K9" s="3">
        <v>0</v>
      </c>
      <c r="L9" s="3">
        <v>1</v>
      </c>
      <c r="M9" s="3">
        <v>1</v>
      </c>
      <c r="N9" s="17">
        <v>1</v>
      </c>
      <c r="O9" s="104">
        <v>0</v>
      </c>
    </row>
    <row r="10" spans="1:16" x14ac:dyDescent="0.25">
      <c r="B10" s="85" t="s">
        <v>112</v>
      </c>
      <c r="C10" s="76" t="s">
        <v>113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1</v>
      </c>
      <c r="M10" s="3">
        <v>0</v>
      </c>
      <c r="N10" s="104">
        <v>0</v>
      </c>
      <c r="O10" s="104">
        <v>0</v>
      </c>
    </row>
    <row r="11" spans="1:16" x14ac:dyDescent="0.25">
      <c r="B11" s="85" t="s">
        <v>114</v>
      </c>
      <c r="C11" s="76" t="s">
        <v>115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1</v>
      </c>
      <c r="K11" s="3">
        <v>0</v>
      </c>
      <c r="L11" s="3">
        <v>1</v>
      </c>
      <c r="M11" s="3">
        <v>1</v>
      </c>
      <c r="N11" s="104">
        <v>1</v>
      </c>
      <c r="O11" s="104">
        <v>0</v>
      </c>
    </row>
    <row r="12" spans="1:16" x14ac:dyDescent="0.25">
      <c r="B12" s="85" t="s">
        <v>119</v>
      </c>
      <c r="C12" s="76" t="s">
        <v>120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104">
        <v>0</v>
      </c>
      <c r="O12" s="104">
        <v>0</v>
      </c>
    </row>
    <row r="13" spans="1:16" x14ac:dyDescent="0.25">
      <c r="B13" s="86" t="s">
        <v>121</v>
      </c>
      <c r="C13" s="75" t="s">
        <v>122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104">
        <v>0</v>
      </c>
      <c r="O13" s="104">
        <v>0</v>
      </c>
    </row>
    <row r="14" spans="1:16" s="33" customFormat="1" x14ac:dyDescent="0.25">
      <c r="A14" s="123"/>
      <c r="B14" s="85" t="s">
        <v>318</v>
      </c>
      <c r="C14" s="76" t="s">
        <v>319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104">
        <v>0</v>
      </c>
      <c r="O14" s="104">
        <v>0</v>
      </c>
      <c r="P14" s="48"/>
    </row>
    <row r="15" spans="1:16" s="33" customFormat="1" x14ac:dyDescent="0.25">
      <c r="A15" s="123"/>
      <c r="B15" s="85"/>
      <c r="C15" s="40" t="s">
        <v>342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1</v>
      </c>
      <c r="M15" s="3">
        <v>0</v>
      </c>
      <c r="N15" s="3">
        <v>1</v>
      </c>
      <c r="O15" s="104">
        <v>0</v>
      </c>
      <c r="P15" s="48"/>
    </row>
    <row r="16" spans="1:16" s="33" customFormat="1" x14ac:dyDescent="0.25">
      <c r="A16" s="123"/>
      <c r="B16" s="85"/>
      <c r="C16" s="40" t="s">
        <v>336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1</v>
      </c>
      <c r="M16" s="3">
        <v>0</v>
      </c>
      <c r="N16" s="3">
        <v>1</v>
      </c>
      <c r="O16" s="104">
        <v>0</v>
      </c>
      <c r="P16" s="48"/>
    </row>
    <row r="17" spans="1:21" s="33" customFormat="1" x14ac:dyDescent="0.25">
      <c r="A17" s="123"/>
      <c r="B17" s="85"/>
      <c r="C17" s="40" t="s">
        <v>337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1</v>
      </c>
      <c r="M17" s="3">
        <v>0</v>
      </c>
      <c r="N17" s="3">
        <v>1</v>
      </c>
      <c r="O17" s="104">
        <v>0</v>
      </c>
      <c r="P17" s="48"/>
    </row>
    <row r="18" spans="1:21" s="33" customFormat="1" x14ac:dyDescent="0.25">
      <c r="A18" s="123"/>
      <c r="B18" s="85"/>
      <c r="C18" s="40" t="s">
        <v>338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1</v>
      </c>
      <c r="M18" s="3">
        <v>0</v>
      </c>
      <c r="N18" s="3">
        <v>1</v>
      </c>
      <c r="O18" s="104">
        <v>0</v>
      </c>
      <c r="P18" s="48"/>
    </row>
    <row r="19" spans="1:21" s="33" customFormat="1" x14ac:dyDescent="0.25">
      <c r="A19" s="123"/>
      <c r="B19" s="85"/>
      <c r="C19" s="40" t="s">
        <v>339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193">
        <v>1</v>
      </c>
      <c r="L19" s="3">
        <v>1</v>
      </c>
      <c r="M19" s="3">
        <v>0</v>
      </c>
      <c r="N19" s="104">
        <v>0</v>
      </c>
      <c r="O19" s="104">
        <v>0</v>
      </c>
      <c r="P19" s="48"/>
    </row>
    <row r="20" spans="1:21" s="33" customFormat="1" x14ac:dyDescent="0.25">
      <c r="A20" s="123"/>
      <c r="B20" s="85"/>
      <c r="C20" s="40" t="s">
        <v>340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1</v>
      </c>
      <c r="O20" s="104">
        <v>0</v>
      </c>
      <c r="P20" s="48"/>
    </row>
    <row r="21" spans="1:21" s="33" customFormat="1" x14ac:dyDescent="0.25">
      <c r="A21" s="124"/>
      <c r="B21" s="86"/>
      <c r="C21" s="46" t="s">
        <v>341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193">
        <v>1</v>
      </c>
      <c r="L21" s="23">
        <v>1</v>
      </c>
      <c r="M21" s="3">
        <v>0</v>
      </c>
      <c r="N21" s="23">
        <v>1</v>
      </c>
      <c r="O21" s="104">
        <v>0</v>
      </c>
      <c r="P21" s="48"/>
    </row>
    <row r="22" spans="1:21" s="47" customFormat="1" x14ac:dyDescent="0.25">
      <c r="B22" s="40" t="s">
        <v>362</v>
      </c>
      <c r="C22" s="40" t="s">
        <v>449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23">
        <v>1</v>
      </c>
      <c r="M22" s="23">
        <v>1</v>
      </c>
      <c r="N22" s="3">
        <v>1</v>
      </c>
      <c r="O22" s="104">
        <v>0</v>
      </c>
      <c r="U22" s="47">
        <v>8</v>
      </c>
    </row>
    <row r="23" spans="1:21" s="47" customFormat="1" x14ac:dyDescent="0.25">
      <c r="B23" s="40" t="s">
        <v>363</v>
      </c>
      <c r="C23" s="40" t="s">
        <v>450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23">
        <v>1</v>
      </c>
      <c r="M23" s="23">
        <v>1</v>
      </c>
      <c r="N23" s="3">
        <v>1</v>
      </c>
      <c r="O23" s="104">
        <v>0</v>
      </c>
      <c r="U23" s="47">
        <v>8</v>
      </c>
    </row>
    <row r="24" spans="1:21" s="47" customFormat="1" x14ac:dyDescent="0.25">
      <c r="B24" s="40" t="s">
        <v>364</v>
      </c>
      <c r="C24" s="40" t="s">
        <v>451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3">
        <v>1</v>
      </c>
      <c r="M24" s="23">
        <v>1</v>
      </c>
      <c r="N24" s="3">
        <v>1</v>
      </c>
      <c r="O24" s="104">
        <v>0</v>
      </c>
    </row>
    <row r="25" spans="1:21" s="47" customFormat="1" x14ac:dyDescent="0.25">
      <c r="B25" s="40" t="s">
        <v>365</v>
      </c>
      <c r="C25" s="40" t="s">
        <v>452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3">
        <v>1</v>
      </c>
      <c r="M25" s="23">
        <v>1</v>
      </c>
      <c r="N25" s="3">
        <v>1</v>
      </c>
      <c r="O25" s="104">
        <v>0</v>
      </c>
    </row>
    <row r="26" spans="1:21" s="47" customFormat="1" x14ac:dyDescent="0.25">
      <c r="B26" s="40" t="s">
        <v>374</v>
      </c>
      <c r="C26" s="40" t="s">
        <v>453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23">
        <v>1</v>
      </c>
      <c r="M26" s="23">
        <v>1</v>
      </c>
      <c r="N26" s="3">
        <v>1</v>
      </c>
      <c r="O26" s="104">
        <v>0</v>
      </c>
    </row>
    <row r="27" spans="1:21" s="44" customFormat="1" ht="15.75" thickBot="1" x14ac:dyDescent="0.3">
      <c r="B27" s="40" t="s">
        <v>378</v>
      </c>
      <c r="C27" s="40" t="s">
        <v>454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1</v>
      </c>
      <c r="M27" s="54">
        <v>0</v>
      </c>
      <c r="N27" s="54">
        <v>0</v>
      </c>
      <c r="O27" s="54">
        <v>0</v>
      </c>
    </row>
    <row r="28" spans="1:21" x14ac:dyDescent="0.25">
      <c r="B28" s="78"/>
      <c r="C28" s="79"/>
      <c r="D28" s="80"/>
      <c r="E28" s="80"/>
      <c r="F28" s="81"/>
      <c r="G28" s="80"/>
      <c r="H28" s="80"/>
      <c r="I28" s="80"/>
      <c r="J28" s="80">
        <v>1</v>
      </c>
      <c r="K28" s="81"/>
      <c r="L28" s="80"/>
      <c r="M28" s="80">
        <v>1</v>
      </c>
      <c r="N28" s="80"/>
      <c r="O28" s="82"/>
      <c r="U28">
        <v>7</v>
      </c>
    </row>
    <row r="29" spans="1:21" x14ac:dyDescent="0.25">
      <c r="B29" s="83" t="s">
        <v>0</v>
      </c>
      <c r="C29" s="50" t="s">
        <v>1</v>
      </c>
      <c r="D29" s="63"/>
      <c r="E29" s="63"/>
      <c r="F29" s="63"/>
      <c r="G29" s="63"/>
      <c r="H29" s="63"/>
      <c r="I29" s="63"/>
      <c r="J29" s="63">
        <v>1</v>
      </c>
      <c r="K29" s="63"/>
      <c r="L29" s="63"/>
      <c r="M29" s="63">
        <v>1</v>
      </c>
      <c r="N29" s="63"/>
      <c r="O29" s="84"/>
      <c r="U29">
        <v>7</v>
      </c>
    </row>
    <row r="30" spans="1:21" s="140" customFormat="1" x14ac:dyDescent="0.25">
      <c r="B30" s="151" t="s">
        <v>123</v>
      </c>
      <c r="C30" s="136" t="s">
        <v>124</v>
      </c>
      <c r="D30" s="152">
        <v>0</v>
      </c>
      <c r="E30" s="152">
        <v>1</v>
      </c>
      <c r="F30" s="152">
        <v>0</v>
      </c>
      <c r="G30" s="152">
        <v>0</v>
      </c>
      <c r="H30" s="152">
        <v>0</v>
      </c>
      <c r="I30" s="152">
        <v>0</v>
      </c>
      <c r="J30" s="152">
        <v>0</v>
      </c>
      <c r="K30" s="152">
        <v>0</v>
      </c>
      <c r="L30" s="152">
        <v>1</v>
      </c>
      <c r="M30" s="152">
        <v>0</v>
      </c>
      <c r="N30" s="152">
        <v>0</v>
      </c>
      <c r="O30" s="152">
        <v>0</v>
      </c>
    </row>
    <row r="31" spans="1:21" s="140" customFormat="1" x14ac:dyDescent="0.25">
      <c r="B31" s="151" t="s">
        <v>125</v>
      </c>
      <c r="C31" s="136" t="s">
        <v>126</v>
      </c>
      <c r="D31" s="152">
        <v>0</v>
      </c>
      <c r="E31" s="152">
        <v>1</v>
      </c>
      <c r="F31" s="152">
        <v>0</v>
      </c>
      <c r="G31" s="152">
        <v>0</v>
      </c>
      <c r="H31" s="152">
        <v>0</v>
      </c>
      <c r="I31" s="152">
        <v>0</v>
      </c>
      <c r="J31" s="152">
        <v>0</v>
      </c>
      <c r="K31" s="152">
        <v>0</v>
      </c>
      <c r="L31" s="152">
        <v>1</v>
      </c>
      <c r="M31" s="152">
        <v>0</v>
      </c>
      <c r="N31" s="152">
        <v>0</v>
      </c>
      <c r="O31" s="152">
        <v>0</v>
      </c>
    </row>
    <row r="32" spans="1:21" s="140" customFormat="1" x14ac:dyDescent="0.25">
      <c r="B32" s="153" t="s">
        <v>127</v>
      </c>
      <c r="C32" s="154" t="s">
        <v>128</v>
      </c>
      <c r="D32" s="152">
        <v>0</v>
      </c>
      <c r="E32" s="152">
        <v>0</v>
      </c>
      <c r="F32" s="152">
        <v>0</v>
      </c>
      <c r="G32" s="152">
        <v>0</v>
      </c>
      <c r="H32" s="152">
        <v>0</v>
      </c>
      <c r="I32" s="152">
        <v>0</v>
      </c>
      <c r="J32" s="152">
        <v>0</v>
      </c>
      <c r="K32" s="152">
        <v>0</v>
      </c>
      <c r="L32" s="152">
        <v>0</v>
      </c>
      <c r="M32" s="152">
        <v>0</v>
      </c>
      <c r="N32" s="152">
        <v>0</v>
      </c>
      <c r="O32" s="152">
        <v>0</v>
      </c>
    </row>
    <row r="33" spans="1:16" s="136" customFormat="1" ht="15.75" thickBot="1" x14ac:dyDescent="0.3">
      <c r="A33" s="155"/>
      <c r="B33" s="156" t="s">
        <v>129</v>
      </c>
      <c r="C33" s="157" t="s">
        <v>130</v>
      </c>
      <c r="D33" s="152">
        <v>0</v>
      </c>
      <c r="E33" s="152">
        <v>0</v>
      </c>
      <c r="F33" s="152">
        <v>0</v>
      </c>
      <c r="G33" s="152">
        <v>0</v>
      </c>
      <c r="H33" s="152">
        <v>0</v>
      </c>
      <c r="I33" s="152">
        <v>0</v>
      </c>
      <c r="J33" s="152">
        <v>0</v>
      </c>
      <c r="K33" s="152">
        <v>0</v>
      </c>
      <c r="L33" s="152">
        <v>0</v>
      </c>
      <c r="M33" s="152">
        <v>0</v>
      </c>
      <c r="N33" s="152">
        <v>0</v>
      </c>
      <c r="O33" s="152">
        <v>0</v>
      </c>
      <c r="P33" s="158"/>
    </row>
    <row r="34" spans="1:16" ht="15.75" thickBot="1" x14ac:dyDescent="0.3">
      <c r="B34" s="39"/>
      <c r="C34" s="39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1:16" s="33" customFormat="1" x14ac:dyDescent="0.25">
      <c r="A35" s="125"/>
      <c r="B35" s="78"/>
      <c r="C35" s="79"/>
      <c r="D35" s="80" t="s">
        <v>37</v>
      </c>
      <c r="E35" s="80" t="s">
        <v>38</v>
      </c>
      <c r="F35" s="80" t="s">
        <v>39</v>
      </c>
      <c r="G35" s="80" t="s">
        <v>40</v>
      </c>
      <c r="H35" s="80" t="s">
        <v>36</v>
      </c>
      <c r="I35" s="80" t="s">
        <v>41</v>
      </c>
      <c r="J35" s="80" t="s">
        <v>42</v>
      </c>
      <c r="K35" s="80" t="s">
        <v>43</v>
      </c>
      <c r="L35" s="80" t="s">
        <v>44</v>
      </c>
      <c r="M35" s="188">
        <v>1</v>
      </c>
      <c r="N35" s="80" t="s">
        <v>46</v>
      </c>
      <c r="O35" s="82" t="s">
        <v>47</v>
      </c>
      <c r="P35" s="48"/>
    </row>
    <row r="36" spans="1:16" x14ac:dyDescent="0.25">
      <c r="B36" s="55" t="s">
        <v>0</v>
      </c>
      <c r="C36" s="56" t="s">
        <v>1</v>
      </c>
      <c r="D36" s="35"/>
      <c r="E36" s="36"/>
      <c r="F36" s="36"/>
      <c r="G36" s="36"/>
      <c r="H36" s="37"/>
      <c r="I36" s="35"/>
      <c r="J36" s="36"/>
      <c r="K36" s="36"/>
      <c r="L36" s="36"/>
      <c r="M36" s="36"/>
      <c r="N36" s="38"/>
      <c r="O36" s="37"/>
    </row>
    <row r="37" spans="1:16" s="33" customFormat="1" x14ac:dyDescent="0.25">
      <c r="A37" s="123"/>
      <c r="B37" s="85" t="s">
        <v>131</v>
      </c>
      <c r="C37" s="40" t="s">
        <v>132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</v>
      </c>
      <c r="J37" s="104">
        <v>0</v>
      </c>
      <c r="K37" s="104">
        <v>0</v>
      </c>
      <c r="L37" s="104">
        <v>0</v>
      </c>
      <c r="M37" s="104">
        <v>0</v>
      </c>
      <c r="N37" s="104">
        <v>0</v>
      </c>
      <c r="O37" s="104">
        <v>0</v>
      </c>
      <c r="P37" s="48"/>
    </row>
    <row r="38" spans="1:16" s="33" customFormat="1" x14ac:dyDescent="0.25">
      <c r="A38" s="123"/>
      <c r="B38" s="85" t="s">
        <v>133</v>
      </c>
      <c r="C38" s="40" t="s">
        <v>134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52">
        <v>1</v>
      </c>
      <c r="J38" s="104">
        <v>0</v>
      </c>
      <c r="K38" s="104">
        <v>0</v>
      </c>
      <c r="L38" s="152">
        <v>1</v>
      </c>
      <c r="M38" s="104">
        <v>0</v>
      </c>
      <c r="N38" s="104">
        <v>0</v>
      </c>
      <c r="O38" s="104">
        <v>0</v>
      </c>
      <c r="P38" s="48"/>
    </row>
    <row r="39" spans="1:16" s="33" customFormat="1" x14ac:dyDescent="0.25">
      <c r="A39" s="123"/>
      <c r="B39" s="85" t="s">
        <v>135</v>
      </c>
      <c r="C39" s="40" t="s">
        <v>136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4">
        <v>0</v>
      </c>
      <c r="O39" s="104">
        <v>0</v>
      </c>
      <c r="P39" s="48"/>
    </row>
    <row r="40" spans="1:16" s="33" customFormat="1" x14ac:dyDescent="0.25">
      <c r="A40" s="123"/>
      <c r="B40" s="85" t="s">
        <v>137</v>
      </c>
      <c r="C40" s="40" t="s">
        <v>138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4">
        <v>0</v>
      </c>
      <c r="L40" s="104">
        <v>0</v>
      </c>
      <c r="M40" s="104">
        <v>0</v>
      </c>
      <c r="N40" s="104">
        <v>0</v>
      </c>
      <c r="O40" s="104">
        <v>0</v>
      </c>
      <c r="P40" s="48"/>
    </row>
    <row r="41" spans="1:16" s="33" customFormat="1" x14ac:dyDescent="0.25">
      <c r="A41" s="123"/>
      <c r="B41" s="85" t="s">
        <v>139</v>
      </c>
      <c r="C41" s="40" t="s">
        <v>140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4">
        <v>0</v>
      </c>
      <c r="O41" s="104">
        <v>0</v>
      </c>
      <c r="P41" s="48"/>
    </row>
    <row r="42" spans="1:16" s="33" customFormat="1" x14ac:dyDescent="0.25">
      <c r="A42" s="123"/>
      <c r="B42" s="85" t="s">
        <v>141</v>
      </c>
      <c r="C42" s="40" t="s">
        <v>142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4">
        <v>0</v>
      </c>
      <c r="O42" s="104">
        <v>0</v>
      </c>
      <c r="P42" s="48"/>
    </row>
    <row r="43" spans="1:16" s="33" customFormat="1" x14ac:dyDescent="0.25">
      <c r="A43" s="123"/>
      <c r="B43" s="85" t="s">
        <v>143</v>
      </c>
      <c r="C43" s="40" t="s">
        <v>144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</v>
      </c>
      <c r="M43" s="104">
        <v>0</v>
      </c>
      <c r="N43" s="104">
        <v>0</v>
      </c>
      <c r="O43" s="104">
        <v>0</v>
      </c>
      <c r="P43" s="48"/>
    </row>
    <row r="44" spans="1:16" s="33" customFormat="1" x14ac:dyDescent="0.25">
      <c r="B44" s="86" t="s">
        <v>145</v>
      </c>
      <c r="C44" s="46" t="s">
        <v>146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</v>
      </c>
      <c r="J44" s="104">
        <v>1</v>
      </c>
      <c r="K44" s="104">
        <v>0</v>
      </c>
      <c r="L44" s="104">
        <v>0</v>
      </c>
      <c r="M44" s="104">
        <v>0</v>
      </c>
      <c r="N44" s="104">
        <v>0</v>
      </c>
      <c r="O44" s="104">
        <v>0</v>
      </c>
      <c r="P44" s="48"/>
    </row>
    <row r="45" spans="1:16" s="47" customFormat="1" x14ac:dyDescent="0.25">
      <c r="A45" s="124" t="s">
        <v>474</v>
      </c>
      <c r="B45" s="40" t="s">
        <v>475</v>
      </c>
      <c r="C45" s="40" t="s">
        <v>375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33">
        <v>1</v>
      </c>
      <c r="O45" s="104">
        <v>0</v>
      </c>
    </row>
    <row r="46" spans="1:16" x14ac:dyDescent="0.25">
      <c r="B46" s="40" t="s">
        <v>476</v>
      </c>
      <c r="C46" s="33" t="s">
        <v>376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  <c r="I46" s="104">
        <v>0</v>
      </c>
      <c r="J46" s="104">
        <v>0</v>
      </c>
      <c r="K46" s="104">
        <v>0</v>
      </c>
      <c r="L46" s="104">
        <v>0</v>
      </c>
      <c r="M46" s="104">
        <v>0</v>
      </c>
      <c r="N46" s="33">
        <v>1</v>
      </c>
      <c r="O46" s="104">
        <v>0</v>
      </c>
    </row>
    <row r="47" spans="1:16" x14ac:dyDescent="0.25">
      <c r="B47" s="40" t="s">
        <v>477</v>
      </c>
      <c r="C47" s="33" t="s">
        <v>377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4">
        <v>0</v>
      </c>
      <c r="N47" s="33">
        <v>1</v>
      </c>
      <c r="O47" s="104">
        <v>0</v>
      </c>
    </row>
    <row r="48" spans="1:16" x14ac:dyDescent="0.25">
      <c r="A48" s="120" t="s">
        <v>420</v>
      </c>
      <c r="B48" s="126" t="s">
        <v>145</v>
      </c>
      <c r="C48" s="126" t="s">
        <v>421</v>
      </c>
      <c r="D48" s="127">
        <v>0</v>
      </c>
      <c r="E48" s="127">
        <v>0</v>
      </c>
      <c r="F48" s="127">
        <v>0</v>
      </c>
      <c r="G48" s="127">
        <v>0</v>
      </c>
      <c r="H48" s="127">
        <v>0</v>
      </c>
      <c r="I48" s="127">
        <v>0</v>
      </c>
      <c r="J48" s="127">
        <v>1</v>
      </c>
      <c r="K48" s="127">
        <v>0</v>
      </c>
      <c r="L48" s="127">
        <v>0</v>
      </c>
      <c r="M48" s="127">
        <v>0</v>
      </c>
      <c r="N48" s="161">
        <v>0</v>
      </c>
      <c r="O48" s="127">
        <v>0</v>
      </c>
    </row>
    <row r="49" spans="1:17" x14ac:dyDescent="0.25">
      <c r="A49" t="s">
        <v>455</v>
      </c>
      <c r="B49" t="s">
        <v>456</v>
      </c>
      <c r="C49" t="s">
        <v>459</v>
      </c>
      <c r="D49" s="127">
        <v>0</v>
      </c>
      <c r="E49" s="127">
        <v>0</v>
      </c>
      <c r="F49" s="190">
        <v>1</v>
      </c>
      <c r="G49" s="190">
        <v>1</v>
      </c>
      <c r="H49" s="127">
        <v>0</v>
      </c>
      <c r="I49" s="127">
        <v>0</v>
      </c>
      <c r="J49" s="127">
        <v>0</v>
      </c>
      <c r="K49" s="127">
        <v>0</v>
      </c>
      <c r="L49" s="127">
        <v>0</v>
      </c>
      <c r="M49" s="159">
        <v>1</v>
      </c>
      <c r="N49" s="159">
        <v>1</v>
      </c>
      <c r="O49" s="127">
        <v>0</v>
      </c>
    </row>
    <row r="50" spans="1:17" x14ac:dyDescent="0.25">
      <c r="A50" t="s">
        <v>455</v>
      </c>
      <c r="B50" t="s">
        <v>457</v>
      </c>
      <c r="C50" t="s">
        <v>460</v>
      </c>
      <c r="D50" s="127">
        <v>0</v>
      </c>
      <c r="E50" s="127">
        <v>0</v>
      </c>
      <c r="F50" s="127">
        <v>0</v>
      </c>
      <c r="G50" s="127">
        <v>0</v>
      </c>
      <c r="H50" s="127">
        <v>0</v>
      </c>
      <c r="I50" s="127">
        <v>0</v>
      </c>
      <c r="J50" s="127">
        <v>0</v>
      </c>
      <c r="K50" s="127">
        <v>0</v>
      </c>
      <c r="L50" s="127">
        <v>0</v>
      </c>
      <c r="M50" s="159">
        <v>1</v>
      </c>
      <c r="N50" s="159">
        <v>1</v>
      </c>
      <c r="O50" s="127">
        <v>0</v>
      </c>
    </row>
    <row r="51" spans="1:17" x14ac:dyDescent="0.25">
      <c r="A51" t="s">
        <v>455</v>
      </c>
      <c r="B51" t="s">
        <v>458</v>
      </c>
      <c r="C51" t="s">
        <v>461</v>
      </c>
      <c r="D51" s="127">
        <v>0</v>
      </c>
      <c r="E51" s="127">
        <v>0</v>
      </c>
      <c r="F51" s="127">
        <v>0</v>
      </c>
      <c r="G51" s="127">
        <v>0</v>
      </c>
      <c r="H51" s="127">
        <v>0</v>
      </c>
      <c r="I51" s="127">
        <v>0</v>
      </c>
      <c r="J51" s="127">
        <v>0</v>
      </c>
      <c r="K51" s="127">
        <v>0</v>
      </c>
      <c r="L51" s="127">
        <v>0</v>
      </c>
      <c r="M51" s="159">
        <v>1</v>
      </c>
      <c r="N51" s="159">
        <v>1</v>
      </c>
      <c r="O51" s="127">
        <v>0</v>
      </c>
    </row>
    <row r="52" spans="1:17" x14ac:dyDescent="0.25">
      <c r="A52" t="s">
        <v>455</v>
      </c>
      <c r="B52" t="s">
        <v>463</v>
      </c>
      <c r="C52" t="s">
        <v>462</v>
      </c>
      <c r="D52" s="127">
        <v>0</v>
      </c>
      <c r="E52" s="127">
        <v>0</v>
      </c>
      <c r="F52" s="127">
        <v>0</v>
      </c>
      <c r="G52" s="127">
        <v>0</v>
      </c>
      <c r="H52" s="127">
        <v>0</v>
      </c>
      <c r="I52" s="127">
        <v>0</v>
      </c>
      <c r="J52" s="127">
        <v>0</v>
      </c>
      <c r="K52" s="127">
        <v>0</v>
      </c>
      <c r="L52" s="127">
        <v>0</v>
      </c>
      <c r="M52" s="159">
        <v>1</v>
      </c>
      <c r="N52" s="159">
        <v>1</v>
      </c>
      <c r="O52" s="127">
        <v>0</v>
      </c>
    </row>
    <row r="56" spans="1:17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</row>
    <row r="57" spans="1:17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</row>
    <row r="58" spans="1:17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</row>
    <row r="59" spans="1:17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</row>
    <row r="60" spans="1:17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</row>
    <row r="61" spans="1:17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</row>
    <row r="62" spans="1:17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</row>
    <row r="63" spans="1:17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</row>
    <row r="64" spans="1:17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</row>
    <row r="65" spans="1:17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</row>
    <row r="66" spans="1:17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</row>
    <row r="67" spans="1:17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</row>
    <row r="68" spans="1:17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</row>
    <row r="69" spans="1:17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</row>
    <row r="70" spans="1:17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</row>
    <row r="71" spans="1:17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</row>
    <row r="72" spans="1:17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</row>
    <row r="73" spans="1:17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</row>
    <row r="74" spans="1:17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</row>
    <row r="75" spans="1:17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</row>
    <row r="76" spans="1:17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</row>
    <row r="77" spans="1:17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</row>
    <row r="78" spans="1:17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</row>
    <row r="79" spans="1:17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</row>
    <row r="80" spans="1:17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</row>
    <row r="81" spans="1:17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</row>
    <row r="82" spans="1:17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</row>
    <row r="83" spans="1:17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</row>
    <row r="84" spans="1:17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</row>
    <row r="85" spans="1:17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</row>
    <row r="86" spans="1:17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</row>
    <row r="87" spans="1:17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</row>
    <row r="88" spans="1:17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</row>
    <row r="89" spans="1:17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</row>
    <row r="90" spans="1:17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</row>
    <row r="91" spans="1:17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</row>
    <row r="92" spans="1:17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</row>
    <row r="93" spans="1:17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</row>
    <row r="94" spans="1:17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</row>
    <row r="95" spans="1:17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</row>
    <row r="96" spans="1:17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</row>
    <row r="97" spans="1:17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</row>
    <row r="98" spans="1:17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</row>
    <row r="99" spans="1:17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</row>
    <row r="100" spans="1:17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</row>
    <row r="101" spans="1:17" x14ac:dyDescent="0.2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</row>
    <row r="102" spans="1:17" x14ac:dyDescent="0.2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</row>
    <row r="103" spans="1:17" x14ac:dyDescent="0.2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</row>
    <row r="104" spans="1:17" x14ac:dyDescent="0.2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</row>
    <row r="105" spans="1:17" x14ac:dyDescent="0.2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</row>
    <row r="106" spans="1:17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</row>
    <row r="107" spans="1:17" x14ac:dyDescent="0.2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</row>
    <row r="108" spans="1:17" x14ac:dyDescent="0.2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</row>
    <row r="109" spans="1:17" x14ac:dyDescent="0.2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</row>
    <row r="110" spans="1:17" x14ac:dyDescent="0.2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</row>
    <row r="111" spans="1:17" x14ac:dyDescent="0.2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spans="1:17" x14ac:dyDescent="0.2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</row>
    <row r="113" spans="1:17" x14ac:dyDescent="0.2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</row>
    <row r="114" spans="1:17" x14ac:dyDescent="0.2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</row>
    <row r="115" spans="1:17" x14ac:dyDescent="0.2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</row>
    <row r="116" spans="1:17" x14ac:dyDescent="0.2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</row>
    <row r="117" spans="1:17" x14ac:dyDescent="0.2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</row>
    <row r="118" spans="1:17" x14ac:dyDescent="0.2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</row>
    <row r="119" spans="1:17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</row>
    <row r="120" spans="1:17" x14ac:dyDescent="0.2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</row>
    <row r="121" spans="1:17" x14ac:dyDescent="0.2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</row>
    <row r="122" spans="1:17" x14ac:dyDescent="0.2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</row>
    <row r="123" spans="1:17" x14ac:dyDescent="0.2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</row>
    <row r="124" spans="1:17" x14ac:dyDescent="0.2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</row>
    <row r="125" spans="1:17" x14ac:dyDescent="0.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</row>
    <row r="126" spans="1:17" x14ac:dyDescent="0.2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 spans="1:17" x14ac:dyDescent="0.2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 spans="1:17" x14ac:dyDescent="0.2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</row>
    <row r="129" spans="1:17" x14ac:dyDescent="0.2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</row>
    <row r="130" spans="1:17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</row>
    <row r="131" spans="1:17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</row>
    <row r="132" spans="1:17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</row>
    <row r="133" spans="1:17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</row>
    <row r="134" spans="1:17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</row>
    <row r="135" spans="1:17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</row>
    <row r="136" spans="1:17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</row>
    <row r="137" spans="1:17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</row>
    <row r="138" spans="1:17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</row>
    <row r="139" spans="1:17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</row>
    <row r="140" spans="1:17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</row>
    <row r="141" spans="1:17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</row>
    <row r="142" spans="1:17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</row>
    <row r="143" spans="1:17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</row>
    <row r="144" spans="1:17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</row>
    <row r="145" spans="1:17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</row>
    <row r="146" spans="1:17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</row>
    <row r="147" spans="1:17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</row>
    <row r="148" spans="1:17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</row>
    <row r="149" spans="1:17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</row>
    <row r="150" spans="1:17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</row>
    <row r="151" spans="1:17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</row>
    <row r="152" spans="1:17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</row>
    <row r="153" spans="1:17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</row>
    <row r="154" spans="1:17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</row>
    <row r="155" spans="1:17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</row>
    <row r="156" spans="1:17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</row>
    <row r="157" spans="1:17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</row>
    <row r="158" spans="1:17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</row>
    <row r="159" spans="1:17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</row>
    <row r="160" spans="1:17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</row>
    <row r="161" spans="1:17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</row>
    <row r="162" spans="1:17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</row>
    <row r="163" spans="1:17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</row>
    <row r="164" spans="1:17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</row>
    <row r="165" spans="1:17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</row>
    <row r="166" spans="1:17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</row>
    <row r="167" spans="1:17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</row>
    <row r="168" spans="1:17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</row>
    <row r="169" spans="1:17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</row>
    <row r="170" spans="1:17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</row>
    <row r="171" spans="1:17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</row>
    <row r="172" spans="1:17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</row>
    <row r="173" spans="1:17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</row>
    <row r="174" spans="1:17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</row>
    <row r="175" spans="1:17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</row>
    <row r="176" spans="1:17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</row>
    <row r="177" spans="1:17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</row>
    <row r="178" spans="1:17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</row>
    <row r="179" spans="1:17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</row>
    <row r="180" spans="1:17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</row>
    <row r="181" spans="1:17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</row>
    <row r="182" spans="1:17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</row>
    <row r="183" spans="1:17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</row>
    <row r="184" spans="1:17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</row>
    <row r="185" spans="1:17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</row>
    <row r="186" spans="1:17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</row>
  </sheetData>
  <pageMargins left="0.7" right="0.7" top="0.75" bottom="0.75" header="0.3" footer="0.3"/>
  <pageSetup paperSize="9" scale="51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1"/>
  <sheetViews>
    <sheetView topLeftCell="A101" zoomScaleNormal="100" workbookViewId="0">
      <selection activeCell="A56" sqref="A56:Q251"/>
    </sheetView>
  </sheetViews>
  <sheetFormatPr defaultColWidth="8.85546875" defaultRowHeight="15" x14ac:dyDescent="0.25"/>
  <cols>
    <col min="1" max="1" width="23.5703125" customWidth="1"/>
  </cols>
  <sheetData>
    <row r="1" spans="1:14" s="73" customFormat="1" ht="15.75" thickBot="1" x14ac:dyDescent="0.3">
      <c r="A1" s="67"/>
      <c r="B1" s="68"/>
      <c r="C1" s="69" t="s">
        <v>37</v>
      </c>
      <c r="D1" s="69" t="s">
        <v>38</v>
      </c>
      <c r="E1" s="70" t="s">
        <v>39</v>
      </c>
      <c r="F1" s="71" t="s">
        <v>40</v>
      </c>
      <c r="G1" s="70" t="s">
        <v>36</v>
      </c>
      <c r="H1" s="70" t="s">
        <v>41</v>
      </c>
      <c r="I1" s="72" t="s">
        <v>42</v>
      </c>
      <c r="J1" s="72" t="s">
        <v>43</v>
      </c>
      <c r="K1" s="72" t="s">
        <v>44</v>
      </c>
      <c r="L1" s="72" t="s">
        <v>45</v>
      </c>
      <c r="M1" s="70" t="s">
        <v>46</v>
      </c>
      <c r="N1" s="72" t="s">
        <v>47</v>
      </c>
    </row>
    <row r="2" spans="1:14" ht="15.75" thickBot="1" x14ac:dyDescent="0.3">
      <c r="A2" s="26" t="s">
        <v>0</v>
      </c>
      <c r="B2" s="28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27"/>
      <c r="N2" s="2"/>
    </row>
    <row r="3" spans="1:14" x14ac:dyDescent="0.25">
      <c r="A3" s="40" t="s">
        <v>147</v>
      </c>
      <c r="B3" s="40" t="s">
        <v>11</v>
      </c>
      <c r="C3" s="104">
        <v>0</v>
      </c>
      <c r="D3" s="104">
        <v>0</v>
      </c>
      <c r="E3" s="104">
        <v>0</v>
      </c>
      <c r="F3" s="104">
        <v>0</v>
      </c>
      <c r="G3" s="104">
        <v>0</v>
      </c>
      <c r="H3" s="104">
        <v>0</v>
      </c>
      <c r="I3" s="104">
        <v>0</v>
      </c>
      <c r="J3" s="104">
        <v>0</v>
      </c>
      <c r="K3" s="104">
        <v>0</v>
      </c>
      <c r="L3" s="104">
        <v>0</v>
      </c>
      <c r="M3" s="104">
        <v>0</v>
      </c>
      <c r="N3" s="104">
        <v>0</v>
      </c>
    </row>
    <row r="4" spans="1:14" x14ac:dyDescent="0.25">
      <c r="A4" s="40" t="s">
        <v>148</v>
      </c>
      <c r="B4" s="40" t="s">
        <v>12</v>
      </c>
      <c r="C4" s="104">
        <v>0</v>
      </c>
      <c r="D4" s="104">
        <v>0</v>
      </c>
      <c r="E4" s="104">
        <v>0</v>
      </c>
      <c r="F4" s="104">
        <v>0</v>
      </c>
      <c r="G4" s="104">
        <v>0</v>
      </c>
      <c r="H4" s="104">
        <v>0</v>
      </c>
      <c r="I4" s="104">
        <v>0</v>
      </c>
      <c r="J4" s="104">
        <v>0</v>
      </c>
      <c r="K4" s="104">
        <v>0</v>
      </c>
      <c r="L4" s="104">
        <v>0</v>
      </c>
      <c r="M4" s="104">
        <v>0</v>
      </c>
      <c r="N4" s="104">
        <v>0</v>
      </c>
    </row>
    <row r="5" spans="1:14" x14ac:dyDescent="0.25">
      <c r="A5" s="40" t="s">
        <v>149</v>
      </c>
      <c r="B5" s="40" t="s">
        <v>13</v>
      </c>
      <c r="C5" s="104">
        <v>0</v>
      </c>
      <c r="D5" s="104">
        <v>0</v>
      </c>
      <c r="E5" s="104">
        <v>0</v>
      </c>
      <c r="F5" s="104">
        <v>0</v>
      </c>
      <c r="G5" s="104">
        <v>0</v>
      </c>
      <c r="H5" s="104">
        <v>0</v>
      </c>
      <c r="I5" s="104">
        <v>0</v>
      </c>
      <c r="J5" s="104">
        <v>0</v>
      </c>
      <c r="K5" s="104">
        <v>0</v>
      </c>
      <c r="L5" s="104">
        <v>0</v>
      </c>
      <c r="M5" s="104">
        <v>0</v>
      </c>
      <c r="N5" s="104">
        <v>0</v>
      </c>
    </row>
    <row r="6" spans="1:14" x14ac:dyDescent="0.25">
      <c r="A6" s="40" t="s">
        <v>150</v>
      </c>
      <c r="B6" s="40" t="s">
        <v>14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4">
        <v>0</v>
      </c>
      <c r="L6" s="104">
        <v>0</v>
      </c>
      <c r="M6" s="104">
        <v>0</v>
      </c>
      <c r="N6" s="104">
        <v>0</v>
      </c>
    </row>
    <row r="7" spans="1:14" s="140" customFormat="1" x14ac:dyDescent="0.25">
      <c r="A7" s="136" t="s">
        <v>151</v>
      </c>
      <c r="B7" s="136" t="s">
        <v>2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</row>
    <row r="8" spans="1:14" s="140" customFormat="1" x14ac:dyDescent="0.25">
      <c r="A8" s="136" t="s">
        <v>152</v>
      </c>
      <c r="B8" s="136" t="s">
        <v>3</v>
      </c>
      <c r="C8" s="152">
        <v>0</v>
      </c>
      <c r="D8" s="152">
        <v>0</v>
      </c>
      <c r="E8" s="152">
        <v>0</v>
      </c>
      <c r="F8" s="152">
        <v>0</v>
      </c>
      <c r="G8" s="152">
        <v>0</v>
      </c>
      <c r="H8" s="152">
        <v>0</v>
      </c>
      <c r="I8" s="152">
        <v>0</v>
      </c>
      <c r="J8" s="152">
        <v>0</v>
      </c>
      <c r="K8" s="152">
        <v>0</v>
      </c>
      <c r="L8" s="152">
        <v>0</v>
      </c>
      <c r="M8" s="152">
        <v>0</v>
      </c>
      <c r="N8" s="152">
        <v>0</v>
      </c>
    </row>
    <row r="9" spans="1:14" s="140" customFormat="1" x14ac:dyDescent="0.25">
      <c r="A9" s="136" t="s">
        <v>153</v>
      </c>
      <c r="B9" s="136" t="s">
        <v>4</v>
      </c>
      <c r="C9" s="152">
        <v>0</v>
      </c>
      <c r="D9" s="152">
        <v>0</v>
      </c>
      <c r="E9" s="152">
        <v>0</v>
      </c>
      <c r="F9" s="152">
        <v>0</v>
      </c>
      <c r="G9" s="152">
        <v>0</v>
      </c>
      <c r="H9" s="152">
        <v>0</v>
      </c>
      <c r="I9" s="152">
        <v>0</v>
      </c>
      <c r="J9" s="152">
        <v>0</v>
      </c>
      <c r="K9" s="152">
        <v>0</v>
      </c>
      <c r="L9" s="152">
        <v>0</v>
      </c>
      <c r="M9" s="152">
        <v>0</v>
      </c>
      <c r="N9" s="152">
        <v>0</v>
      </c>
    </row>
    <row r="10" spans="1:14" s="140" customFormat="1" x14ac:dyDescent="0.25">
      <c r="A10" s="136" t="s">
        <v>154</v>
      </c>
      <c r="B10" s="136" t="s">
        <v>5</v>
      </c>
      <c r="C10" s="152">
        <v>0</v>
      </c>
      <c r="D10" s="152">
        <v>0</v>
      </c>
      <c r="E10" s="152">
        <v>0</v>
      </c>
      <c r="F10" s="152">
        <v>0</v>
      </c>
      <c r="G10" s="152">
        <v>0</v>
      </c>
      <c r="H10" s="152">
        <v>0</v>
      </c>
      <c r="I10" s="152">
        <v>0</v>
      </c>
      <c r="J10" s="152">
        <v>0</v>
      </c>
      <c r="K10" s="152">
        <v>0</v>
      </c>
      <c r="L10" s="152">
        <v>0</v>
      </c>
      <c r="M10" s="152">
        <v>0</v>
      </c>
      <c r="N10" s="152">
        <v>0</v>
      </c>
    </row>
    <row r="11" spans="1:14" s="140" customFormat="1" x14ac:dyDescent="0.25">
      <c r="A11" s="136" t="s">
        <v>155</v>
      </c>
      <c r="B11" s="136" t="s">
        <v>6</v>
      </c>
      <c r="C11" s="152">
        <v>0</v>
      </c>
      <c r="D11" s="152">
        <v>0</v>
      </c>
      <c r="E11" s="152">
        <v>0</v>
      </c>
      <c r="F11" s="152">
        <v>0</v>
      </c>
      <c r="G11" s="152">
        <v>0</v>
      </c>
      <c r="H11" s="152">
        <v>0</v>
      </c>
      <c r="I11" s="152">
        <v>0</v>
      </c>
      <c r="J11" s="152">
        <v>0</v>
      </c>
      <c r="K11" s="152">
        <v>0</v>
      </c>
      <c r="L11" s="152">
        <v>0</v>
      </c>
      <c r="M11" s="152">
        <v>0</v>
      </c>
      <c r="N11" s="152">
        <v>0</v>
      </c>
    </row>
    <row r="12" spans="1:14" s="140" customFormat="1" x14ac:dyDescent="0.25">
      <c r="A12" s="136" t="s">
        <v>156</v>
      </c>
      <c r="B12" s="136" t="s">
        <v>157</v>
      </c>
      <c r="C12" s="152">
        <v>0</v>
      </c>
      <c r="D12" s="152">
        <v>0</v>
      </c>
      <c r="E12" s="152">
        <v>0</v>
      </c>
      <c r="F12" s="152">
        <v>0</v>
      </c>
      <c r="G12" s="152">
        <v>0</v>
      </c>
      <c r="H12" s="152">
        <v>0</v>
      </c>
      <c r="I12" s="152">
        <v>1</v>
      </c>
      <c r="J12" s="152">
        <v>0</v>
      </c>
      <c r="K12" s="152">
        <v>0</v>
      </c>
      <c r="L12" s="152">
        <v>0</v>
      </c>
      <c r="M12" s="152">
        <v>1</v>
      </c>
      <c r="N12" s="152">
        <v>0</v>
      </c>
    </row>
    <row r="13" spans="1:14" s="140" customFormat="1" x14ac:dyDescent="0.25">
      <c r="A13" s="136" t="s">
        <v>158</v>
      </c>
      <c r="B13" s="136" t="s">
        <v>159</v>
      </c>
      <c r="C13" s="152">
        <v>0</v>
      </c>
      <c r="D13" s="152">
        <v>0</v>
      </c>
      <c r="E13" s="152">
        <v>0</v>
      </c>
      <c r="F13" s="152">
        <v>0</v>
      </c>
      <c r="G13" s="152">
        <v>0</v>
      </c>
      <c r="H13" s="152">
        <v>0</v>
      </c>
      <c r="I13" s="152">
        <v>0</v>
      </c>
      <c r="J13" s="152">
        <v>0</v>
      </c>
      <c r="K13" s="152">
        <v>0</v>
      </c>
      <c r="L13" s="152">
        <v>0</v>
      </c>
      <c r="M13" s="152">
        <v>0</v>
      </c>
      <c r="N13" s="152">
        <v>0</v>
      </c>
    </row>
    <row r="14" spans="1:14" s="140" customFormat="1" x14ac:dyDescent="0.25">
      <c r="A14" s="136" t="s">
        <v>160</v>
      </c>
      <c r="B14" s="136" t="s">
        <v>8</v>
      </c>
      <c r="C14" s="152">
        <v>0</v>
      </c>
      <c r="D14" s="152">
        <v>0</v>
      </c>
      <c r="E14" s="152">
        <v>0</v>
      </c>
      <c r="F14" s="152">
        <v>0</v>
      </c>
      <c r="G14" s="152">
        <v>0</v>
      </c>
      <c r="H14" s="152">
        <v>0</v>
      </c>
      <c r="I14" s="152">
        <v>0</v>
      </c>
      <c r="J14" s="152">
        <v>0</v>
      </c>
      <c r="K14" s="152">
        <v>0</v>
      </c>
      <c r="L14" s="152">
        <v>0</v>
      </c>
      <c r="M14" s="152">
        <v>0</v>
      </c>
      <c r="N14" s="152">
        <v>0</v>
      </c>
    </row>
    <row r="15" spans="1:14" s="140" customFormat="1" x14ac:dyDescent="0.25">
      <c r="A15" s="136" t="s">
        <v>161</v>
      </c>
      <c r="B15" s="136" t="s">
        <v>9</v>
      </c>
      <c r="C15" s="152">
        <v>0</v>
      </c>
      <c r="D15" s="152">
        <v>0</v>
      </c>
      <c r="E15" s="152">
        <v>0</v>
      </c>
      <c r="F15" s="152">
        <v>0</v>
      </c>
      <c r="G15" s="152">
        <v>0</v>
      </c>
      <c r="H15" s="152">
        <v>0</v>
      </c>
      <c r="I15" s="152">
        <v>0</v>
      </c>
      <c r="J15" s="152">
        <v>0</v>
      </c>
      <c r="K15" s="152">
        <v>0</v>
      </c>
      <c r="L15" s="152">
        <v>0</v>
      </c>
      <c r="M15" s="152">
        <v>0</v>
      </c>
      <c r="N15" s="152">
        <v>0</v>
      </c>
    </row>
    <row r="16" spans="1:14" s="140" customFormat="1" x14ac:dyDescent="0.25">
      <c r="A16" s="136" t="s">
        <v>162</v>
      </c>
      <c r="B16" s="136" t="s">
        <v>10</v>
      </c>
      <c r="C16" s="152">
        <v>0</v>
      </c>
      <c r="D16" s="152">
        <v>0</v>
      </c>
      <c r="E16" s="152">
        <v>0</v>
      </c>
      <c r="F16" s="152">
        <v>0</v>
      </c>
      <c r="G16" s="152">
        <v>0</v>
      </c>
      <c r="H16" s="152">
        <v>0</v>
      </c>
      <c r="I16" s="152">
        <v>0</v>
      </c>
      <c r="J16" s="152">
        <v>0</v>
      </c>
      <c r="K16" s="152">
        <v>0</v>
      </c>
      <c r="L16" s="152">
        <v>0</v>
      </c>
      <c r="M16" s="152">
        <v>0</v>
      </c>
      <c r="N16" s="152">
        <v>0</v>
      </c>
    </row>
    <row r="17" spans="1:21" s="140" customFormat="1" x14ac:dyDescent="0.25">
      <c r="A17" s="136" t="s">
        <v>163</v>
      </c>
      <c r="B17" s="136" t="s">
        <v>164</v>
      </c>
      <c r="C17" s="152">
        <v>0</v>
      </c>
      <c r="D17" s="152">
        <v>0</v>
      </c>
      <c r="E17" s="152">
        <v>0</v>
      </c>
      <c r="F17" s="152">
        <v>0</v>
      </c>
      <c r="G17" s="152">
        <v>0</v>
      </c>
      <c r="H17" s="152">
        <v>0</v>
      </c>
      <c r="I17" s="152">
        <v>0</v>
      </c>
      <c r="J17" s="152">
        <v>0</v>
      </c>
      <c r="K17" s="152">
        <v>0</v>
      </c>
      <c r="L17" s="152">
        <v>0</v>
      </c>
      <c r="M17" s="152">
        <v>0</v>
      </c>
      <c r="N17" s="152">
        <v>0</v>
      </c>
    </row>
    <row r="18" spans="1:21" s="140" customFormat="1" x14ac:dyDescent="0.25">
      <c r="A18" s="136" t="s">
        <v>165</v>
      </c>
      <c r="B18" s="136" t="s">
        <v>7</v>
      </c>
      <c r="C18" s="152">
        <v>0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0</v>
      </c>
      <c r="L18" s="152">
        <v>0</v>
      </c>
      <c r="M18" s="152">
        <v>0</v>
      </c>
      <c r="N18" s="152">
        <v>0</v>
      </c>
    </row>
    <row r="19" spans="1:21" x14ac:dyDescent="0.25">
      <c r="A19" s="40"/>
      <c r="B19" s="40"/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95">
        <v>1</v>
      </c>
      <c r="L19" s="104">
        <v>0</v>
      </c>
      <c r="M19" s="104">
        <v>0</v>
      </c>
      <c r="N19" s="104">
        <v>0</v>
      </c>
    </row>
    <row r="20" spans="1:21" x14ac:dyDescent="0.25">
      <c r="A20" s="44"/>
      <c r="B20" s="44"/>
    </row>
    <row r="21" spans="1:21" x14ac:dyDescent="0.25">
      <c r="K21" s="179">
        <v>1</v>
      </c>
    </row>
    <row r="22" spans="1:21" x14ac:dyDescent="0.25">
      <c r="A22" s="49"/>
      <c r="B22" s="50"/>
      <c r="C22" s="32" t="s">
        <v>37</v>
      </c>
      <c r="D22" s="32" t="s">
        <v>38</v>
      </c>
      <c r="E22" s="32" t="s">
        <v>39</v>
      </c>
      <c r="F22" s="32" t="s">
        <v>329</v>
      </c>
      <c r="G22" s="32" t="s">
        <v>36</v>
      </c>
      <c r="H22" s="32" t="s">
        <v>41</v>
      </c>
      <c r="I22" s="32" t="s">
        <v>42</v>
      </c>
      <c r="J22" s="32">
        <v>0</v>
      </c>
      <c r="K22" s="32" t="s">
        <v>44</v>
      </c>
      <c r="L22" s="32" t="s">
        <v>45</v>
      </c>
      <c r="M22" s="32" t="s">
        <v>46</v>
      </c>
      <c r="N22" s="32" t="s">
        <v>47</v>
      </c>
      <c r="U22">
        <v>8</v>
      </c>
    </row>
    <row r="23" spans="1:21" x14ac:dyDescent="0.25">
      <c r="A23" s="53" t="s">
        <v>0</v>
      </c>
      <c r="B23" s="50" t="s">
        <v>1</v>
      </c>
      <c r="C23" s="32"/>
      <c r="D23" s="32"/>
      <c r="E23" s="32"/>
      <c r="F23" s="32"/>
      <c r="G23" s="32"/>
      <c r="H23" s="32"/>
      <c r="I23" s="32"/>
      <c r="J23" s="32">
        <v>0</v>
      </c>
      <c r="K23" s="32"/>
      <c r="L23" s="32"/>
      <c r="M23" s="32"/>
      <c r="N23" s="32"/>
      <c r="U23">
        <v>8</v>
      </c>
    </row>
    <row r="24" spans="1:21" x14ac:dyDescent="0.25">
      <c r="A24" s="40" t="s">
        <v>328</v>
      </c>
      <c r="B24" s="40" t="s">
        <v>35</v>
      </c>
      <c r="C24" s="104">
        <v>0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</v>
      </c>
      <c r="J24" s="104">
        <v>0</v>
      </c>
      <c r="K24" s="104">
        <v>0</v>
      </c>
      <c r="L24" s="104">
        <v>0</v>
      </c>
      <c r="M24" s="104">
        <v>0</v>
      </c>
      <c r="N24" s="104">
        <v>0</v>
      </c>
    </row>
    <row r="25" spans="1:21" x14ac:dyDescent="0.25">
      <c r="A25" s="40" t="s">
        <v>166</v>
      </c>
      <c r="B25" s="40" t="s">
        <v>167</v>
      </c>
      <c r="C25" s="104">
        <v>0</v>
      </c>
      <c r="D25" s="104">
        <v>0</v>
      </c>
      <c r="E25" s="104">
        <v>0</v>
      </c>
      <c r="F25" s="104">
        <v>0</v>
      </c>
      <c r="G25" s="104">
        <v>0</v>
      </c>
      <c r="H25" s="104">
        <v>0</v>
      </c>
      <c r="I25" s="104">
        <v>0</v>
      </c>
      <c r="J25" s="104">
        <v>0</v>
      </c>
      <c r="K25" s="104">
        <v>0</v>
      </c>
      <c r="L25" s="104">
        <v>0</v>
      </c>
      <c r="M25" s="104">
        <v>0</v>
      </c>
      <c r="N25" s="104">
        <v>0</v>
      </c>
    </row>
    <row r="26" spans="1:21" x14ac:dyDescent="0.25">
      <c r="A26" s="40" t="s">
        <v>168</v>
      </c>
      <c r="B26" s="40" t="s">
        <v>169</v>
      </c>
      <c r="C26" s="104">
        <v>0</v>
      </c>
      <c r="D26" s="104">
        <v>0</v>
      </c>
      <c r="E26" s="104">
        <v>0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</v>
      </c>
    </row>
    <row r="27" spans="1:21" x14ac:dyDescent="0.25">
      <c r="A27" s="40" t="s">
        <v>170</v>
      </c>
      <c r="B27" s="40" t="s">
        <v>29</v>
      </c>
      <c r="C27" s="104">
        <v>0</v>
      </c>
      <c r="D27" s="104">
        <v>0</v>
      </c>
      <c r="E27" s="104">
        <v>0</v>
      </c>
      <c r="F27" s="104">
        <v>0</v>
      </c>
      <c r="G27" s="3">
        <v>1</v>
      </c>
      <c r="H27" s="3">
        <v>1</v>
      </c>
      <c r="I27" s="3">
        <v>1</v>
      </c>
      <c r="J27" s="3">
        <v>1</v>
      </c>
      <c r="K27" s="104">
        <v>1</v>
      </c>
      <c r="L27" s="104">
        <v>0</v>
      </c>
      <c r="M27" s="104">
        <v>0</v>
      </c>
      <c r="N27" s="104">
        <v>0</v>
      </c>
    </row>
    <row r="28" spans="1:21" x14ac:dyDescent="0.25">
      <c r="A28" s="40" t="s">
        <v>171</v>
      </c>
      <c r="B28" s="40" t="s">
        <v>30</v>
      </c>
      <c r="C28" s="104">
        <v>0</v>
      </c>
      <c r="D28" s="104">
        <v>0</v>
      </c>
      <c r="E28" s="104">
        <v>0</v>
      </c>
      <c r="F28" s="104">
        <v>0</v>
      </c>
      <c r="G28" s="3">
        <v>1</v>
      </c>
      <c r="H28" s="3">
        <v>1</v>
      </c>
      <c r="I28" s="3">
        <v>1</v>
      </c>
      <c r="J28" s="3">
        <v>1</v>
      </c>
      <c r="K28" s="104">
        <v>1</v>
      </c>
      <c r="L28" s="104">
        <v>0</v>
      </c>
      <c r="M28" s="104">
        <v>1</v>
      </c>
      <c r="N28" s="104">
        <v>0</v>
      </c>
      <c r="U28">
        <v>7</v>
      </c>
    </row>
    <row r="29" spans="1:21" x14ac:dyDescent="0.25">
      <c r="A29" s="40" t="s">
        <v>172</v>
      </c>
      <c r="B29" s="40" t="s">
        <v>31</v>
      </c>
      <c r="C29" s="104">
        <v>0</v>
      </c>
      <c r="D29" s="104">
        <v>0</v>
      </c>
      <c r="E29" s="104">
        <v>0</v>
      </c>
      <c r="F29" s="104">
        <v>0</v>
      </c>
      <c r="G29" s="77">
        <v>1</v>
      </c>
      <c r="H29" s="77">
        <v>1</v>
      </c>
      <c r="I29" s="77">
        <v>1</v>
      </c>
      <c r="J29" s="77">
        <v>1</v>
      </c>
      <c r="K29" s="104">
        <v>1</v>
      </c>
      <c r="L29" s="104">
        <v>0</v>
      </c>
      <c r="M29" s="104">
        <v>1</v>
      </c>
      <c r="N29" s="104">
        <v>0</v>
      </c>
      <c r="U29">
        <v>7</v>
      </c>
    </row>
    <row r="30" spans="1:21" x14ac:dyDescent="0.25">
      <c r="A30" s="40" t="s">
        <v>173</v>
      </c>
      <c r="B30" s="40" t="s">
        <v>32</v>
      </c>
      <c r="C30" s="104">
        <v>0</v>
      </c>
      <c r="D30" s="104">
        <v>0</v>
      </c>
      <c r="E30" s="152">
        <v>1</v>
      </c>
      <c r="F30" s="104">
        <v>0</v>
      </c>
      <c r="G30" s="77">
        <v>1</v>
      </c>
      <c r="H30" s="32"/>
      <c r="I30" s="77">
        <v>1</v>
      </c>
      <c r="J30" s="77">
        <v>1</v>
      </c>
      <c r="K30" s="104">
        <v>0</v>
      </c>
      <c r="L30" s="104">
        <v>0</v>
      </c>
      <c r="M30" s="104">
        <v>0</v>
      </c>
      <c r="N30" s="104">
        <v>0</v>
      </c>
    </row>
    <row r="31" spans="1:21" x14ac:dyDescent="0.25">
      <c r="A31" s="40" t="s">
        <v>174</v>
      </c>
      <c r="B31" s="40" t="s">
        <v>33</v>
      </c>
      <c r="C31" s="104">
        <v>0</v>
      </c>
      <c r="D31" s="104">
        <v>0</v>
      </c>
      <c r="E31" s="152">
        <v>1</v>
      </c>
      <c r="F31" s="104">
        <v>0</v>
      </c>
      <c r="G31" s="104">
        <v>0</v>
      </c>
      <c r="H31" s="104">
        <v>0</v>
      </c>
      <c r="I31" s="104">
        <v>0</v>
      </c>
      <c r="J31" s="104">
        <v>0</v>
      </c>
      <c r="K31" s="104">
        <v>0</v>
      </c>
      <c r="L31" s="104">
        <v>0</v>
      </c>
      <c r="M31" s="104">
        <v>0</v>
      </c>
      <c r="N31" s="104">
        <v>0</v>
      </c>
    </row>
    <row r="32" spans="1:21" x14ac:dyDescent="0.25">
      <c r="A32" s="40" t="s">
        <v>175</v>
      </c>
      <c r="B32" s="40" t="s">
        <v>34</v>
      </c>
      <c r="C32" s="104">
        <v>0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  <c r="I32" s="3">
        <v>1</v>
      </c>
      <c r="J32" s="104">
        <v>0</v>
      </c>
      <c r="K32" s="104">
        <v>0</v>
      </c>
      <c r="L32" s="104">
        <v>0</v>
      </c>
      <c r="M32" s="104">
        <v>0</v>
      </c>
      <c r="N32" s="104">
        <v>0</v>
      </c>
    </row>
    <row r="33" spans="1:19" x14ac:dyDescent="0.25">
      <c r="A33" s="134"/>
      <c r="B33" s="134" t="s">
        <v>433</v>
      </c>
      <c r="C33" s="135"/>
      <c r="D33" s="135"/>
      <c r="E33" s="135"/>
      <c r="F33" s="135"/>
      <c r="G33" s="135"/>
      <c r="H33" s="135"/>
      <c r="I33" s="118">
        <v>1</v>
      </c>
      <c r="J33" s="135"/>
      <c r="K33" s="135">
        <v>1</v>
      </c>
      <c r="L33" s="135"/>
      <c r="M33" s="135"/>
      <c r="N33" s="135"/>
    </row>
    <row r="34" spans="1:19" x14ac:dyDescent="0.25">
      <c r="A34" s="40"/>
      <c r="B34" s="40" t="s">
        <v>351</v>
      </c>
      <c r="C34" s="104">
        <v>0</v>
      </c>
      <c r="D34" s="104">
        <v>0</v>
      </c>
      <c r="E34" s="104">
        <v>0</v>
      </c>
      <c r="F34" s="104">
        <v>0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104">
        <v>0</v>
      </c>
      <c r="M34" s="104">
        <v>0</v>
      </c>
      <c r="N34" s="104">
        <v>0</v>
      </c>
    </row>
    <row r="35" spans="1:19" x14ac:dyDescent="0.25">
      <c r="A35" s="40"/>
      <c r="B35" s="40" t="s">
        <v>356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3">
        <v>1</v>
      </c>
      <c r="I35" s="3">
        <v>1</v>
      </c>
      <c r="J35" s="3"/>
      <c r="K35" s="3">
        <v>1</v>
      </c>
      <c r="L35" s="104">
        <v>0</v>
      </c>
      <c r="M35" s="152">
        <v>1</v>
      </c>
      <c r="N35" s="104">
        <v>0</v>
      </c>
    </row>
    <row r="36" spans="1:19" x14ac:dyDescent="0.25">
      <c r="A36" s="40"/>
      <c r="B36" s="40" t="s">
        <v>352</v>
      </c>
      <c r="C36" s="104">
        <v>0</v>
      </c>
      <c r="D36" s="104">
        <v>0</v>
      </c>
      <c r="E36" s="104">
        <v>0</v>
      </c>
      <c r="F36" s="104">
        <v>0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104">
        <v>0</v>
      </c>
      <c r="M36" s="104">
        <v>0</v>
      </c>
      <c r="N36" s="104">
        <v>0</v>
      </c>
    </row>
    <row r="37" spans="1:19" x14ac:dyDescent="0.25">
      <c r="A37" s="40"/>
      <c r="B37" s="40" t="s">
        <v>358</v>
      </c>
      <c r="C37" s="104">
        <v>0</v>
      </c>
      <c r="D37" s="104">
        <v>0</v>
      </c>
      <c r="E37" s="104">
        <v>0</v>
      </c>
      <c r="F37" s="104">
        <v>0</v>
      </c>
      <c r="G37" s="104">
        <v>0</v>
      </c>
      <c r="H37" s="3">
        <v>1</v>
      </c>
      <c r="I37" s="3">
        <v>1</v>
      </c>
      <c r="J37" s="104">
        <v>0</v>
      </c>
      <c r="K37" s="3">
        <v>1</v>
      </c>
      <c r="L37" s="104">
        <v>0</v>
      </c>
      <c r="M37" s="104">
        <v>0</v>
      </c>
      <c r="N37" s="104">
        <v>0</v>
      </c>
    </row>
    <row r="38" spans="1:19" x14ac:dyDescent="0.25">
      <c r="A38" s="40"/>
      <c r="B38" s="40" t="s">
        <v>353</v>
      </c>
      <c r="C38" s="104">
        <v>0</v>
      </c>
      <c r="D38" s="104">
        <v>0</v>
      </c>
      <c r="E38" s="104">
        <v>0</v>
      </c>
      <c r="F38" s="104">
        <v>0</v>
      </c>
      <c r="G38" s="3">
        <v>1</v>
      </c>
      <c r="H38" s="3"/>
      <c r="I38" s="142">
        <v>1</v>
      </c>
      <c r="J38" s="3">
        <v>1</v>
      </c>
      <c r="K38" s="3">
        <v>1</v>
      </c>
      <c r="L38" s="152">
        <v>1</v>
      </c>
      <c r="M38" s="104">
        <v>0</v>
      </c>
      <c r="N38" s="104">
        <v>0</v>
      </c>
    </row>
    <row r="39" spans="1:19" x14ac:dyDescent="0.25">
      <c r="A39" s="40"/>
      <c r="B39" s="40" t="s">
        <v>359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33">
        <v>1</v>
      </c>
      <c r="I39" s="33">
        <v>1</v>
      </c>
      <c r="J39" s="104">
        <v>0</v>
      </c>
      <c r="K39" s="33">
        <v>1</v>
      </c>
      <c r="L39" s="104">
        <v>0</v>
      </c>
      <c r="M39" s="104">
        <v>0</v>
      </c>
      <c r="N39" s="104">
        <v>0</v>
      </c>
    </row>
    <row r="40" spans="1:19" x14ac:dyDescent="0.25">
      <c r="A40" s="40"/>
      <c r="B40" s="40" t="s">
        <v>354</v>
      </c>
      <c r="C40" s="104">
        <v>0</v>
      </c>
      <c r="D40" s="104">
        <v>0</v>
      </c>
      <c r="E40" s="104">
        <v>0</v>
      </c>
      <c r="F40" s="104">
        <v>0</v>
      </c>
      <c r="G40" s="33">
        <v>1</v>
      </c>
      <c r="H40" s="33">
        <v>1</v>
      </c>
      <c r="I40" s="33">
        <v>1</v>
      </c>
      <c r="J40" s="104">
        <v>0</v>
      </c>
      <c r="K40" s="33">
        <v>1</v>
      </c>
      <c r="L40" s="104">
        <v>0</v>
      </c>
      <c r="M40" s="104">
        <v>0</v>
      </c>
      <c r="N40" s="104">
        <v>0</v>
      </c>
    </row>
    <row r="41" spans="1:19" x14ac:dyDescent="0.25">
      <c r="A41" s="40"/>
      <c r="B41" s="40" t="s">
        <v>355</v>
      </c>
      <c r="C41" s="104">
        <v>0</v>
      </c>
      <c r="D41" s="104">
        <v>0</v>
      </c>
      <c r="E41" s="104">
        <v>0</v>
      </c>
      <c r="F41" s="104">
        <v>0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104">
        <v>0</v>
      </c>
      <c r="M41" s="104">
        <v>0</v>
      </c>
      <c r="N41" s="104">
        <v>0</v>
      </c>
    </row>
    <row r="42" spans="1:19" x14ac:dyDescent="0.25">
      <c r="A42" s="40"/>
      <c r="B42" s="40" t="s">
        <v>357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33">
        <v>1</v>
      </c>
      <c r="I42" s="33">
        <v>1</v>
      </c>
      <c r="J42" s="104">
        <v>0</v>
      </c>
      <c r="K42" s="33">
        <v>1</v>
      </c>
      <c r="L42" s="104">
        <v>0</v>
      </c>
      <c r="M42" s="104">
        <v>0</v>
      </c>
      <c r="N42" s="104">
        <v>0</v>
      </c>
    </row>
    <row r="43" spans="1:19" ht="15.75" thickBot="1" x14ac:dyDescent="0.3">
      <c r="S43" s="74"/>
    </row>
    <row r="44" spans="1:19" x14ac:dyDescent="0.25">
      <c r="A44" s="106"/>
      <c r="B44" s="107"/>
      <c r="C44" s="107" t="s">
        <v>37</v>
      </c>
      <c r="D44" s="107" t="s">
        <v>38</v>
      </c>
      <c r="E44" s="107" t="s">
        <v>39</v>
      </c>
      <c r="F44" s="107" t="s">
        <v>40</v>
      </c>
      <c r="G44" s="107" t="s">
        <v>36</v>
      </c>
      <c r="H44" s="107" t="s">
        <v>41</v>
      </c>
      <c r="I44" s="107" t="s">
        <v>42</v>
      </c>
      <c r="J44" s="107" t="s">
        <v>43</v>
      </c>
      <c r="K44" s="107" t="s">
        <v>44</v>
      </c>
      <c r="L44" s="107" t="s">
        <v>45</v>
      </c>
      <c r="M44" s="107" t="s">
        <v>46</v>
      </c>
      <c r="N44" s="108" t="s">
        <v>47</v>
      </c>
      <c r="S44" s="74"/>
    </row>
    <row r="45" spans="1:19" ht="15.75" thickBot="1" x14ac:dyDescent="0.3">
      <c r="A45" s="109" t="s">
        <v>0</v>
      </c>
      <c r="B45" s="110" t="s">
        <v>1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1"/>
    </row>
    <row r="46" spans="1:19" x14ac:dyDescent="0.25">
      <c r="A46" s="105" t="s">
        <v>386</v>
      </c>
      <c r="B46" s="105">
        <v>1</v>
      </c>
      <c r="C46" s="105">
        <v>0</v>
      </c>
      <c r="D46" s="105">
        <v>0</v>
      </c>
      <c r="E46" s="105">
        <v>0</v>
      </c>
      <c r="F46" s="105">
        <v>0</v>
      </c>
      <c r="G46" s="105">
        <v>0</v>
      </c>
      <c r="H46" s="105">
        <v>0</v>
      </c>
      <c r="I46" s="105">
        <v>1</v>
      </c>
      <c r="J46" s="105">
        <v>0</v>
      </c>
      <c r="K46" s="105">
        <v>0</v>
      </c>
      <c r="L46" s="105">
        <v>0</v>
      </c>
      <c r="M46" s="105">
        <v>0</v>
      </c>
      <c r="N46" s="105">
        <v>0</v>
      </c>
    </row>
    <row r="47" spans="1:19" x14ac:dyDescent="0.25">
      <c r="A47" s="33"/>
      <c r="B47" s="33">
        <v>2</v>
      </c>
      <c r="C47" s="105">
        <v>0</v>
      </c>
      <c r="D47" s="105">
        <v>0</v>
      </c>
      <c r="E47" s="105">
        <v>0</v>
      </c>
      <c r="F47" s="105">
        <v>0</v>
      </c>
      <c r="G47" s="105">
        <v>0</v>
      </c>
      <c r="H47" s="105">
        <v>0</v>
      </c>
      <c r="I47" s="33">
        <v>1</v>
      </c>
      <c r="J47" s="105">
        <v>0</v>
      </c>
      <c r="K47" s="105">
        <v>0</v>
      </c>
      <c r="L47" s="105">
        <v>0</v>
      </c>
      <c r="M47" s="105">
        <v>0</v>
      </c>
      <c r="N47" s="105">
        <v>0</v>
      </c>
    </row>
    <row r="48" spans="1:19" x14ac:dyDescent="0.25">
      <c r="A48" s="33"/>
      <c r="B48" s="33">
        <v>3</v>
      </c>
      <c r="C48" s="105">
        <v>0</v>
      </c>
      <c r="D48" s="105">
        <v>0</v>
      </c>
      <c r="E48" s="105">
        <v>0</v>
      </c>
      <c r="F48" s="105">
        <v>0</v>
      </c>
      <c r="G48" s="105">
        <v>0</v>
      </c>
      <c r="H48" s="105">
        <v>0</v>
      </c>
      <c r="I48" s="33">
        <v>1</v>
      </c>
      <c r="J48" s="105">
        <v>0</v>
      </c>
      <c r="K48" s="105">
        <v>0</v>
      </c>
      <c r="L48" s="105">
        <v>0</v>
      </c>
      <c r="M48" s="105">
        <v>0</v>
      </c>
      <c r="N48" s="105">
        <v>0</v>
      </c>
    </row>
    <row r="49" spans="1:17" x14ac:dyDescent="0.25">
      <c r="A49" s="33"/>
      <c r="B49" s="33">
        <v>4</v>
      </c>
      <c r="C49" s="105">
        <v>0</v>
      </c>
      <c r="D49" s="105">
        <v>0</v>
      </c>
      <c r="E49" s="105">
        <v>0</v>
      </c>
      <c r="F49" s="189">
        <v>1</v>
      </c>
      <c r="G49" s="189">
        <v>1</v>
      </c>
      <c r="H49" s="105">
        <v>0</v>
      </c>
      <c r="I49" s="33">
        <v>1</v>
      </c>
      <c r="J49" s="105">
        <v>0</v>
      </c>
      <c r="K49" s="105">
        <v>0</v>
      </c>
      <c r="L49" s="105">
        <v>0</v>
      </c>
      <c r="M49" s="105">
        <v>0</v>
      </c>
      <c r="N49" s="105">
        <v>0</v>
      </c>
    </row>
    <row r="50" spans="1:17" x14ac:dyDescent="0.25">
      <c r="A50" s="33"/>
      <c r="B50" s="33">
        <v>5</v>
      </c>
      <c r="C50" s="105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33">
        <v>1</v>
      </c>
      <c r="J50" s="105">
        <v>0</v>
      </c>
      <c r="K50" s="105">
        <v>0</v>
      </c>
      <c r="L50" s="105">
        <v>0</v>
      </c>
      <c r="M50" s="105">
        <v>0</v>
      </c>
      <c r="N50" s="105">
        <v>0</v>
      </c>
    </row>
    <row r="51" spans="1:17" x14ac:dyDescent="0.25">
      <c r="A51" s="33"/>
      <c r="B51" s="33">
        <v>6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33">
        <v>1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</row>
    <row r="52" spans="1:17" x14ac:dyDescent="0.25">
      <c r="A52" s="33"/>
      <c r="B52" s="33">
        <v>7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33">
        <v>1</v>
      </c>
      <c r="J52" s="105">
        <v>0</v>
      </c>
      <c r="K52" s="105">
        <v>0</v>
      </c>
      <c r="L52" s="105">
        <v>0</v>
      </c>
      <c r="M52" s="105">
        <v>0</v>
      </c>
      <c r="N52" s="105">
        <v>0</v>
      </c>
    </row>
    <row r="53" spans="1:17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6" spans="1:17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</row>
    <row r="57" spans="1:17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</row>
    <row r="58" spans="1:17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</row>
    <row r="59" spans="1:17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</row>
    <row r="60" spans="1:17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</row>
    <row r="61" spans="1:17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</row>
    <row r="62" spans="1:17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</row>
    <row r="63" spans="1:17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</row>
    <row r="64" spans="1:17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</row>
    <row r="65" spans="1:17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</row>
    <row r="66" spans="1:17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</row>
    <row r="67" spans="1:17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</row>
    <row r="68" spans="1:17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</row>
    <row r="69" spans="1:17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</row>
    <row r="70" spans="1:17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</row>
    <row r="71" spans="1:17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</row>
    <row r="72" spans="1:17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</row>
    <row r="73" spans="1:17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</row>
    <row r="74" spans="1:17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</row>
    <row r="75" spans="1:17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</row>
    <row r="76" spans="1:17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</row>
    <row r="77" spans="1:17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</row>
    <row r="78" spans="1:17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</row>
    <row r="79" spans="1:17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</row>
    <row r="80" spans="1:17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</row>
    <row r="81" spans="1:17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</row>
    <row r="82" spans="1:17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</row>
    <row r="83" spans="1:17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</row>
    <row r="84" spans="1:17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</row>
    <row r="85" spans="1:17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</row>
    <row r="86" spans="1:17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</row>
    <row r="87" spans="1:17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</row>
    <row r="88" spans="1:17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</row>
    <row r="89" spans="1:17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</row>
    <row r="90" spans="1:17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</row>
    <row r="91" spans="1:17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</row>
    <row r="92" spans="1:17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</row>
    <row r="93" spans="1:17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</row>
    <row r="94" spans="1:17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</row>
    <row r="95" spans="1:17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</row>
    <row r="96" spans="1:17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</row>
    <row r="97" spans="1:17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</row>
    <row r="98" spans="1:17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</row>
    <row r="99" spans="1:17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</row>
    <row r="100" spans="1:17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</row>
    <row r="101" spans="1:17" x14ac:dyDescent="0.2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</row>
    <row r="102" spans="1:17" x14ac:dyDescent="0.2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</row>
    <row r="103" spans="1:17" x14ac:dyDescent="0.2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</row>
    <row r="104" spans="1:17" x14ac:dyDescent="0.2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</row>
    <row r="105" spans="1:17" x14ac:dyDescent="0.2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</row>
    <row r="106" spans="1:17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</row>
    <row r="107" spans="1:17" x14ac:dyDescent="0.2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</row>
    <row r="108" spans="1:17" x14ac:dyDescent="0.2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</row>
    <row r="109" spans="1:17" x14ac:dyDescent="0.2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</row>
    <row r="110" spans="1:17" x14ac:dyDescent="0.2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</row>
    <row r="111" spans="1:17" x14ac:dyDescent="0.2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spans="1:17" x14ac:dyDescent="0.2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</row>
    <row r="113" spans="1:17" x14ac:dyDescent="0.2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</row>
    <row r="114" spans="1:17" x14ac:dyDescent="0.2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</row>
    <row r="115" spans="1:17" x14ac:dyDescent="0.2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</row>
    <row r="116" spans="1:17" x14ac:dyDescent="0.2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</row>
    <row r="117" spans="1:17" x14ac:dyDescent="0.2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</row>
    <row r="118" spans="1:17" x14ac:dyDescent="0.2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</row>
    <row r="119" spans="1:17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</row>
    <row r="120" spans="1:17" x14ac:dyDescent="0.2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</row>
    <row r="121" spans="1:17" x14ac:dyDescent="0.2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</row>
    <row r="122" spans="1:17" x14ac:dyDescent="0.2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</row>
    <row r="123" spans="1:17" x14ac:dyDescent="0.2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</row>
    <row r="124" spans="1:17" x14ac:dyDescent="0.2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</row>
    <row r="125" spans="1:17" x14ac:dyDescent="0.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</row>
    <row r="126" spans="1:17" x14ac:dyDescent="0.2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 spans="1:17" x14ac:dyDescent="0.2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 spans="1:17" x14ac:dyDescent="0.2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</row>
    <row r="129" spans="1:17" x14ac:dyDescent="0.2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</row>
    <row r="130" spans="1:17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</row>
    <row r="131" spans="1:17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</row>
    <row r="132" spans="1:17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</row>
    <row r="133" spans="1:17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</row>
    <row r="134" spans="1:17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</row>
    <row r="135" spans="1:17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</row>
    <row r="136" spans="1:17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</row>
    <row r="137" spans="1:17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</row>
    <row r="138" spans="1:17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</row>
    <row r="139" spans="1:17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</row>
    <row r="140" spans="1:17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</row>
    <row r="141" spans="1:17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</row>
    <row r="142" spans="1:17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</row>
    <row r="143" spans="1:17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</row>
    <row r="144" spans="1:17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</row>
    <row r="145" spans="1:17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</row>
    <row r="146" spans="1:17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</row>
    <row r="147" spans="1:17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</row>
    <row r="148" spans="1:17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</row>
    <row r="149" spans="1:17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</row>
    <row r="150" spans="1:17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</row>
    <row r="151" spans="1:17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</row>
    <row r="152" spans="1:17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</row>
    <row r="153" spans="1:17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</row>
    <row r="154" spans="1:17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</row>
    <row r="155" spans="1:17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</row>
    <row r="156" spans="1:17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</row>
    <row r="157" spans="1:17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</row>
    <row r="158" spans="1:17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</row>
    <row r="159" spans="1:17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</row>
    <row r="160" spans="1:17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</row>
    <row r="161" spans="1:17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</row>
    <row r="162" spans="1:17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</row>
    <row r="163" spans="1:17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</row>
    <row r="164" spans="1:17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</row>
    <row r="165" spans="1:17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</row>
    <row r="166" spans="1:17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</row>
    <row r="167" spans="1:17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</row>
    <row r="168" spans="1:17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</row>
    <row r="169" spans="1:17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</row>
    <row r="170" spans="1:17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</row>
    <row r="171" spans="1:17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</row>
    <row r="172" spans="1:17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</row>
    <row r="173" spans="1:17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</row>
    <row r="174" spans="1:17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</row>
    <row r="175" spans="1:17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</row>
    <row r="176" spans="1:17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</row>
    <row r="177" spans="1:17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</row>
    <row r="178" spans="1:17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</row>
    <row r="179" spans="1:17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</row>
    <row r="180" spans="1:17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</row>
    <row r="181" spans="1:17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</row>
    <row r="182" spans="1:17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</row>
    <row r="183" spans="1:17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</row>
    <row r="184" spans="1:17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</row>
    <row r="185" spans="1:17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</row>
    <row r="186" spans="1:17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</row>
    <row r="187" spans="1:17" x14ac:dyDescent="0.2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</row>
    <row r="188" spans="1:17" x14ac:dyDescent="0.25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</row>
    <row r="189" spans="1:17" x14ac:dyDescent="0.25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</row>
    <row r="190" spans="1:17" x14ac:dyDescent="0.25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</row>
    <row r="191" spans="1:17" x14ac:dyDescent="0.25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</row>
    <row r="192" spans="1:17" x14ac:dyDescent="0.25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</row>
    <row r="193" spans="1:17" x14ac:dyDescent="0.25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</row>
    <row r="194" spans="1:17" x14ac:dyDescent="0.25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</row>
    <row r="195" spans="1:17" x14ac:dyDescent="0.2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</row>
    <row r="196" spans="1:17" x14ac:dyDescent="0.25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</row>
    <row r="197" spans="1:17" x14ac:dyDescent="0.25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</row>
    <row r="198" spans="1:17" x14ac:dyDescent="0.2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</row>
    <row r="199" spans="1:17" x14ac:dyDescent="0.25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</row>
    <row r="200" spans="1:17" x14ac:dyDescent="0.25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</row>
    <row r="201" spans="1:17" x14ac:dyDescent="0.25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</row>
    <row r="202" spans="1:17" x14ac:dyDescent="0.25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</row>
    <row r="203" spans="1:17" x14ac:dyDescent="0.25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</row>
    <row r="204" spans="1:17" x14ac:dyDescent="0.25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</row>
    <row r="205" spans="1:17" x14ac:dyDescent="0.2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</row>
    <row r="206" spans="1:17" x14ac:dyDescent="0.25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</row>
    <row r="207" spans="1:17" x14ac:dyDescent="0.25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</row>
    <row r="208" spans="1:17" x14ac:dyDescent="0.25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</row>
    <row r="209" spans="1:17" x14ac:dyDescent="0.25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</row>
    <row r="210" spans="1:17" x14ac:dyDescent="0.25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</row>
    <row r="211" spans="1:17" x14ac:dyDescent="0.25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</row>
    <row r="212" spans="1:17" x14ac:dyDescent="0.25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</row>
    <row r="213" spans="1:17" x14ac:dyDescent="0.25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</row>
    <row r="214" spans="1:17" x14ac:dyDescent="0.25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</row>
    <row r="215" spans="1:17" x14ac:dyDescent="0.2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</row>
    <row r="216" spans="1:17" x14ac:dyDescent="0.25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</row>
    <row r="217" spans="1:17" x14ac:dyDescent="0.25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</row>
    <row r="218" spans="1:17" x14ac:dyDescent="0.25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</row>
    <row r="219" spans="1:17" x14ac:dyDescent="0.25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</row>
    <row r="220" spans="1:17" x14ac:dyDescent="0.25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</row>
    <row r="221" spans="1:17" x14ac:dyDescent="0.25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</row>
    <row r="222" spans="1:17" x14ac:dyDescent="0.25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</row>
    <row r="223" spans="1:17" x14ac:dyDescent="0.25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</row>
    <row r="224" spans="1:17" x14ac:dyDescent="0.25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</row>
    <row r="225" spans="1:17" x14ac:dyDescent="0.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</row>
    <row r="226" spans="1:17" x14ac:dyDescent="0.25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</row>
    <row r="227" spans="1:17" x14ac:dyDescent="0.25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</row>
    <row r="228" spans="1:17" x14ac:dyDescent="0.25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</row>
    <row r="229" spans="1:17" x14ac:dyDescent="0.25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</row>
    <row r="230" spans="1:17" x14ac:dyDescent="0.25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</row>
    <row r="231" spans="1:17" x14ac:dyDescent="0.25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</row>
    <row r="232" spans="1:17" x14ac:dyDescent="0.25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</row>
    <row r="233" spans="1:17" x14ac:dyDescent="0.25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</row>
    <row r="234" spans="1:17" x14ac:dyDescent="0.25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</row>
    <row r="235" spans="1:17" x14ac:dyDescent="0.2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</row>
    <row r="236" spans="1:17" x14ac:dyDescent="0.25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</row>
    <row r="237" spans="1:17" x14ac:dyDescent="0.25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</row>
    <row r="238" spans="1:17" x14ac:dyDescent="0.25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</row>
    <row r="239" spans="1:17" x14ac:dyDescent="0.25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</row>
    <row r="240" spans="1:17" x14ac:dyDescent="0.25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</row>
    <row r="241" spans="1:17" x14ac:dyDescent="0.25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</row>
    <row r="242" spans="1:17" x14ac:dyDescent="0.25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</row>
    <row r="243" spans="1:17" x14ac:dyDescent="0.25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</row>
    <row r="244" spans="1:17" x14ac:dyDescent="0.25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</row>
    <row r="245" spans="1:17" x14ac:dyDescent="0.2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</row>
    <row r="246" spans="1:17" x14ac:dyDescent="0.25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</row>
    <row r="247" spans="1:17" x14ac:dyDescent="0.25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</row>
    <row r="248" spans="1:17" x14ac:dyDescent="0.25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</row>
    <row r="249" spans="1:17" x14ac:dyDescent="0.25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</row>
    <row r="250" spans="1:17" x14ac:dyDescent="0.25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</row>
    <row r="251" spans="1:17" x14ac:dyDescent="0.25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</row>
  </sheetData>
  <pageMargins left="0.7" right="0.7" top="0.75" bottom="0.75" header="0.3" footer="0.3"/>
  <pageSetup paperSize="9" scale="5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3"/>
  <sheetViews>
    <sheetView topLeftCell="A10" zoomScaleNormal="100" zoomScaleSheetLayoutView="70" workbookViewId="0">
      <selection activeCell="O14" sqref="O14"/>
    </sheetView>
  </sheetViews>
  <sheetFormatPr defaultColWidth="8.85546875" defaultRowHeight="15" x14ac:dyDescent="0.25"/>
  <cols>
    <col min="1" max="1" width="23.5703125" customWidth="1"/>
    <col min="3" max="3" width="7.5703125" customWidth="1"/>
  </cols>
  <sheetData>
    <row r="1" spans="1:14" ht="15.75" thickBot="1" x14ac:dyDescent="0.3">
      <c r="A1" s="21"/>
      <c r="B1" s="22"/>
      <c r="C1" s="60" t="s">
        <v>37</v>
      </c>
      <c r="D1" s="60" t="s">
        <v>38</v>
      </c>
      <c r="E1" s="60" t="s">
        <v>39</v>
      </c>
      <c r="F1" s="60" t="s">
        <v>40</v>
      </c>
      <c r="G1" s="60" t="s">
        <v>36</v>
      </c>
      <c r="H1" s="60" t="s">
        <v>41</v>
      </c>
      <c r="I1" s="61" t="s">
        <v>42</v>
      </c>
      <c r="J1" s="61" t="s">
        <v>43</v>
      </c>
      <c r="K1" s="61" t="s">
        <v>44</v>
      </c>
      <c r="L1" s="61" t="s">
        <v>45</v>
      </c>
      <c r="M1" s="60" t="s">
        <v>46</v>
      </c>
      <c r="N1" s="61" t="s">
        <v>47</v>
      </c>
    </row>
    <row r="2" spans="1:14" ht="15.75" thickBot="1" x14ac:dyDescent="0.3">
      <c r="A2" s="26" t="s">
        <v>0</v>
      </c>
      <c r="B2" s="28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27"/>
      <c r="N2" s="2"/>
    </row>
    <row r="3" spans="1:14" x14ac:dyDescent="0.25">
      <c r="A3" s="40" t="s">
        <v>176</v>
      </c>
      <c r="B3" s="40" t="s">
        <v>177</v>
      </c>
      <c r="C3" s="104">
        <v>0</v>
      </c>
      <c r="D3" s="104">
        <v>0</v>
      </c>
      <c r="E3" s="104">
        <v>0</v>
      </c>
      <c r="F3" s="104">
        <v>0</v>
      </c>
      <c r="G3" s="104">
        <v>0</v>
      </c>
      <c r="H3" s="104">
        <v>0</v>
      </c>
      <c r="I3" s="104">
        <v>0</v>
      </c>
      <c r="J3" s="104">
        <v>0</v>
      </c>
      <c r="K3" s="104">
        <v>0</v>
      </c>
      <c r="L3" s="104">
        <v>0</v>
      </c>
      <c r="M3" s="104">
        <v>0</v>
      </c>
      <c r="N3" s="104">
        <v>0</v>
      </c>
    </row>
    <row r="4" spans="1:14" x14ac:dyDescent="0.25">
      <c r="A4" s="40" t="s">
        <v>178</v>
      </c>
      <c r="B4" s="40" t="s">
        <v>179</v>
      </c>
      <c r="C4" s="104">
        <v>0</v>
      </c>
      <c r="D4" s="104">
        <v>0</v>
      </c>
      <c r="E4" s="104">
        <v>0</v>
      </c>
      <c r="F4" s="104">
        <v>0</v>
      </c>
      <c r="G4" s="104">
        <v>0</v>
      </c>
      <c r="H4" s="104">
        <v>0</v>
      </c>
      <c r="I4" s="104">
        <v>0</v>
      </c>
      <c r="J4" s="104">
        <v>0</v>
      </c>
      <c r="K4" s="104">
        <v>0</v>
      </c>
      <c r="L4" s="104">
        <v>0</v>
      </c>
      <c r="M4" s="104">
        <v>0</v>
      </c>
      <c r="N4" s="104">
        <v>0</v>
      </c>
    </row>
    <row r="5" spans="1:14" x14ac:dyDescent="0.25">
      <c r="A5" s="40" t="s">
        <v>180</v>
      </c>
      <c r="B5" s="40" t="s">
        <v>181</v>
      </c>
      <c r="C5" s="104">
        <v>0</v>
      </c>
      <c r="D5" s="104">
        <v>0</v>
      </c>
      <c r="E5" s="104">
        <v>0</v>
      </c>
      <c r="F5" s="104">
        <v>0</v>
      </c>
      <c r="G5" s="104">
        <v>0</v>
      </c>
      <c r="H5" s="104">
        <v>1</v>
      </c>
      <c r="I5" s="104">
        <v>1</v>
      </c>
      <c r="J5" s="3">
        <v>1</v>
      </c>
      <c r="K5" s="3">
        <v>1</v>
      </c>
      <c r="L5" s="3">
        <v>1</v>
      </c>
      <c r="M5" s="17">
        <v>1</v>
      </c>
      <c r="N5" s="104">
        <v>0</v>
      </c>
    </row>
    <row r="6" spans="1:14" x14ac:dyDescent="0.25">
      <c r="A6" s="40" t="s">
        <v>182</v>
      </c>
      <c r="B6" s="40" t="s">
        <v>183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4">
        <v>0</v>
      </c>
      <c r="L6" s="104">
        <v>0</v>
      </c>
      <c r="M6" s="104">
        <v>0</v>
      </c>
      <c r="N6" s="104">
        <v>0</v>
      </c>
    </row>
    <row r="7" spans="1:14" x14ac:dyDescent="0.25">
      <c r="A7" s="40" t="s">
        <v>184</v>
      </c>
      <c r="B7" s="40" t="s">
        <v>185</v>
      </c>
      <c r="C7" s="104">
        <v>0</v>
      </c>
      <c r="D7" s="104">
        <v>0</v>
      </c>
      <c r="E7" s="104">
        <v>0</v>
      </c>
      <c r="F7" s="104">
        <v>0</v>
      </c>
      <c r="G7" s="104">
        <v>0</v>
      </c>
      <c r="H7" s="104">
        <v>0</v>
      </c>
      <c r="I7" s="104">
        <v>0</v>
      </c>
      <c r="J7" s="104">
        <v>0</v>
      </c>
      <c r="K7" s="104">
        <v>0</v>
      </c>
      <c r="L7" s="104">
        <v>0</v>
      </c>
      <c r="M7" s="104">
        <v>0</v>
      </c>
      <c r="N7" s="104">
        <v>0</v>
      </c>
    </row>
    <row r="8" spans="1:14" x14ac:dyDescent="0.25">
      <c r="A8" s="40" t="s">
        <v>186</v>
      </c>
      <c r="B8" s="40" t="s">
        <v>187</v>
      </c>
      <c r="C8" s="104">
        <v>0</v>
      </c>
      <c r="D8" s="104">
        <v>0</v>
      </c>
      <c r="E8" s="104">
        <v>0</v>
      </c>
      <c r="F8" s="104">
        <v>0</v>
      </c>
      <c r="G8" s="104">
        <v>0</v>
      </c>
      <c r="H8" s="104">
        <v>1</v>
      </c>
      <c r="I8" s="104">
        <v>1</v>
      </c>
      <c r="J8" s="14">
        <v>1</v>
      </c>
      <c r="K8" s="14">
        <v>1</v>
      </c>
      <c r="L8" s="14">
        <v>1</v>
      </c>
      <c r="M8" s="19">
        <v>1</v>
      </c>
      <c r="N8" s="104">
        <v>0</v>
      </c>
    </row>
    <row r="9" spans="1:14" x14ac:dyDescent="0.25">
      <c r="A9" s="40" t="s">
        <v>188</v>
      </c>
      <c r="B9" s="40" t="s">
        <v>189</v>
      </c>
      <c r="C9" s="104">
        <v>0</v>
      </c>
      <c r="D9" s="104">
        <v>0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</row>
    <row r="10" spans="1:14" x14ac:dyDescent="0.25">
      <c r="A10" s="40" t="s">
        <v>190</v>
      </c>
      <c r="B10" s="40" t="s">
        <v>191</v>
      </c>
      <c r="C10" s="104">
        <v>0</v>
      </c>
      <c r="D10" s="104">
        <v>0</v>
      </c>
      <c r="E10" s="104">
        <v>0</v>
      </c>
      <c r="F10" s="104">
        <v>0</v>
      </c>
      <c r="G10" s="104">
        <v>0</v>
      </c>
      <c r="H10" s="104">
        <v>1</v>
      </c>
      <c r="I10" s="104">
        <v>1</v>
      </c>
      <c r="J10" s="3">
        <v>1</v>
      </c>
      <c r="K10" s="3">
        <v>1</v>
      </c>
      <c r="L10" s="3">
        <v>1</v>
      </c>
      <c r="M10" s="17">
        <v>1</v>
      </c>
      <c r="N10" s="104">
        <v>0</v>
      </c>
    </row>
    <row r="11" spans="1:14" x14ac:dyDescent="0.25">
      <c r="A11" s="40" t="s">
        <v>192</v>
      </c>
      <c r="B11" s="40" t="s">
        <v>193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4">
        <v>0</v>
      </c>
    </row>
    <row r="12" spans="1:14" x14ac:dyDescent="0.25">
      <c r="A12" s="40" t="s">
        <v>194</v>
      </c>
      <c r="B12" s="40" t="s">
        <v>195</v>
      </c>
      <c r="C12" s="104">
        <v>0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</v>
      </c>
    </row>
    <row r="13" spans="1:14" x14ac:dyDescent="0.25">
      <c r="A13" s="46" t="s">
        <v>196</v>
      </c>
      <c r="B13" s="46" t="s">
        <v>197</v>
      </c>
      <c r="C13" s="104">
        <v>0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</v>
      </c>
      <c r="J13" s="104">
        <v>0</v>
      </c>
      <c r="K13" s="104">
        <v>0</v>
      </c>
      <c r="L13" s="104">
        <v>0</v>
      </c>
      <c r="M13" s="104">
        <v>0</v>
      </c>
      <c r="N13" s="104">
        <v>0</v>
      </c>
    </row>
    <row r="14" spans="1:14" s="33" customFormat="1" x14ac:dyDescent="0.25">
      <c r="A14" s="40" t="s">
        <v>198</v>
      </c>
      <c r="B14" s="40" t="s">
        <v>199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</row>
    <row r="15" spans="1:14" s="47" customFormat="1" x14ac:dyDescent="0.25">
      <c r="A15" s="40" t="s">
        <v>362</v>
      </c>
      <c r="B15" s="40" t="s">
        <v>435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104">
        <v>0</v>
      </c>
    </row>
    <row r="16" spans="1:14" s="47" customFormat="1" x14ac:dyDescent="0.25">
      <c r="A16" s="40" t="s">
        <v>363</v>
      </c>
      <c r="B16" s="40" t="s">
        <v>436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104">
        <v>0</v>
      </c>
    </row>
    <row r="17" spans="1:14" s="47" customFormat="1" x14ac:dyDescent="0.25">
      <c r="A17" s="40" t="s">
        <v>364</v>
      </c>
      <c r="B17" s="40" t="s">
        <v>437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104">
        <v>0</v>
      </c>
    </row>
    <row r="18" spans="1:14" s="47" customFormat="1" x14ac:dyDescent="0.25">
      <c r="A18" s="40" t="s">
        <v>365</v>
      </c>
      <c r="B18" s="40" t="s">
        <v>438</v>
      </c>
      <c r="C18" s="104">
        <v>0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104">
        <v>0</v>
      </c>
    </row>
    <row r="19" spans="1:14" s="47" customFormat="1" x14ac:dyDescent="0.25">
      <c r="A19" s="40" t="s">
        <v>374</v>
      </c>
      <c r="B19" s="40" t="s">
        <v>439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3">
        <v>1</v>
      </c>
      <c r="J19" s="3">
        <v>1</v>
      </c>
      <c r="K19" s="193">
        <v>1</v>
      </c>
      <c r="L19" s="3">
        <v>1</v>
      </c>
      <c r="M19" s="3">
        <v>1</v>
      </c>
      <c r="N19" s="104">
        <v>0</v>
      </c>
    </row>
    <row r="20" spans="1:14" s="47" customFormat="1" x14ac:dyDescent="0.25">
      <c r="A20" s="39"/>
      <c r="B20" s="39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spans="1:14" s="33" customFormat="1" x14ac:dyDescent="0.25">
      <c r="A21" s="49"/>
      <c r="B21" s="50"/>
      <c r="C21" s="62" t="s">
        <v>37</v>
      </c>
      <c r="D21" s="62" t="s">
        <v>38</v>
      </c>
      <c r="E21" s="62" t="s">
        <v>39</v>
      </c>
      <c r="F21" s="62" t="s">
        <v>40</v>
      </c>
      <c r="G21" s="62" t="s">
        <v>36</v>
      </c>
      <c r="H21" s="62" t="s">
        <v>41</v>
      </c>
      <c r="I21" s="62" t="s">
        <v>42</v>
      </c>
      <c r="J21" s="62" t="s">
        <v>43</v>
      </c>
      <c r="K21" s="194">
        <v>1</v>
      </c>
      <c r="L21" s="62" t="s">
        <v>45</v>
      </c>
      <c r="M21" s="62" t="s">
        <v>46</v>
      </c>
      <c r="N21" s="62" t="s">
        <v>47</v>
      </c>
    </row>
    <row r="22" spans="1:14" x14ac:dyDescent="0.25">
      <c r="A22" s="51" t="s">
        <v>0</v>
      </c>
      <c r="B22" s="52" t="s">
        <v>1</v>
      </c>
      <c r="C22" s="45"/>
      <c r="D22" s="45"/>
      <c r="E22" s="45"/>
      <c r="F22" s="45"/>
      <c r="G22" s="45"/>
      <c r="H22" s="45"/>
      <c r="I22" s="45"/>
      <c r="J22" s="45">
        <v>0</v>
      </c>
      <c r="K22" s="45"/>
      <c r="L22" s="45"/>
      <c r="M22" s="45"/>
      <c r="N22" s="45"/>
    </row>
    <row r="23" spans="1:14" x14ac:dyDescent="0.25">
      <c r="A23" s="40" t="s">
        <v>200</v>
      </c>
      <c r="B23" s="40" t="s">
        <v>201</v>
      </c>
      <c r="C23" s="104">
        <v>0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  <c r="K23" s="104">
        <v>1</v>
      </c>
      <c r="L23" s="104">
        <v>0</v>
      </c>
      <c r="M23" s="104">
        <v>0</v>
      </c>
      <c r="N23" s="104">
        <v>0</v>
      </c>
    </row>
    <row r="24" spans="1:14" x14ac:dyDescent="0.25">
      <c r="A24" s="40" t="s">
        <v>202</v>
      </c>
      <c r="B24" s="40" t="s">
        <v>203</v>
      </c>
      <c r="C24" s="104">
        <v>0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</v>
      </c>
      <c r="J24" s="104">
        <v>0</v>
      </c>
      <c r="K24" s="104">
        <v>0</v>
      </c>
      <c r="L24" s="104">
        <v>0</v>
      </c>
      <c r="M24" s="104">
        <v>0</v>
      </c>
      <c r="N24" s="104">
        <v>0</v>
      </c>
    </row>
    <row r="25" spans="1:14" x14ac:dyDescent="0.25">
      <c r="A25" s="40" t="s">
        <v>204</v>
      </c>
      <c r="B25" s="40" t="s">
        <v>205</v>
      </c>
      <c r="C25" s="104">
        <v>0</v>
      </c>
      <c r="D25" s="104">
        <v>0</v>
      </c>
      <c r="E25" s="104">
        <v>0</v>
      </c>
      <c r="F25" s="104">
        <v>0</v>
      </c>
      <c r="G25" s="104">
        <v>0</v>
      </c>
      <c r="H25" s="104">
        <v>0</v>
      </c>
      <c r="I25" s="104">
        <v>0</v>
      </c>
      <c r="J25" s="104">
        <v>0</v>
      </c>
      <c r="K25" s="104">
        <v>0</v>
      </c>
      <c r="L25" s="104">
        <v>0</v>
      </c>
      <c r="M25" s="104">
        <v>0</v>
      </c>
      <c r="N25" s="104">
        <v>0</v>
      </c>
    </row>
    <row r="26" spans="1:14" x14ac:dyDescent="0.25">
      <c r="A26" s="40" t="s">
        <v>206</v>
      </c>
      <c r="B26" s="40" t="s">
        <v>207</v>
      </c>
      <c r="C26" s="104">
        <v>0</v>
      </c>
      <c r="D26" s="104">
        <v>0</v>
      </c>
      <c r="E26" s="104">
        <v>0</v>
      </c>
      <c r="F26" s="104">
        <v>0</v>
      </c>
      <c r="G26" s="104">
        <v>0</v>
      </c>
      <c r="H26" s="23">
        <v>1</v>
      </c>
      <c r="I26" s="104">
        <v>0</v>
      </c>
      <c r="J26" s="104">
        <v>0</v>
      </c>
      <c r="K26" s="23">
        <v>1</v>
      </c>
      <c r="L26" s="23">
        <v>1</v>
      </c>
      <c r="M26" s="104">
        <v>0</v>
      </c>
      <c r="N26" s="104">
        <v>0</v>
      </c>
    </row>
    <row r="27" spans="1:14" s="33" customFormat="1" x14ac:dyDescent="0.25">
      <c r="A27" s="40" t="s">
        <v>208</v>
      </c>
      <c r="B27" s="40" t="s">
        <v>209</v>
      </c>
      <c r="C27" s="104">
        <v>0</v>
      </c>
      <c r="D27" s="104">
        <v>0</v>
      </c>
      <c r="E27" s="104">
        <v>0</v>
      </c>
      <c r="F27" s="104">
        <v>0</v>
      </c>
      <c r="G27" s="104">
        <v>0</v>
      </c>
      <c r="H27" s="104">
        <v>0</v>
      </c>
      <c r="I27" s="3">
        <v>1</v>
      </c>
      <c r="J27" s="3">
        <v>1</v>
      </c>
      <c r="K27" s="104">
        <v>1</v>
      </c>
      <c r="L27" s="3">
        <v>1</v>
      </c>
      <c r="M27" s="104">
        <v>0</v>
      </c>
      <c r="N27" s="104">
        <v>0</v>
      </c>
    </row>
    <row r="28" spans="1:14" x14ac:dyDescent="0.25">
      <c r="A28" s="40" t="s">
        <v>210</v>
      </c>
      <c r="B28" s="40" t="s">
        <v>211</v>
      </c>
      <c r="C28" s="104">
        <v>0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</v>
      </c>
      <c r="J28" s="104">
        <v>1</v>
      </c>
      <c r="K28" s="104">
        <v>0</v>
      </c>
      <c r="L28" s="104">
        <v>0</v>
      </c>
      <c r="M28" s="104">
        <v>1</v>
      </c>
      <c r="N28" s="104">
        <v>0</v>
      </c>
    </row>
    <row r="29" spans="1:14" x14ac:dyDescent="0.25">
      <c r="A29" s="40" t="s">
        <v>212</v>
      </c>
      <c r="B29" s="40" t="s">
        <v>213</v>
      </c>
      <c r="C29" s="104">
        <v>0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  <c r="I29" s="104">
        <v>0</v>
      </c>
      <c r="J29" s="104">
        <v>1</v>
      </c>
      <c r="K29" s="104">
        <v>0</v>
      </c>
      <c r="L29" s="104">
        <v>0</v>
      </c>
      <c r="M29" s="104">
        <v>1</v>
      </c>
      <c r="N29" s="104">
        <v>0</v>
      </c>
    </row>
    <row r="30" spans="1:14" x14ac:dyDescent="0.25">
      <c r="A30" s="40" t="s">
        <v>214</v>
      </c>
      <c r="B30" s="40" t="s">
        <v>215</v>
      </c>
      <c r="C30" s="104">
        <v>0</v>
      </c>
      <c r="D30" s="104">
        <v>0</v>
      </c>
      <c r="E30" s="152">
        <v>1</v>
      </c>
      <c r="F30" s="104">
        <v>0</v>
      </c>
      <c r="G30" s="104">
        <v>0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4">
        <v>0</v>
      </c>
    </row>
    <row r="31" spans="1:14" x14ac:dyDescent="0.25">
      <c r="A31" s="40" t="s">
        <v>216</v>
      </c>
      <c r="B31" s="40" t="s">
        <v>217</v>
      </c>
      <c r="C31" s="104">
        <v>0</v>
      </c>
      <c r="D31" s="104">
        <v>0</v>
      </c>
      <c r="E31" s="152">
        <v>1</v>
      </c>
      <c r="F31" s="104">
        <v>0</v>
      </c>
      <c r="G31" s="104">
        <v>0</v>
      </c>
      <c r="H31" s="104">
        <v>0</v>
      </c>
      <c r="I31" s="104">
        <v>0</v>
      </c>
      <c r="J31" s="104">
        <v>0</v>
      </c>
      <c r="K31" s="104">
        <v>0</v>
      </c>
      <c r="L31" s="104">
        <v>0</v>
      </c>
      <c r="M31" s="104">
        <v>0</v>
      </c>
      <c r="N31" s="104">
        <v>0</v>
      </c>
    </row>
    <row r="32" spans="1:14" x14ac:dyDescent="0.25">
      <c r="A32" s="40" t="s">
        <v>218</v>
      </c>
      <c r="B32" s="40" t="s">
        <v>219</v>
      </c>
      <c r="C32" s="104">
        <v>0</v>
      </c>
      <c r="D32" s="104">
        <v>0</v>
      </c>
      <c r="E32" s="104">
        <v>0</v>
      </c>
      <c r="F32" s="104">
        <v>0</v>
      </c>
      <c r="G32" s="104">
        <v>0</v>
      </c>
      <c r="H32" s="3">
        <v>1</v>
      </c>
      <c r="I32" s="104">
        <v>0</v>
      </c>
      <c r="J32" s="104">
        <v>0</v>
      </c>
      <c r="K32" s="104">
        <v>1</v>
      </c>
      <c r="L32" s="3">
        <v>1</v>
      </c>
      <c r="M32" s="104">
        <v>0</v>
      </c>
      <c r="N32" s="104">
        <v>0</v>
      </c>
    </row>
    <row r="33" spans="1:14" x14ac:dyDescent="0.25">
      <c r="A33" s="40" t="s">
        <v>220</v>
      </c>
      <c r="B33" s="40" t="s">
        <v>221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4">
        <v>0</v>
      </c>
    </row>
    <row r="34" spans="1:14" x14ac:dyDescent="0.25">
      <c r="A34" s="40"/>
      <c r="B34" s="40" t="s">
        <v>370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3">
        <v>0</v>
      </c>
      <c r="J34" s="3">
        <v>1</v>
      </c>
      <c r="K34" s="104">
        <v>1</v>
      </c>
      <c r="L34" s="3">
        <v>1</v>
      </c>
      <c r="M34" s="104">
        <v>0</v>
      </c>
      <c r="N34" s="104">
        <v>0</v>
      </c>
    </row>
    <row r="35" spans="1:14" x14ac:dyDescent="0.25">
      <c r="A35" s="40"/>
      <c r="B35" s="40" t="s">
        <v>369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3">
        <v>1</v>
      </c>
      <c r="K35" s="104">
        <v>1</v>
      </c>
      <c r="L35" s="3">
        <v>1</v>
      </c>
      <c r="M35" s="152">
        <v>1</v>
      </c>
      <c r="N35" s="104">
        <v>0</v>
      </c>
    </row>
    <row r="36" spans="1:14" x14ac:dyDescent="0.25">
      <c r="A36" s="40"/>
      <c r="B36" s="40" t="s">
        <v>366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3">
        <v>1</v>
      </c>
      <c r="J36" s="3">
        <v>1</v>
      </c>
      <c r="K36" s="104">
        <v>1</v>
      </c>
      <c r="L36" s="104">
        <v>0</v>
      </c>
      <c r="M36" s="104">
        <v>0</v>
      </c>
      <c r="N36" s="104">
        <v>0</v>
      </c>
    </row>
    <row r="37" spans="1:14" x14ac:dyDescent="0.25">
      <c r="A37" s="40"/>
      <c r="B37" s="40" t="s">
        <v>371</v>
      </c>
      <c r="C37" s="104">
        <v>0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</v>
      </c>
      <c r="J37" s="3">
        <v>1</v>
      </c>
      <c r="K37" s="104">
        <v>1</v>
      </c>
      <c r="L37" s="104">
        <v>0</v>
      </c>
      <c r="M37" s="104">
        <v>0</v>
      </c>
      <c r="N37" s="104">
        <v>0</v>
      </c>
    </row>
    <row r="38" spans="1:14" x14ac:dyDescent="0.25">
      <c r="A38" s="134"/>
      <c r="B38" s="40" t="s">
        <v>444</v>
      </c>
      <c r="C38" s="135"/>
      <c r="D38" s="135"/>
      <c r="E38" s="135"/>
      <c r="F38" s="135"/>
      <c r="G38" s="135"/>
      <c r="H38" s="135"/>
      <c r="I38" s="152">
        <v>1</v>
      </c>
      <c r="J38" s="118"/>
      <c r="K38" s="104">
        <v>1</v>
      </c>
      <c r="L38" s="152">
        <v>1</v>
      </c>
      <c r="M38" s="135"/>
      <c r="N38" s="135"/>
    </row>
    <row r="39" spans="1:14" x14ac:dyDescent="0.25">
      <c r="A39" s="40"/>
      <c r="B39" s="40" t="s">
        <v>372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3">
        <v>1</v>
      </c>
      <c r="K39" s="104">
        <v>1</v>
      </c>
      <c r="L39" s="104">
        <v>0</v>
      </c>
      <c r="M39" s="104">
        <v>0</v>
      </c>
      <c r="N39" s="104">
        <v>0</v>
      </c>
    </row>
    <row r="40" spans="1:14" x14ac:dyDescent="0.25">
      <c r="A40" s="40"/>
      <c r="B40" s="40" t="s">
        <v>367</v>
      </c>
      <c r="C40" s="104">
        <v>0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4">
        <v>1</v>
      </c>
      <c r="L40" s="104">
        <v>0</v>
      </c>
      <c r="M40" s="104">
        <v>0</v>
      </c>
      <c r="N40" s="104">
        <v>0</v>
      </c>
    </row>
    <row r="41" spans="1:14" x14ac:dyDescent="0.25">
      <c r="A41" s="40"/>
      <c r="B41" s="40" t="s">
        <v>360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3">
        <v>1</v>
      </c>
      <c r="I41" s="3">
        <v>1</v>
      </c>
      <c r="J41" s="104">
        <v>0</v>
      </c>
      <c r="K41" s="104">
        <v>0</v>
      </c>
      <c r="L41" s="104">
        <v>0</v>
      </c>
      <c r="M41" s="104">
        <v>0</v>
      </c>
      <c r="N41" s="104">
        <v>0</v>
      </c>
    </row>
    <row r="42" spans="1:14" x14ac:dyDescent="0.25">
      <c r="A42" s="40"/>
      <c r="B42" s="40" t="s">
        <v>368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3">
        <v>1</v>
      </c>
      <c r="J42" s="104">
        <v>0</v>
      </c>
      <c r="K42" s="104">
        <v>1</v>
      </c>
      <c r="L42" s="104">
        <v>0</v>
      </c>
      <c r="M42" s="104">
        <v>0</v>
      </c>
      <c r="N42" s="104">
        <v>0</v>
      </c>
    </row>
    <row r="43" spans="1:14" x14ac:dyDescent="0.25">
      <c r="A43" s="40"/>
      <c r="B43" s="40" t="s">
        <v>361</v>
      </c>
      <c r="C43" s="104">
        <v>0</v>
      </c>
      <c r="D43" s="104">
        <v>0</v>
      </c>
      <c r="E43" s="104">
        <v>0</v>
      </c>
      <c r="F43" s="104">
        <v>0</v>
      </c>
      <c r="G43" s="104">
        <v>0</v>
      </c>
      <c r="H43" s="33">
        <v>1</v>
      </c>
      <c r="I43" s="104">
        <v>0</v>
      </c>
      <c r="J43" s="104">
        <v>0</v>
      </c>
      <c r="K43" s="33">
        <v>1</v>
      </c>
      <c r="L43" s="33">
        <v>1</v>
      </c>
      <c r="M43" s="104">
        <v>0</v>
      </c>
      <c r="N43" s="104">
        <v>0</v>
      </c>
    </row>
    <row r="44" spans="1:14" x14ac:dyDescent="0.25">
      <c r="A44" s="40"/>
      <c r="B44" s="40" t="s">
        <v>373</v>
      </c>
      <c r="C44" s="104">
        <v>0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</v>
      </c>
      <c r="J44" s="104">
        <v>0</v>
      </c>
      <c r="K44" s="33">
        <v>1</v>
      </c>
      <c r="L44" s="33">
        <v>1</v>
      </c>
      <c r="M44" s="104">
        <v>0</v>
      </c>
      <c r="N44" s="104">
        <v>0</v>
      </c>
    </row>
    <row r="45" spans="1:14" x14ac:dyDescent="0.25">
      <c r="A45" s="40" t="s">
        <v>362</v>
      </c>
      <c r="B45" s="40" t="s">
        <v>440</v>
      </c>
      <c r="C45" s="104">
        <v>0</v>
      </c>
      <c r="D45" s="104">
        <v>0</v>
      </c>
      <c r="E45" s="104">
        <v>0</v>
      </c>
      <c r="F45" s="104">
        <v>0</v>
      </c>
      <c r="G45" s="104">
        <v>0</v>
      </c>
      <c r="H45" s="33">
        <v>1</v>
      </c>
      <c r="I45" s="104">
        <v>0</v>
      </c>
      <c r="J45" s="104">
        <v>0</v>
      </c>
      <c r="K45" s="33">
        <v>1</v>
      </c>
      <c r="L45" s="33">
        <v>1</v>
      </c>
      <c r="M45" s="104">
        <v>0</v>
      </c>
      <c r="N45" s="104">
        <v>0</v>
      </c>
    </row>
    <row r="46" spans="1:14" x14ac:dyDescent="0.25">
      <c r="A46" s="40" t="s">
        <v>363</v>
      </c>
      <c r="B46" s="40" t="s">
        <v>441</v>
      </c>
      <c r="C46" s="104">
        <v>0</v>
      </c>
      <c r="D46" s="104">
        <v>0</v>
      </c>
      <c r="E46" s="104">
        <v>0</v>
      </c>
      <c r="F46" s="104">
        <v>0</v>
      </c>
      <c r="G46" s="104">
        <v>0</v>
      </c>
      <c r="H46" s="33">
        <v>1</v>
      </c>
      <c r="I46" s="104">
        <v>0</v>
      </c>
      <c r="J46" s="104">
        <v>0</v>
      </c>
      <c r="K46" s="33">
        <v>1</v>
      </c>
      <c r="L46" s="33">
        <v>1</v>
      </c>
      <c r="M46" s="104">
        <v>0</v>
      </c>
      <c r="N46" s="104">
        <v>0</v>
      </c>
    </row>
    <row r="47" spans="1:14" x14ac:dyDescent="0.25">
      <c r="A47" s="40" t="s">
        <v>364</v>
      </c>
      <c r="B47" s="40" t="s">
        <v>442</v>
      </c>
      <c r="C47" s="104">
        <v>0</v>
      </c>
      <c r="D47" s="104">
        <v>0</v>
      </c>
      <c r="E47" s="104">
        <v>0</v>
      </c>
      <c r="F47" s="104">
        <v>0</v>
      </c>
      <c r="G47" s="104">
        <v>0</v>
      </c>
      <c r="H47" s="33">
        <v>1</v>
      </c>
      <c r="I47" s="104">
        <v>0</v>
      </c>
      <c r="J47" s="104">
        <v>0</v>
      </c>
      <c r="K47" s="33">
        <v>1</v>
      </c>
      <c r="L47" s="33">
        <v>1</v>
      </c>
      <c r="M47" s="104">
        <v>0</v>
      </c>
      <c r="N47" s="104">
        <v>0</v>
      </c>
    </row>
    <row r="48" spans="1:14" x14ac:dyDescent="0.25">
      <c r="A48" s="40" t="s">
        <v>365</v>
      </c>
      <c r="B48" s="40" t="s">
        <v>443</v>
      </c>
      <c r="C48" s="104">
        <v>0</v>
      </c>
      <c r="D48" s="104">
        <v>0</v>
      </c>
      <c r="E48" s="104">
        <v>0</v>
      </c>
      <c r="F48" s="104">
        <v>0</v>
      </c>
      <c r="G48" s="104">
        <v>0</v>
      </c>
      <c r="H48" s="33">
        <v>1</v>
      </c>
      <c r="I48" s="104">
        <v>0</v>
      </c>
      <c r="J48" s="104">
        <v>0</v>
      </c>
      <c r="K48" s="33">
        <v>1</v>
      </c>
      <c r="L48" s="33">
        <v>1</v>
      </c>
      <c r="M48" s="104">
        <v>0</v>
      </c>
      <c r="N48" s="104">
        <v>0</v>
      </c>
    </row>
    <row r="49" spans="1:22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</row>
    <row r="50" spans="1:22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</row>
    <row r="51" spans="1:22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</row>
    <row r="52" spans="1:22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</row>
    <row r="53" spans="1:22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</row>
    <row r="54" spans="1:22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</row>
    <row r="55" spans="1:22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</row>
    <row r="56" spans="1:22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</row>
    <row r="57" spans="1:22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</row>
    <row r="58" spans="1:22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</row>
    <row r="59" spans="1:22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</row>
    <row r="60" spans="1:22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</row>
    <row r="61" spans="1:22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</row>
    <row r="62" spans="1:22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</row>
    <row r="63" spans="1:22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</row>
    <row r="64" spans="1:22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</row>
    <row r="65" spans="1:22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</row>
    <row r="66" spans="1:22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</row>
    <row r="67" spans="1:22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</row>
    <row r="68" spans="1:22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</row>
    <row r="69" spans="1:22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</row>
    <row r="70" spans="1:22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</row>
    <row r="71" spans="1:22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</row>
    <row r="72" spans="1:22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</row>
    <row r="73" spans="1:22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</row>
    <row r="74" spans="1:22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</row>
    <row r="75" spans="1:22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</row>
    <row r="76" spans="1:22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</row>
    <row r="77" spans="1:22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</row>
    <row r="78" spans="1:22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</row>
    <row r="79" spans="1:22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</row>
    <row r="80" spans="1:22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</row>
    <row r="81" spans="1:22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</row>
    <row r="82" spans="1:22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</row>
    <row r="83" spans="1:22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</row>
    <row r="84" spans="1:22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</row>
    <row r="85" spans="1:22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</row>
    <row r="86" spans="1:22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</row>
    <row r="87" spans="1:22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</row>
    <row r="88" spans="1:22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</row>
    <row r="89" spans="1:22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</row>
    <row r="90" spans="1:22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</row>
    <row r="91" spans="1:22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</row>
    <row r="92" spans="1:22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</row>
    <row r="93" spans="1:22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</row>
    <row r="94" spans="1:22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</row>
    <row r="95" spans="1:22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</row>
    <row r="96" spans="1:22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</row>
    <row r="97" spans="1:22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</row>
    <row r="98" spans="1:22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</row>
    <row r="99" spans="1:22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</row>
    <row r="100" spans="1:22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</row>
    <row r="101" spans="1:22" x14ac:dyDescent="0.2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</row>
    <row r="102" spans="1:22" x14ac:dyDescent="0.2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</row>
    <row r="103" spans="1:22" x14ac:dyDescent="0.2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</row>
    <row r="104" spans="1:22" x14ac:dyDescent="0.2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</row>
    <row r="105" spans="1:22" x14ac:dyDescent="0.2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</row>
    <row r="106" spans="1:22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</row>
    <row r="107" spans="1:22" x14ac:dyDescent="0.2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</row>
    <row r="108" spans="1:22" x14ac:dyDescent="0.2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</row>
    <row r="109" spans="1:22" x14ac:dyDescent="0.2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</row>
    <row r="110" spans="1:22" x14ac:dyDescent="0.2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</row>
    <row r="111" spans="1:22" x14ac:dyDescent="0.2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</row>
    <row r="112" spans="1:22" x14ac:dyDescent="0.2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</row>
    <row r="113" spans="1:22" x14ac:dyDescent="0.2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</row>
    <row r="114" spans="1:22" x14ac:dyDescent="0.2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</row>
    <row r="115" spans="1:22" x14ac:dyDescent="0.2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</row>
    <row r="116" spans="1:22" x14ac:dyDescent="0.2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</row>
    <row r="117" spans="1:22" x14ac:dyDescent="0.2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</row>
    <row r="118" spans="1:22" x14ac:dyDescent="0.2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</row>
    <row r="119" spans="1:22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</row>
    <row r="120" spans="1:22" x14ac:dyDescent="0.2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</row>
    <row r="121" spans="1:22" x14ac:dyDescent="0.2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</row>
    <row r="122" spans="1:22" x14ac:dyDescent="0.2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</row>
    <row r="123" spans="1:22" x14ac:dyDescent="0.2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</row>
    <row r="124" spans="1:22" x14ac:dyDescent="0.2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</row>
    <row r="125" spans="1:22" x14ac:dyDescent="0.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</row>
    <row r="126" spans="1:22" x14ac:dyDescent="0.2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</row>
    <row r="127" spans="1:22" x14ac:dyDescent="0.2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</row>
    <row r="128" spans="1:22" x14ac:dyDescent="0.2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</row>
    <row r="129" spans="1:22" x14ac:dyDescent="0.2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</row>
    <row r="130" spans="1:22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</row>
    <row r="131" spans="1:22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</row>
    <row r="132" spans="1:22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</row>
    <row r="133" spans="1:22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</row>
    <row r="134" spans="1:22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</row>
    <row r="135" spans="1:22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</row>
    <row r="136" spans="1:22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</row>
    <row r="137" spans="1:22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</row>
    <row r="138" spans="1:22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</row>
    <row r="139" spans="1:22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</row>
    <row r="140" spans="1:22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</row>
    <row r="141" spans="1:22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</row>
    <row r="142" spans="1:22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</row>
    <row r="143" spans="1:22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</row>
    <row r="144" spans="1:22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</row>
    <row r="145" spans="1:22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</row>
    <row r="146" spans="1:22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</row>
    <row r="147" spans="1:22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</row>
    <row r="148" spans="1:22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</row>
    <row r="149" spans="1:22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</row>
    <row r="150" spans="1:22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</row>
    <row r="151" spans="1:22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</row>
    <row r="152" spans="1:22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</row>
    <row r="153" spans="1:22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</row>
    <row r="154" spans="1:22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</row>
    <row r="155" spans="1:22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</row>
    <row r="156" spans="1:22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</row>
    <row r="157" spans="1:22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</row>
    <row r="158" spans="1:22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</row>
    <row r="159" spans="1:22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</row>
    <row r="160" spans="1:22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</row>
    <row r="161" spans="1:22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</row>
    <row r="162" spans="1:22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</row>
    <row r="163" spans="1:22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</row>
    <row r="164" spans="1:22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</row>
    <row r="165" spans="1:22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</row>
    <row r="166" spans="1:22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</row>
    <row r="167" spans="1:22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</row>
    <row r="168" spans="1:22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</row>
    <row r="169" spans="1:22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</row>
    <row r="170" spans="1:22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</row>
    <row r="171" spans="1:22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</row>
    <row r="172" spans="1:22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</row>
    <row r="173" spans="1:22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</row>
    <row r="174" spans="1:22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</row>
    <row r="175" spans="1:22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</row>
    <row r="176" spans="1:22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</row>
    <row r="177" spans="1:22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</row>
    <row r="178" spans="1:22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</row>
    <row r="179" spans="1:22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</row>
    <row r="180" spans="1:22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</row>
    <row r="181" spans="1:22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</row>
    <row r="182" spans="1:22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</row>
    <row r="183" spans="1:22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</row>
    <row r="184" spans="1:22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</row>
    <row r="185" spans="1:22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</row>
    <row r="186" spans="1:22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</row>
    <row r="187" spans="1:22" x14ac:dyDescent="0.2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</row>
    <row r="188" spans="1:22" x14ac:dyDescent="0.25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</row>
    <row r="189" spans="1:22" x14ac:dyDescent="0.25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</row>
    <row r="190" spans="1:22" x14ac:dyDescent="0.25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</row>
    <row r="191" spans="1:22" x14ac:dyDescent="0.25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</row>
    <row r="192" spans="1:22" x14ac:dyDescent="0.25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</row>
    <row r="193" spans="1:22" x14ac:dyDescent="0.25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</row>
    <row r="194" spans="1:22" x14ac:dyDescent="0.25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</row>
    <row r="195" spans="1:22" x14ac:dyDescent="0.2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</row>
    <row r="196" spans="1:22" x14ac:dyDescent="0.25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</row>
    <row r="197" spans="1:22" x14ac:dyDescent="0.25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</row>
    <row r="198" spans="1:22" x14ac:dyDescent="0.2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</row>
    <row r="199" spans="1:22" x14ac:dyDescent="0.25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</row>
    <row r="200" spans="1:22" x14ac:dyDescent="0.25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</row>
    <row r="201" spans="1:22" x14ac:dyDescent="0.25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</row>
    <row r="202" spans="1:22" x14ac:dyDescent="0.25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</row>
    <row r="203" spans="1:22" x14ac:dyDescent="0.25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</row>
    <row r="204" spans="1:22" x14ac:dyDescent="0.25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</row>
    <row r="205" spans="1:22" x14ac:dyDescent="0.2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</row>
    <row r="206" spans="1:22" x14ac:dyDescent="0.25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</row>
    <row r="207" spans="1:22" x14ac:dyDescent="0.25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</row>
    <row r="208" spans="1:22" x14ac:dyDescent="0.25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</row>
    <row r="209" spans="1:22" x14ac:dyDescent="0.25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</row>
    <row r="210" spans="1:22" x14ac:dyDescent="0.25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</row>
    <row r="211" spans="1:22" x14ac:dyDescent="0.25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</row>
    <row r="212" spans="1:22" x14ac:dyDescent="0.25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</row>
    <row r="213" spans="1:22" x14ac:dyDescent="0.25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</row>
    <row r="214" spans="1:22" x14ac:dyDescent="0.25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</row>
    <row r="215" spans="1:22" x14ac:dyDescent="0.2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</row>
    <row r="216" spans="1:22" x14ac:dyDescent="0.25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</row>
    <row r="217" spans="1:22" x14ac:dyDescent="0.25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</row>
    <row r="218" spans="1:22" x14ac:dyDescent="0.25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</row>
    <row r="219" spans="1:22" x14ac:dyDescent="0.25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</row>
    <row r="220" spans="1:22" x14ac:dyDescent="0.25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</row>
    <row r="221" spans="1:22" x14ac:dyDescent="0.25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</row>
    <row r="222" spans="1:22" x14ac:dyDescent="0.25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</row>
    <row r="223" spans="1:22" x14ac:dyDescent="0.25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</row>
    <row r="224" spans="1:22" x14ac:dyDescent="0.25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</row>
    <row r="225" spans="1:22" x14ac:dyDescent="0.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</row>
    <row r="226" spans="1:22" x14ac:dyDescent="0.25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</row>
    <row r="227" spans="1:22" x14ac:dyDescent="0.25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</row>
    <row r="228" spans="1:22" x14ac:dyDescent="0.25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</row>
    <row r="229" spans="1:22" x14ac:dyDescent="0.25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</row>
    <row r="230" spans="1:22" x14ac:dyDescent="0.25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</row>
    <row r="231" spans="1:22" x14ac:dyDescent="0.25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</row>
    <row r="232" spans="1:22" x14ac:dyDescent="0.25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</row>
    <row r="233" spans="1:22" x14ac:dyDescent="0.25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</row>
    <row r="234" spans="1:22" x14ac:dyDescent="0.25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</row>
    <row r="235" spans="1:22" x14ac:dyDescent="0.2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</row>
    <row r="236" spans="1:22" x14ac:dyDescent="0.25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</row>
    <row r="237" spans="1:22" x14ac:dyDescent="0.25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</row>
    <row r="238" spans="1:22" x14ac:dyDescent="0.25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</row>
    <row r="239" spans="1:22" x14ac:dyDescent="0.25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</row>
    <row r="240" spans="1:22" x14ac:dyDescent="0.25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</row>
    <row r="241" spans="1:22" x14ac:dyDescent="0.25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</row>
    <row r="242" spans="1:22" x14ac:dyDescent="0.25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</row>
    <row r="243" spans="1:22" x14ac:dyDescent="0.25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</row>
    <row r="244" spans="1:22" x14ac:dyDescent="0.25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</row>
    <row r="245" spans="1:22" x14ac:dyDescent="0.2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</row>
    <row r="246" spans="1:22" x14ac:dyDescent="0.25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</row>
    <row r="247" spans="1:22" x14ac:dyDescent="0.25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</row>
    <row r="248" spans="1:22" x14ac:dyDescent="0.25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</row>
    <row r="249" spans="1:22" x14ac:dyDescent="0.25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</row>
    <row r="250" spans="1:22" x14ac:dyDescent="0.25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</row>
    <row r="251" spans="1:22" x14ac:dyDescent="0.25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</row>
    <row r="252" spans="1:22" x14ac:dyDescent="0.25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</row>
    <row r="253" spans="1:22" x14ac:dyDescent="0.25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</row>
    <row r="254" spans="1:22" x14ac:dyDescent="0.25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</row>
    <row r="255" spans="1:22" x14ac:dyDescent="0.2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</row>
    <row r="256" spans="1:22" x14ac:dyDescent="0.25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</row>
    <row r="257" spans="1:22" x14ac:dyDescent="0.25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</row>
    <row r="258" spans="1:22" x14ac:dyDescent="0.25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</row>
    <row r="259" spans="1:22" x14ac:dyDescent="0.25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</row>
    <row r="260" spans="1:22" x14ac:dyDescent="0.25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</row>
    <row r="261" spans="1:22" x14ac:dyDescent="0.25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</row>
    <row r="262" spans="1:22" x14ac:dyDescent="0.25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</row>
    <row r="263" spans="1:22" x14ac:dyDescent="0.25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</row>
    <row r="264" spans="1:22" x14ac:dyDescent="0.25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</row>
    <row r="265" spans="1:22" x14ac:dyDescent="0.2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</row>
    <row r="266" spans="1:22" x14ac:dyDescent="0.25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</row>
    <row r="267" spans="1:22" x14ac:dyDescent="0.25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</row>
    <row r="268" spans="1:22" x14ac:dyDescent="0.25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</row>
    <row r="269" spans="1:22" x14ac:dyDescent="0.25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</row>
    <row r="270" spans="1:22" x14ac:dyDescent="0.25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</row>
    <row r="271" spans="1:22" x14ac:dyDescent="0.25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</row>
    <row r="272" spans="1:22" x14ac:dyDescent="0.25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</row>
    <row r="273" spans="1:22" x14ac:dyDescent="0.25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</row>
    <row r="274" spans="1:22" x14ac:dyDescent="0.25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</row>
    <row r="275" spans="1:22" x14ac:dyDescent="0.2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</row>
    <row r="276" spans="1:22" x14ac:dyDescent="0.25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</row>
    <row r="277" spans="1:22" x14ac:dyDescent="0.25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</row>
    <row r="278" spans="1:22" x14ac:dyDescent="0.25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</row>
    <row r="279" spans="1:22" x14ac:dyDescent="0.25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</row>
    <row r="280" spans="1:22" x14ac:dyDescent="0.25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</row>
    <row r="281" spans="1:22" x14ac:dyDescent="0.25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</row>
    <row r="282" spans="1:22" x14ac:dyDescent="0.25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</row>
    <row r="283" spans="1:22" x14ac:dyDescent="0.25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</row>
    <row r="284" spans="1:22" x14ac:dyDescent="0.25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</row>
    <row r="285" spans="1:22" x14ac:dyDescent="0.2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</row>
    <row r="286" spans="1:22" x14ac:dyDescent="0.25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</row>
    <row r="287" spans="1:22" x14ac:dyDescent="0.25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</row>
    <row r="288" spans="1:22" x14ac:dyDescent="0.25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</row>
    <row r="289" spans="1:22" x14ac:dyDescent="0.25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</row>
    <row r="290" spans="1:22" x14ac:dyDescent="0.25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</row>
    <row r="291" spans="1:22" x14ac:dyDescent="0.25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</row>
    <row r="292" spans="1:22" x14ac:dyDescent="0.25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</row>
    <row r="293" spans="1:22" x14ac:dyDescent="0.25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</row>
    <row r="294" spans="1:22" x14ac:dyDescent="0.25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</row>
    <row r="295" spans="1:22" x14ac:dyDescent="0.2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</row>
    <row r="296" spans="1:22" x14ac:dyDescent="0.25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</row>
    <row r="297" spans="1:22" x14ac:dyDescent="0.25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</row>
    <row r="298" spans="1:22" x14ac:dyDescent="0.25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</row>
    <row r="299" spans="1:22" x14ac:dyDescent="0.25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</row>
    <row r="300" spans="1:22" x14ac:dyDescent="0.25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</row>
    <row r="301" spans="1:22" x14ac:dyDescent="0.25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</row>
    <row r="302" spans="1:22" x14ac:dyDescent="0.25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</row>
    <row r="303" spans="1:22" x14ac:dyDescent="0.25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</row>
    <row r="304" spans="1:22" x14ac:dyDescent="0.25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</row>
    <row r="305" spans="1:22" x14ac:dyDescent="0.2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</row>
    <row r="306" spans="1:22" x14ac:dyDescent="0.25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</row>
    <row r="307" spans="1:22" x14ac:dyDescent="0.25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</row>
    <row r="308" spans="1:22" x14ac:dyDescent="0.25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</row>
    <row r="309" spans="1:22" x14ac:dyDescent="0.25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</row>
    <row r="310" spans="1:22" x14ac:dyDescent="0.25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</row>
    <row r="311" spans="1:22" x14ac:dyDescent="0.25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</row>
    <row r="312" spans="1:22" x14ac:dyDescent="0.25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</row>
    <row r="313" spans="1:22" x14ac:dyDescent="0.25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</row>
    <row r="314" spans="1:22" x14ac:dyDescent="0.25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</row>
    <row r="315" spans="1:22" x14ac:dyDescent="0.2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</row>
    <row r="316" spans="1:22" x14ac:dyDescent="0.25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</row>
    <row r="317" spans="1:22" x14ac:dyDescent="0.25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</row>
    <row r="318" spans="1:22" x14ac:dyDescent="0.25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</row>
    <row r="319" spans="1:22" x14ac:dyDescent="0.25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</row>
    <row r="320" spans="1:22" x14ac:dyDescent="0.25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</row>
    <row r="321" spans="1:22" x14ac:dyDescent="0.25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</row>
    <row r="322" spans="1:22" x14ac:dyDescent="0.25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</row>
    <row r="323" spans="1:22" x14ac:dyDescent="0.25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</row>
    <row r="324" spans="1:22" x14ac:dyDescent="0.25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</row>
    <row r="325" spans="1:22" x14ac:dyDescent="0.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</row>
    <row r="326" spans="1:22" x14ac:dyDescent="0.25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</row>
    <row r="327" spans="1:22" x14ac:dyDescent="0.25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</row>
    <row r="328" spans="1:22" x14ac:dyDescent="0.25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</row>
    <row r="329" spans="1:22" x14ac:dyDescent="0.25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</row>
    <row r="330" spans="1:22" x14ac:dyDescent="0.25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</row>
    <row r="331" spans="1:22" x14ac:dyDescent="0.25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</row>
    <row r="332" spans="1:22" x14ac:dyDescent="0.25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</row>
    <row r="333" spans="1:22" x14ac:dyDescent="0.25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</row>
  </sheetData>
  <pageMargins left="0.7" right="0.7" top="0.75" bottom="0.75" header="0.3" footer="0.3"/>
  <pageSetup paperSize="9" scale="5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7"/>
  <sheetViews>
    <sheetView zoomScaleNormal="100" workbookViewId="0">
      <pane ySplit="1" topLeftCell="A65" activePane="bottomLeft" state="frozen"/>
      <selection activeCell="M23" sqref="M23"/>
      <selection pane="bottomLeft" activeCell="R83" sqref="A65:R83"/>
    </sheetView>
  </sheetViews>
  <sheetFormatPr defaultColWidth="8.85546875" defaultRowHeight="15" x14ac:dyDescent="0.25"/>
  <cols>
    <col min="2" max="2" width="23.5703125" customWidth="1"/>
  </cols>
  <sheetData>
    <row r="1" spans="1:15" ht="15.75" thickBot="1" x14ac:dyDescent="0.3">
      <c r="B1" s="21"/>
      <c r="C1" s="22"/>
      <c r="D1" s="60" t="s">
        <v>37</v>
      </c>
      <c r="E1" s="60" t="s">
        <v>38</v>
      </c>
      <c r="F1" s="60" t="s">
        <v>39</v>
      </c>
      <c r="G1" s="60" t="s">
        <v>40</v>
      </c>
      <c r="H1" s="60" t="s">
        <v>36</v>
      </c>
      <c r="I1" s="60" t="s">
        <v>41</v>
      </c>
      <c r="J1" s="61" t="s">
        <v>42</v>
      </c>
      <c r="K1" s="61" t="s">
        <v>43</v>
      </c>
      <c r="L1" s="61" t="s">
        <v>44</v>
      </c>
      <c r="M1" s="61" t="s">
        <v>45</v>
      </c>
      <c r="N1" s="60" t="s">
        <v>46</v>
      </c>
      <c r="O1" s="61" t="s">
        <v>47</v>
      </c>
    </row>
    <row r="2" spans="1:15" ht="15.75" thickBot="1" x14ac:dyDescent="0.3">
      <c r="B2" s="26" t="s">
        <v>0</v>
      </c>
      <c r="C2" s="28" t="s">
        <v>1</v>
      </c>
      <c r="D2" s="1"/>
      <c r="E2" s="2"/>
      <c r="F2" s="2"/>
      <c r="G2" s="2"/>
      <c r="H2" s="2"/>
      <c r="I2" s="1"/>
      <c r="J2" s="2"/>
      <c r="K2" s="2"/>
      <c r="L2" s="2"/>
      <c r="M2" s="2"/>
      <c r="N2" s="27"/>
      <c r="O2" s="2"/>
    </row>
    <row r="3" spans="1:15" x14ac:dyDescent="0.25">
      <c r="B3" s="40" t="s">
        <v>222</v>
      </c>
      <c r="C3" s="40" t="s">
        <v>223</v>
      </c>
      <c r="D3" s="20">
        <v>0</v>
      </c>
      <c r="E3" s="7">
        <v>0</v>
      </c>
      <c r="F3" s="7">
        <v>0</v>
      </c>
      <c r="G3" s="7">
        <v>0</v>
      </c>
      <c r="H3" s="7">
        <v>0</v>
      </c>
      <c r="I3" s="6">
        <v>0</v>
      </c>
      <c r="J3" s="7">
        <v>0</v>
      </c>
      <c r="K3" s="7">
        <v>0</v>
      </c>
      <c r="L3" s="7">
        <v>0</v>
      </c>
      <c r="M3" s="7">
        <v>0</v>
      </c>
      <c r="N3" s="20">
        <v>0</v>
      </c>
      <c r="O3" s="7">
        <v>0</v>
      </c>
    </row>
    <row r="4" spans="1:15" x14ac:dyDescent="0.25">
      <c r="B4" s="40" t="s">
        <v>224</v>
      </c>
      <c r="C4" s="40" t="s">
        <v>225</v>
      </c>
      <c r="D4" s="17">
        <v>0</v>
      </c>
      <c r="E4" s="3">
        <v>0</v>
      </c>
      <c r="F4" s="3">
        <v>0</v>
      </c>
      <c r="G4" s="3">
        <v>0</v>
      </c>
      <c r="H4" s="3">
        <v>0</v>
      </c>
      <c r="I4" s="8">
        <v>0</v>
      </c>
      <c r="J4" s="3">
        <v>0</v>
      </c>
      <c r="K4" s="3">
        <v>0</v>
      </c>
      <c r="L4" s="3">
        <v>0</v>
      </c>
      <c r="M4" s="3">
        <v>0</v>
      </c>
      <c r="N4" s="17">
        <v>0</v>
      </c>
      <c r="O4" s="3">
        <v>0</v>
      </c>
    </row>
    <row r="5" spans="1:15" x14ac:dyDescent="0.25">
      <c r="B5" s="40" t="s">
        <v>226</v>
      </c>
      <c r="C5" s="40" t="s">
        <v>227</v>
      </c>
      <c r="D5" s="17">
        <v>0</v>
      </c>
      <c r="E5" s="3">
        <v>0</v>
      </c>
      <c r="F5" s="3">
        <v>0</v>
      </c>
      <c r="G5" s="3">
        <v>0</v>
      </c>
      <c r="H5" s="3">
        <v>0</v>
      </c>
      <c r="I5" s="8">
        <v>0</v>
      </c>
      <c r="J5" s="3">
        <v>0</v>
      </c>
      <c r="K5" s="3">
        <v>0</v>
      </c>
      <c r="L5" s="3">
        <v>0</v>
      </c>
      <c r="M5" s="3">
        <v>0</v>
      </c>
      <c r="N5" s="17">
        <v>0</v>
      </c>
      <c r="O5" s="3">
        <v>0</v>
      </c>
    </row>
    <row r="6" spans="1:15" x14ac:dyDescent="0.25">
      <c r="B6" s="40" t="s">
        <v>228</v>
      </c>
      <c r="C6" s="40" t="s">
        <v>229</v>
      </c>
      <c r="D6" s="17">
        <v>0</v>
      </c>
      <c r="E6" s="3">
        <v>0</v>
      </c>
      <c r="F6" s="3">
        <v>0</v>
      </c>
      <c r="G6" s="3">
        <v>0</v>
      </c>
      <c r="H6" s="3">
        <v>0</v>
      </c>
      <c r="I6" s="8">
        <v>0</v>
      </c>
      <c r="J6" s="3">
        <v>0</v>
      </c>
      <c r="K6" s="3">
        <v>0</v>
      </c>
      <c r="L6" s="3">
        <v>0</v>
      </c>
      <c r="M6" s="3">
        <v>0</v>
      </c>
      <c r="N6" s="17">
        <v>0</v>
      </c>
      <c r="O6" s="3">
        <v>0</v>
      </c>
    </row>
    <row r="7" spans="1:15" x14ac:dyDescent="0.25">
      <c r="B7" s="40" t="s">
        <v>230</v>
      </c>
      <c r="C7" s="40" t="s">
        <v>231</v>
      </c>
      <c r="D7" s="43">
        <v>0</v>
      </c>
      <c r="E7" s="42">
        <v>0</v>
      </c>
      <c r="F7" s="42">
        <v>0</v>
      </c>
      <c r="G7" s="42">
        <v>0</v>
      </c>
      <c r="H7" s="42">
        <v>0</v>
      </c>
      <c r="I7" s="41">
        <v>0</v>
      </c>
      <c r="J7" s="42">
        <v>0</v>
      </c>
      <c r="K7" s="42">
        <v>0</v>
      </c>
      <c r="L7" s="42">
        <v>0</v>
      </c>
      <c r="M7" s="42">
        <v>0</v>
      </c>
      <c r="N7" s="43">
        <v>0</v>
      </c>
      <c r="O7" s="42">
        <v>0</v>
      </c>
    </row>
    <row r="8" spans="1:15" x14ac:dyDescent="0.25">
      <c r="B8" s="40" t="s">
        <v>232</v>
      </c>
      <c r="C8" s="40" t="s">
        <v>233</v>
      </c>
      <c r="D8" s="19">
        <v>0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0</v>
      </c>
      <c r="K8" s="14">
        <v>0</v>
      </c>
      <c r="L8" s="14">
        <v>0</v>
      </c>
      <c r="M8" s="14">
        <v>0</v>
      </c>
      <c r="N8" s="19">
        <v>0</v>
      </c>
      <c r="O8" s="14">
        <v>0</v>
      </c>
    </row>
    <row r="9" spans="1:15" x14ac:dyDescent="0.25">
      <c r="B9" s="40" t="s">
        <v>234</v>
      </c>
      <c r="C9" s="40" t="s">
        <v>235</v>
      </c>
      <c r="D9" s="17">
        <v>0</v>
      </c>
      <c r="E9" s="3">
        <v>0</v>
      </c>
      <c r="F9" s="3">
        <v>0</v>
      </c>
      <c r="G9" s="3">
        <v>0</v>
      </c>
      <c r="H9" s="3">
        <v>0</v>
      </c>
      <c r="I9" s="8">
        <v>0</v>
      </c>
      <c r="J9" s="3">
        <v>0</v>
      </c>
      <c r="K9" s="3">
        <v>0</v>
      </c>
      <c r="L9" s="3">
        <v>0</v>
      </c>
      <c r="M9" s="3">
        <v>0</v>
      </c>
      <c r="N9" s="17">
        <v>0</v>
      </c>
      <c r="O9" s="3">
        <v>0</v>
      </c>
    </row>
    <row r="10" spans="1:15" x14ac:dyDescent="0.25">
      <c r="B10" s="40" t="s">
        <v>236</v>
      </c>
      <c r="C10" s="40" t="s">
        <v>237</v>
      </c>
      <c r="D10" s="17">
        <v>0</v>
      </c>
      <c r="E10" s="3">
        <v>0</v>
      </c>
      <c r="F10" s="3">
        <v>0</v>
      </c>
      <c r="G10" s="3">
        <v>0</v>
      </c>
      <c r="H10" s="3">
        <v>0</v>
      </c>
      <c r="I10" s="8">
        <v>0</v>
      </c>
      <c r="J10" s="3">
        <v>0</v>
      </c>
      <c r="K10" s="3">
        <v>0</v>
      </c>
      <c r="L10" s="3">
        <v>0</v>
      </c>
      <c r="M10" s="3">
        <v>0</v>
      </c>
      <c r="N10" s="17">
        <v>0</v>
      </c>
      <c r="O10" s="3">
        <v>0</v>
      </c>
    </row>
    <row r="11" spans="1:15" x14ac:dyDescent="0.25">
      <c r="B11" s="40" t="s">
        <v>238</v>
      </c>
      <c r="C11" s="40" t="s">
        <v>239</v>
      </c>
      <c r="D11" s="17">
        <v>0</v>
      </c>
      <c r="E11" s="3">
        <v>0</v>
      </c>
      <c r="F11" s="3">
        <v>0</v>
      </c>
      <c r="G11" s="3">
        <v>0</v>
      </c>
      <c r="H11" s="3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17">
        <v>0</v>
      </c>
      <c r="O11" s="3">
        <v>0</v>
      </c>
    </row>
    <row r="12" spans="1:15" x14ac:dyDescent="0.25">
      <c r="B12" s="40" t="s">
        <v>240</v>
      </c>
      <c r="C12" s="40" t="s">
        <v>241</v>
      </c>
      <c r="D12" s="17">
        <v>0</v>
      </c>
      <c r="E12" s="3">
        <v>0</v>
      </c>
      <c r="F12" s="3">
        <v>0</v>
      </c>
      <c r="G12" s="3">
        <v>0</v>
      </c>
      <c r="H12" s="3">
        <v>0</v>
      </c>
      <c r="I12" s="8">
        <v>0</v>
      </c>
      <c r="J12" s="3">
        <v>0</v>
      </c>
      <c r="K12" s="3">
        <v>0</v>
      </c>
      <c r="L12" s="3">
        <v>0</v>
      </c>
      <c r="M12" s="3">
        <v>0</v>
      </c>
      <c r="N12" s="17">
        <v>0</v>
      </c>
      <c r="O12" s="3">
        <v>0</v>
      </c>
    </row>
    <row r="13" spans="1:15" x14ac:dyDescent="0.25">
      <c r="B13" s="40" t="s">
        <v>242</v>
      </c>
      <c r="C13" s="40" t="s">
        <v>243</v>
      </c>
      <c r="D13" s="24">
        <v>0</v>
      </c>
      <c r="E13" s="23">
        <v>0</v>
      </c>
      <c r="F13" s="23">
        <v>0</v>
      </c>
      <c r="G13" s="23">
        <v>0</v>
      </c>
      <c r="H13" s="23">
        <v>0</v>
      </c>
      <c r="I13" s="12">
        <v>0</v>
      </c>
      <c r="J13" s="23">
        <v>0</v>
      </c>
      <c r="K13" s="23">
        <v>0</v>
      </c>
      <c r="L13" s="23">
        <v>0</v>
      </c>
      <c r="M13" s="23">
        <v>0</v>
      </c>
      <c r="N13" s="24">
        <v>0</v>
      </c>
      <c r="O13" s="23">
        <v>0</v>
      </c>
    </row>
    <row r="14" spans="1:15" s="33" customFormat="1" x14ac:dyDescent="0.25">
      <c r="A14" s="122"/>
      <c r="B14" s="40" t="s">
        <v>244</v>
      </c>
      <c r="C14" s="40" t="s">
        <v>245</v>
      </c>
      <c r="D14" s="17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s="33" customFormat="1" x14ac:dyDescent="0.25">
      <c r="A15" s="40" t="s">
        <v>464</v>
      </c>
      <c r="B15" s="33" t="s">
        <v>465</v>
      </c>
      <c r="C15" s="40" t="s">
        <v>343</v>
      </c>
      <c r="D15" s="3">
        <v>0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1</v>
      </c>
      <c r="L15" s="3">
        <v>1</v>
      </c>
      <c r="M15" s="3">
        <v>1</v>
      </c>
      <c r="N15" s="3">
        <v>0</v>
      </c>
      <c r="O15" s="3">
        <v>0</v>
      </c>
    </row>
    <row r="16" spans="1:15" s="33" customFormat="1" x14ac:dyDescent="0.25">
      <c r="A16" s="122"/>
      <c r="B16" s="33" t="s">
        <v>466</v>
      </c>
      <c r="C16" s="40" t="s">
        <v>344</v>
      </c>
      <c r="D16" s="3">
        <v>0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3">
        <v>0</v>
      </c>
      <c r="O16" s="3">
        <v>0</v>
      </c>
    </row>
    <row r="17" spans="1:21" s="33" customFormat="1" x14ac:dyDescent="0.25">
      <c r="A17" s="122"/>
      <c r="B17" s="33" t="s">
        <v>467</v>
      </c>
      <c r="C17" s="40" t="s">
        <v>345</v>
      </c>
      <c r="D17" s="3">
        <v>0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1</v>
      </c>
      <c r="L17" s="3">
        <v>1</v>
      </c>
      <c r="M17" s="3">
        <v>1</v>
      </c>
      <c r="N17" s="3">
        <v>0</v>
      </c>
      <c r="O17" s="3">
        <v>0</v>
      </c>
    </row>
    <row r="18" spans="1:21" s="47" customFormat="1" x14ac:dyDescent="0.25">
      <c r="B18" s="33" t="s">
        <v>468</v>
      </c>
      <c r="C18" s="40" t="s">
        <v>346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1</v>
      </c>
      <c r="L18" s="3">
        <v>1</v>
      </c>
      <c r="M18" s="3">
        <v>1</v>
      </c>
      <c r="N18" s="3">
        <v>0</v>
      </c>
      <c r="O18" s="3">
        <v>0</v>
      </c>
    </row>
    <row r="19" spans="1:21" s="47" customFormat="1" x14ac:dyDescent="0.25">
      <c r="B19" s="33" t="s">
        <v>469</v>
      </c>
      <c r="C19" s="40" t="s">
        <v>347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193">
        <v>1</v>
      </c>
      <c r="L19" s="3">
        <v>1</v>
      </c>
      <c r="M19" s="3">
        <v>1</v>
      </c>
      <c r="N19" s="3">
        <v>0</v>
      </c>
      <c r="O19" s="3">
        <v>0</v>
      </c>
    </row>
    <row r="20" spans="1:21" s="47" customFormat="1" x14ac:dyDescent="0.25">
      <c r="B20" s="33" t="s">
        <v>470</v>
      </c>
      <c r="C20" s="40" t="s">
        <v>348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>
        <v>1</v>
      </c>
      <c r="L20" s="3">
        <v>1</v>
      </c>
      <c r="M20" s="3">
        <v>1</v>
      </c>
      <c r="N20" s="3">
        <v>0</v>
      </c>
      <c r="O20" s="3">
        <v>0</v>
      </c>
    </row>
    <row r="21" spans="1:21" s="47" customFormat="1" x14ac:dyDescent="0.25">
      <c r="B21" s="33" t="s">
        <v>471</v>
      </c>
      <c r="C21" s="40" t="s">
        <v>349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193">
        <v>1</v>
      </c>
      <c r="L21" s="3">
        <v>1</v>
      </c>
      <c r="M21" s="3">
        <v>1</v>
      </c>
      <c r="N21" s="3">
        <v>0</v>
      </c>
      <c r="O21" s="3">
        <v>0</v>
      </c>
    </row>
    <row r="22" spans="1:21" s="47" customFormat="1" x14ac:dyDescent="0.25">
      <c r="B22" s="33" t="s">
        <v>472</v>
      </c>
      <c r="C22" s="40" t="s">
        <v>447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1</v>
      </c>
      <c r="M22" s="3">
        <v>1</v>
      </c>
      <c r="N22" s="3">
        <v>0</v>
      </c>
      <c r="O22" s="3">
        <v>0</v>
      </c>
      <c r="U22" s="47">
        <v>8</v>
      </c>
    </row>
    <row r="23" spans="1:21" s="47" customFormat="1" x14ac:dyDescent="0.25">
      <c r="B23" s="33" t="s">
        <v>473</v>
      </c>
      <c r="C23" s="40" t="s">
        <v>448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1</v>
      </c>
      <c r="M23" s="3">
        <v>1</v>
      </c>
      <c r="N23" s="3">
        <v>0</v>
      </c>
      <c r="O23" s="3">
        <v>0</v>
      </c>
      <c r="U23" s="47">
        <v>8</v>
      </c>
    </row>
    <row r="24" spans="1:21" x14ac:dyDescent="0.25">
      <c r="B24" s="44"/>
      <c r="C24" s="44"/>
    </row>
    <row r="25" spans="1:21" x14ac:dyDescent="0.25">
      <c r="B25" s="44"/>
      <c r="C25" s="44"/>
    </row>
    <row r="26" spans="1:21" s="33" customFormat="1" x14ac:dyDescent="0.25">
      <c r="A26" s="122"/>
      <c r="B26" s="49"/>
      <c r="C26" s="50"/>
      <c r="D26" s="32" t="s">
        <v>37</v>
      </c>
      <c r="E26" s="32" t="s">
        <v>38</v>
      </c>
      <c r="F26" s="32" t="s">
        <v>39</v>
      </c>
      <c r="G26" s="32" t="s">
        <v>40</v>
      </c>
      <c r="H26" s="32" t="s">
        <v>36</v>
      </c>
      <c r="I26" s="32" t="s">
        <v>41</v>
      </c>
      <c r="J26" s="32" t="s">
        <v>42</v>
      </c>
      <c r="K26" s="32" t="s">
        <v>43</v>
      </c>
      <c r="L26" s="32" t="s">
        <v>44</v>
      </c>
      <c r="M26" s="32" t="s">
        <v>45</v>
      </c>
      <c r="N26" s="32" t="s">
        <v>46</v>
      </c>
      <c r="O26" s="32" t="s">
        <v>47</v>
      </c>
    </row>
    <row r="27" spans="1:21" x14ac:dyDescent="0.25">
      <c r="B27" s="51" t="s">
        <v>0</v>
      </c>
      <c r="C27" s="52" t="s">
        <v>1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spans="1:21" s="140" customFormat="1" x14ac:dyDescent="0.25">
      <c r="B28" s="136" t="s">
        <v>246</v>
      </c>
      <c r="C28" s="136" t="s">
        <v>247</v>
      </c>
      <c r="D28" s="137"/>
      <c r="E28" s="138"/>
      <c r="F28" s="138"/>
      <c r="G28" s="138"/>
      <c r="H28" s="138"/>
      <c r="I28" s="137"/>
      <c r="J28" s="138">
        <v>1</v>
      </c>
      <c r="K28" s="138"/>
      <c r="L28" s="138"/>
      <c r="M28" s="138">
        <v>1</v>
      </c>
      <c r="N28" s="139"/>
      <c r="O28" s="138"/>
      <c r="U28" s="140">
        <v>7</v>
      </c>
    </row>
    <row r="29" spans="1:21" s="140" customFormat="1" x14ac:dyDescent="0.25">
      <c r="B29" s="136" t="s">
        <v>248</v>
      </c>
      <c r="C29" s="136" t="s">
        <v>249</v>
      </c>
      <c r="D29" s="141"/>
      <c r="E29" s="142"/>
      <c r="F29" s="142"/>
      <c r="G29" s="142"/>
      <c r="H29" s="142"/>
      <c r="I29" s="141"/>
      <c r="J29" s="142">
        <v>1</v>
      </c>
      <c r="K29" s="142"/>
      <c r="L29" s="142"/>
      <c r="M29" s="142">
        <v>1</v>
      </c>
      <c r="N29" s="143"/>
      <c r="O29" s="142"/>
      <c r="U29" s="140">
        <v>7</v>
      </c>
    </row>
    <row r="30" spans="1:21" s="140" customFormat="1" x14ac:dyDescent="0.25">
      <c r="B30" s="136" t="s">
        <v>250</v>
      </c>
      <c r="C30" s="136" t="s">
        <v>251</v>
      </c>
      <c r="D30" s="144"/>
      <c r="E30" s="145">
        <v>1</v>
      </c>
      <c r="F30" s="145"/>
      <c r="G30" s="145"/>
      <c r="H30" s="145"/>
      <c r="I30" s="144"/>
      <c r="J30" s="145"/>
      <c r="K30" s="145"/>
      <c r="L30" s="145"/>
      <c r="M30" s="145"/>
      <c r="N30" s="146"/>
      <c r="O30" s="145"/>
    </row>
    <row r="31" spans="1:21" s="140" customFormat="1" x14ac:dyDescent="0.25">
      <c r="B31" s="136" t="s">
        <v>252</v>
      </c>
      <c r="C31" s="136" t="s">
        <v>253</v>
      </c>
      <c r="D31" s="145"/>
      <c r="E31" s="145">
        <v>1</v>
      </c>
      <c r="F31" s="145"/>
      <c r="G31" s="145"/>
      <c r="H31" s="145"/>
      <c r="I31" s="145"/>
      <c r="J31" s="145"/>
      <c r="K31" s="145"/>
      <c r="L31" s="145"/>
      <c r="M31" s="145"/>
      <c r="N31" s="145"/>
      <c r="O31" s="145"/>
    </row>
    <row r="32" spans="1:21" s="136" customFormat="1" x14ac:dyDescent="0.25">
      <c r="A32" s="160"/>
      <c r="B32" s="136" t="s">
        <v>254</v>
      </c>
      <c r="C32" s="136" t="s">
        <v>255</v>
      </c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</row>
    <row r="33" spans="2:15" s="140" customFormat="1" x14ac:dyDescent="0.25">
      <c r="B33" s="136" t="s">
        <v>256</v>
      </c>
      <c r="C33" s="136" t="s">
        <v>257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</row>
    <row r="34" spans="2:15" s="140" customFormat="1" x14ac:dyDescent="0.25">
      <c r="B34" s="136" t="s">
        <v>258</v>
      </c>
      <c r="C34" s="136" t="s">
        <v>259</v>
      </c>
      <c r="D34" s="148"/>
      <c r="E34" s="149"/>
      <c r="F34" s="149"/>
      <c r="G34" s="149"/>
      <c r="H34" s="149"/>
      <c r="I34" s="148"/>
      <c r="J34" s="149"/>
      <c r="K34" s="149"/>
      <c r="L34" s="149"/>
      <c r="M34" s="149"/>
      <c r="N34" s="150"/>
      <c r="O34" s="149"/>
    </row>
    <row r="35" spans="2:15" s="140" customFormat="1" x14ac:dyDescent="0.25">
      <c r="B35" s="136" t="s">
        <v>260</v>
      </c>
      <c r="C35" s="136" t="s">
        <v>261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>
        <v>1</v>
      </c>
      <c r="N35" s="142"/>
      <c r="O35" s="142"/>
    </row>
    <row r="36" spans="2:15" s="140" customFormat="1" x14ac:dyDescent="0.25">
      <c r="B36" s="136" t="s">
        <v>262</v>
      </c>
      <c r="C36" s="136" t="s">
        <v>263</v>
      </c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</row>
    <row r="37" spans="2:15" s="140" customFormat="1" x14ac:dyDescent="0.25">
      <c r="B37" s="136" t="s">
        <v>264</v>
      </c>
      <c r="C37" s="136" t="s">
        <v>265</v>
      </c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</row>
    <row r="38" spans="2:15" s="140" customFormat="1" x14ac:dyDescent="0.25">
      <c r="B38" s="136" t="s">
        <v>266</v>
      </c>
      <c r="C38" s="136" t="s">
        <v>267</v>
      </c>
      <c r="D38" s="142"/>
      <c r="E38" s="142"/>
      <c r="F38" s="142"/>
      <c r="G38" s="142"/>
      <c r="H38" s="142"/>
      <c r="I38" s="142">
        <v>1</v>
      </c>
      <c r="J38" s="142"/>
      <c r="K38" s="142"/>
      <c r="L38" s="142">
        <v>1</v>
      </c>
      <c r="M38" s="142"/>
      <c r="N38" s="142"/>
      <c r="O38" s="142"/>
    </row>
    <row r="39" spans="2:15" x14ac:dyDescent="0.25">
      <c r="B39" s="40"/>
      <c r="C39" s="40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spans="2:15" x14ac:dyDescent="0.25">
      <c r="B40" s="40"/>
      <c r="C40" s="40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2:15" ht="15.75" thickBot="1" x14ac:dyDescent="0.3"/>
    <row r="42" spans="2:15" x14ac:dyDescent="0.25">
      <c r="B42" s="106"/>
      <c r="C42" s="107"/>
      <c r="D42" s="107" t="s">
        <v>379</v>
      </c>
      <c r="E42" s="107" t="s">
        <v>38</v>
      </c>
      <c r="F42" s="107" t="s">
        <v>39</v>
      </c>
      <c r="G42" s="107" t="s">
        <v>40</v>
      </c>
      <c r="H42" s="107" t="s">
        <v>36</v>
      </c>
      <c r="I42" s="107" t="s">
        <v>41</v>
      </c>
      <c r="J42" s="107" t="s">
        <v>42</v>
      </c>
      <c r="K42" s="107" t="s">
        <v>43</v>
      </c>
      <c r="L42" s="107" t="s">
        <v>44</v>
      </c>
      <c r="M42" s="107" t="s">
        <v>45</v>
      </c>
      <c r="N42" s="107" t="s">
        <v>46</v>
      </c>
      <c r="O42" s="108" t="s">
        <v>47</v>
      </c>
    </row>
    <row r="43" spans="2:15" ht="15.75" thickBot="1" x14ac:dyDescent="0.3">
      <c r="B43" s="109" t="s">
        <v>0</v>
      </c>
      <c r="C43" s="110" t="s">
        <v>1</v>
      </c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1"/>
    </row>
    <row r="44" spans="2:15" x14ac:dyDescent="0.25">
      <c r="B44" s="105" t="s">
        <v>380</v>
      </c>
      <c r="C44" s="105" t="s">
        <v>381</v>
      </c>
      <c r="D44" s="105">
        <v>0</v>
      </c>
      <c r="E44" s="105">
        <v>0</v>
      </c>
      <c r="F44" s="105">
        <v>0</v>
      </c>
      <c r="G44" s="105">
        <v>0</v>
      </c>
      <c r="H44" s="105">
        <v>1</v>
      </c>
      <c r="I44" s="105">
        <v>0</v>
      </c>
      <c r="J44" s="105">
        <v>0</v>
      </c>
      <c r="K44" s="105">
        <v>1</v>
      </c>
      <c r="L44" s="105">
        <v>0</v>
      </c>
      <c r="M44" s="105">
        <v>0</v>
      </c>
      <c r="N44" s="105">
        <v>1</v>
      </c>
      <c r="O44" s="105">
        <v>0</v>
      </c>
    </row>
    <row r="45" spans="2:15" x14ac:dyDescent="0.25">
      <c r="B45" s="33"/>
      <c r="C45" s="33" t="s">
        <v>382</v>
      </c>
      <c r="D45" s="33">
        <v>0</v>
      </c>
      <c r="E45" s="33">
        <v>0</v>
      </c>
      <c r="F45" s="33">
        <v>0</v>
      </c>
      <c r="G45" s="33">
        <v>0</v>
      </c>
      <c r="H45" s="33">
        <v>1</v>
      </c>
      <c r="I45" s="33">
        <v>0</v>
      </c>
      <c r="J45" s="33">
        <v>0</v>
      </c>
      <c r="K45" s="33">
        <v>1</v>
      </c>
      <c r="L45" s="33">
        <v>0</v>
      </c>
      <c r="M45" s="33">
        <v>0</v>
      </c>
      <c r="N45" s="33">
        <v>1</v>
      </c>
      <c r="O45" s="33">
        <v>0</v>
      </c>
    </row>
    <row r="46" spans="2:15" x14ac:dyDescent="0.25">
      <c r="B46" s="33"/>
      <c r="C46" s="33" t="s">
        <v>383</v>
      </c>
      <c r="D46" s="33">
        <v>0</v>
      </c>
      <c r="E46" s="33">
        <v>0</v>
      </c>
      <c r="F46" s="33">
        <v>0</v>
      </c>
      <c r="G46" s="33">
        <v>0</v>
      </c>
      <c r="H46" s="33">
        <v>1</v>
      </c>
      <c r="I46" s="33">
        <v>0</v>
      </c>
      <c r="J46" s="33">
        <v>0</v>
      </c>
      <c r="K46" s="33">
        <v>1</v>
      </c>
      <c r="L46" s="33">
        <v>0</v>
      </c>
      <c r="M46" s="33">
        <v>0</v>
      </c>
      <c r="N46" s="33">
        <v>1</v>
      </c>
      <c r="O46" s="33">
        <v>0</v>
      </c>
    </row>
    <row r="47" spans="2:15" x14ac:dyDescent="0.25">
      <c r="B47" s="33"/>
      <c r="C47" s="33" t="s">
        <v>384</v>
      </c>
      <c r="D47" s="33">
        <v>0</v>
      </c>
      <c r="E47" s="33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1</v>
      </c>
      <c r="L47" s="33">
        <v>0</v>
      </c>
      <c r="M47" s="33">
        <v>0</v>
      </c>
      <c r="N47" s="33">
        <v>1</v>
      </c>
      <c r="O47" s="33">
        <v>0</v>
      </c>
    </row>
    <row r="48" spans="2:15" x14ac:dyDescent="0.25">
      <c r="B48" s="33"/>
      <c r="C48" s="33" t="s">
        <v>385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1</v>
      </c>
      <c r="L48" s="33">
        <v>0</v>
      </c>
      <c r="M48" s="33">
        <v>0</v>
      </c>
      <c r="N48" s="33">
        <v>0</v>
      </c>
      <c r="O48" s="33">
        <v>0</v>
      </c>
    </row>
    <row r="49" spans="1:15" x14ac:dyDescent="0.25">
      <c r="A49" s="120" t="s">
        <v>380</v>
      </c>
      <c r="B49" s="120" t="s">
        <v>380</v>
      </c>
      <c r="C49" s="120" t="s">
        <v>434</v>
      </c>
      <c r="D49" s="33">
        <v>0</v>
      </c>
      <c r="E49" s="33">
        <v>0</v>
      </c>
      <c r="F49" s="160">
        <v>1</v>
      </c>
      <c r="G49" s="160">
        <v>1</v>
      </c>
      <c r="H49" s="33">
        <v>1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1</v>
      </c>
      <c r="O49" s="33">
        <v>0</v>
      </c>
    </row>
    <row r="50" spans="1:15" x14ac:dyDescent="0.25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 x14ac:dyDescent="0.25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65" spans="1:18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</row>
    <row r="66" spans="1:18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</row>
    <row r="67" spans="1:18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</row>
    <row r="68" spans="1:18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</row>
    <row r="69" spans="1:18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</row>
    <row r="70" spans="1:18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</row>
    <row r="71" spans="1:18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</row>
    <row r="72" spans="1:18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</row>
    <row r="73" spans="1:18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</row>
    <row r="74" spans="1:18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</row>
    <row r="75" spans="1:18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</row>
    <row r="76" spans="1:18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</row>
    <row r="77" spans="1:18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</row>
    <row r="78" spans="1:18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</row>
    <row r="79" spans="1:18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</row>
    <row r="80" spans="1:18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</row>
    <row r="81" spans="1:18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</row>
    <row r="82" spans="1:18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</row>
    <row r="83" spans="1:18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</row>
    <row r="84" spans="1:18" x14ac:dyDescent="0.25"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</row>
    <row r="85" spans="1:18" x14ac:dyDescent="0.25"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</row>
    <row r="86" spans="1:18" x14ac:dyDescent="0.25"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</row>
    <row r="87" spans="1:18" x14ac:dyDescent="0.25"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</row>
    <row r="88" spans="1:18" x14ac:dyDescent="0.25"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</row>
    <row r="89" spans="1:18" x14ac:dyDescent="0.25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</row>
    <row r="90" spans="1:18" x14ac:dyDescent="0.25"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</row>
    <row r="91" spans="1:18" x14ac:dyDescent="0.25"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</row>
    <row r="92" spans="1:18" x14ac:dyDescent="0.25"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</row>
    <row r="93" spans="1:18" x14ac:dyDescent="0.25"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</row>
    <row r="94" spans="1:18" x14ac:dyDescent="0.25"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</row>
    <row r="95" spans="1:18" x14ac:dyDescent="0.25"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</row>
    <row r="96" spans="1:18" x14ac:dyDescent="0.25"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</row>
    <row r="97" spans="2:17" x14ac:dyDescent="0.25"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</row>
    <row r="98" spans="2:17" x14ac:dyDescent="0.25"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</row>
    <row r="99" spans="2:17" x14ac:dyDescent="0.25"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</row>
    <row r="100" spans="2:17" x14ac:dyDescent="0.25"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</row>
    <row r="101" spans="2:17" x14ac:dyDescent="0.25"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</row>
    <row r="102" spans="2:17" x14ac:dyDescent="0.25"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</row>
    <row r="103" spans="2:17" x14ac:dyDescent="0.25"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</row>
    <row r="104" spans="2:17" x14ac:dyDescent="0.25"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</row>
    <row r="105" spans="2:17" x14ac:dyDescent="0.25"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</row>
    <row r="106" spans="2:17" x14ac:dyDescent="0.25"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</row>
    <row r="107" spans="2:17" x14ac:dyDescent="0.25"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</row>
    <row r="108" spans="2:17" x14ac:dyDescent="0.25"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</row>
    <row r="109" spans="2:17" x14ac:dyDescent="0.25"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</row>
    <row r="110" spans="2:17" x14ac:dyDescent="0.25"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</row>
    <row r="111" spans="2:17" x14ac:dyDescent="0.25"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spans="2:17" x14ac:dyDescent="0.25"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</row>
    <row r="113" spans="2:17" x14ac:dyDescent="0.25"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</row>
    <row r="114" spans="2:17" x14ac:dyDescent="0.25"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</row>
    <row r="115" spans="2:17" x14ac:dyDescent="0.25"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</row>
    <row r="116" spans="2:17" x14ac:dyDescent="0.25"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</row>
    <row r="117" spans="2:17" x14ac:dyDescent="0.25"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</row>
    <row r="118" spans="2:17" x14ac:dyDescent="0.25"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</row>
    <row r="119" spans="2:17" x14ac:dyDescent="0.25"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</row>
    <row r="120" spans="2:17" x14ac:dyDescent="0.25"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</row>
    <row r="121" spans="2:17" x14ac:dyDescent="0.25"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</row>
    <row r="122" spans="2:17" x14ac:dyDescent="0.25"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</row>
    <row r="123" spans="2:17" x14ac:dyDescent="0.25"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</row>
    <row r="124" spans="2:17" x14ac:dyDescent="0.25"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</row>
    <row r="125" spans="2:17" x14ac:dyDescent="0.25"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</row>
    <row r="130" spans="1:18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</row>
    <row r="131" spans="1:18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</row>
    <row r="132" spans="1:18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</row>
    <row r="133" spans="1:18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</row>
    <row r="134" spans="1:18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</row>
    <row r="135" spans="1:18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</row>
    <row r="136" spans="1:18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</row>
    <row r="137" spans="1:18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</row>
    <row r="138" spans="1:18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</row>
    <row r="139" spans="1:18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</row>
    <row r="140" spans="1:18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</row>
    <row r="141" spans="1:18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</row>
    <row r="142" spans="1:18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</row>
    <row r="143" spans="1:18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</row>
    <row r="144" spans="1:18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</row>
    <row r="145" spans="1:18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</row>
    <row r="146" spans="1:18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</row>
    <row r="147" spans="1:18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</row>
    <row r="148" spans="1:18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</row>
    <row r="149" spans="1:18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</row>
    <row r="150" spans="1:18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</row>
    <row r="151" spans="1:18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</row>
    <row r="152" spans="1:18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</row>
    <row r="153" spans="1:18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</row>
    <row r="154" spans="1:18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</row>
    <row r="155" spans="1:18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</row>
    <row r="156" spans="1:18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</row>
    <row r="157" spans="1:18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</row>
    <row r="158" spans="1:18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</row>
    <row r="159" spans="1:18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</row>
    <row r="160" spans="1:18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</row>
    <row r="161" spans="1:18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</row>
    <row r="162" spans="1:18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</row>
    <row r="163" spans="1:18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</row>
    <row r="164" spans="1:18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</row>
    <row r="165" spans="1:18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</row>
    <row r="166" spans="1:18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</row>
    <row r="167" spans="1:18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</row>
    <row r="168" spans="1:18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</row>
    <row r="169" spans="1:18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</row>
    <row r="170" spans="1:18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</row>
    <row r="171" spans="1:18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</row>
    <row r="172" spans="1:18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</row>
    <row r="173" spans="1:18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</row>
    <row r="174" spans="1:18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</row>
    <row r="175" spans="1:18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</row>
    <row r="176" spans="1:18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</row>
    <row r="177" spans="1:18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</row>
    <row r="178" spans="1:18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</row>
    <row r="179" spans="1:18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</row>
    <row r="180" spans="1:18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</row>
    <row r="181" spans="1:18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</row>
    <row r="182" spans="1:18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</row>
    <row r="183" spans="1:18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</row>
    <row r="184" spans="1:18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</row>
    <row r="185" spans="1:18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</row>
    <row r="186" spans="1:18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</row>
    <row r="187" spans="1:18" x14ac:dyDescent="0.2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</row>
  </sheetData>
  <pageMargins left="0.7" right="0.7" top="0.75" bottom="0.75" header="0.3" footer="0.3"/>
  <pageSetup paperSize="9" scale="5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3"/>
  <sheetViews>
    <sheetView zoomScaleNormal="100" workbookViewId="0">
      <pane ySplit="1" topLeftCell="A50" activePane="bottomLeft" state="frozen"/>
      <selection activeCell="M23" sqref="M23"/>
      <selection pane="bottomLeft" activeCell="T12" sqref="T12:U35"/>
    </sheetView>
  </sheetViews>
  <sheetFormatPr defaultColWidth="8.85546875" defaultRowHeight="15" x14ac:dyDescent="0.25"/>
  <cols>
    <col min="1" max="1" width="13.42578125" customWidth="1"/>
    <col min="2" max="2" width="23.5703125" customWidth="1"/>
  </cols>
  <sheetData>
    <row r="1" spans="1:16" ht="15.75" thickBot="1" x14ac:dyDescent="0.3">
      <c r="B1" s="21"/>
      <c r="C1" s="22"/>
      <c r="D1" s="58" t="s">
        <v>37</v>
      </c>
      <c r="E1" s="58" t="s">
        <v>38</v>
      </c>
      <c r="F1" s="58" t="s">
        <v>39</v>
      </c>
      <c r="G1" s="58" t="s">
        <v>40</v>
      </c>
      <c r="H1" s="58" t="s">
        <v>36</v>
      </c>
      <c r="I1" s="58" t="s">
        <v>41</v>
      </c>
      <c r="J1" s="59" t="s">
        <v>42</v>
      </c>
      <c r="K1" s="59" t="s">
        <v>43</v>
      </c>
      <c r="L1" s="59" t="s">
        <v>44</v>
      </c>
      <c r="M1" s="59" t="s">
        <v>45</v>
      </c>
      <c r="N1" s="58" t="s">
        <v>46</v>
      </c>
      <c r="O1" s="59" t="s">
        <v>47</v>
      </c>
    </row>
    <row r="2" spans="1:16" ht="15.75" thickBot="1" x14ac:dyDescent="0.3">
      <c r="B2" s="26" t="s">
        <v>0</v>
      </c>
      <c r="C2" s="28" t="s">
        <v>1</v>
      </c>
      <c r="D2" s="1"/>
      <c r="E2" s="2"/>
      <c r="F2" s="2"/>
      <c r="G2" s="2"/>
      <c r="H2" s="2"/>
      <c r="I2" s="1"/>
      <c r="J2" s="2"/>
      <c r="K2" s="2"/>
      <c r="L2" s="2"/>
      <c r="M2" s="2"/>
      <c r="N2" s="27"/>
      <c r="O2" s="2"/>
    </row>
    <row r="3" spans="1:16" x14ac:dyDescent="0.25">
      <c r="B3" s="40" t="s">
        <v>268</v>
      </c>
      <c r="C3" s="40" t="s">
        <v>269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</row>
    <row r="4" spans="1:16" x14ac:dyDescent="0.25">
      <c r="B4" s="40" t="s">
        <v>270</v>
      </c>
      <c r="C4" s="40" t="s">
        <v>271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</row>
    <row r="5" spans="1:16" x14ac:dyDescent="0.25">
      <c r="B5" s="40" t="s">
        <v>272</v>
      </c>
      <c r="C5" s="40" t="s">
        <v>273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</row>
    <row r="6" spans="1:16" x14ac:dyDescent="0.25">
      <c r="B6" s="40" t="s">
        <v>274</v>
      </c>
      <c r="C6" s="40" t="s">
        <v>275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</row>
    <row r="7" spans="1:16" x14ac:dyDescent="0.25">
      <c r="B7" s="40" t="s">
        <v>276</v>
      </c>
      <c r="C7" s="40" t="s">
        <v>277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</row>
    <row r="8" spans="1:16" x14ac:dyDescent="0.25">
      <c r="B8" s="40" t="s">
        <v>278</v>
      </c>
      <c r="C8" s="40" t="s">
        <v>279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6" x14ac:dyDescent="0.25">
      <c r="B9" s="40" t="s">
        <v>280</v>
      </c>
      <c r="C9" s="40" t="s">
        <v>281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</row>
    <row r="10" spans="1:16" x14ac:dyDescent="0.25">
      <c r="B10" s="40" t="s">
        <v>282</v>
      </c>
      <c r="C10" s="40" t="s">
        <v>283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6" x14ac:dyDescent="0.25">
      <c r="B11" s="40" t="s">
        <v>284</v>
      </c>
      <c r="C11" s="40" t="s">
        <v>285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0</v>
      </c>
      <c r="O11" s="5">
        <v>0</v>
      </c>
    </row>
    <row r="12" spans="1:16" x14ac:dyDescent="0.25">
      <c r="B12" s="40" t="s">
        <v>286</v>
      </c>
      <c r="C12" s="40" t="s">
        <v>287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1</v>
      </c>
      <c r="O12" s="5">
        <v>0</v>
      </c>
    </row>
    <row r="13" spans="1:16" x14ac:dyDescent="0.25">
      <c r="B13" s="40" t="s">
        <v>288</v>
      </c>
      <c r="C13" s="40" t="s">
        <v>289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6" s="33" customFormat="1" x14ac:dyDescent="0.25">
      <c r="A14" s="122"/>
      <c r="B14" s="40" t="s">
        <v>290</v>
      </c>
      <c r="C14" s="40" t="s">
        <v>291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3">
        <v>1</v>
      </c>
      <c r="K14" s="5">
        <v>0</v>
      </c>
      <c r="L14" s="5">
        <v>0</v>
      </c>
      <c r="M14" s="3">
        <v>1</v>
      </c>
      <c r="N14" s="5">
        <v>0</v>
      </c>
      <c r="O14" s="5">
        <v>0</v>
      </c>
      <c r="P14" s="48"/>
    </row>
    <row r="15" spans="1:16" s="47" customFormat="1" x14ac:dyDescent="0.25">
      <c r="B15" s="40" t="s">
        <v>292</v>
      </c>
      <c r="C15" s="40" t="s">
        <v>293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3">
        <v>1</v>
      </c>
      <c r="J15" s="3">
        <v>1</v>
      </c>
      <c r="K15" s="5">
        <v>1</v>
      </c>
      <c r="L15" s="5">
        <v>1</v>
      </c>
      <c r="M15" s="3">
        <v>1</v>
      </c>
      <c r="N15" s="5">
        <v>0</v>
      </c>
      <c r="O15" s="5">
        <v>0</v>
      </c>
    </row>
    <row r="16" spans="1:16" s="47" customFormat="1" x14ac:dyDescent="0.25">
      <c r="B16" s="40" t="s">
        <v>294</v>
      </c>
      <c r="C16" s="40" t="s">
        <v>295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3">
        <v>1</v>
      </c>
      <c r="K16" s="5">
        <v>1</v>
      </c>
      <c r="L16" s="5">
        <v>0</v>
      </c>
      <c r="M16" s="3">
        <v>1</v>
      </c>
      <c r="N16" s="5">
        <v>0</v>
      </c>
      <c r="O16" s="5">
        <v>0</v>
      </c>
    </row>
    <row r="17" spans="1:16" s="33" customFormat="1" x14ac:dyDescent="0.25">
      <c r="A17" s="122"/>
      <c r="B17" s="40" t="s">
        <v>296</v>
      </c>
      <c r="C17" s="40" t="s">
        <v>297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48"/>
    </row>
    <row r="18" spans="1:16" x14ac:dyDescent="0.25">
      <c r="B18" s="40" t="s">
        <v>298</v>
      </c>
      <c r="C18" s="40" t="s">
        <v>299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6" x14ac:dyDescent="0.25">
      <c r="B19" s="40" t="s">
        <v>300</v>
      </c>
      <c r="C19" s="40" t="s">
        <v>301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192">
        <v>1</v>
      </c>
      <c r="L19" s="5">
        <v>0</v>
      </c>
      <c r="M19" s="5">
        <v>0</v>
      </c>
      <c r="N19" s="5">
        <v>0</v>
      </c>
      <c r="O19" s="5">
        <v>0</v>
      </c>
    </row>
    <row r="20" spans="1:16" x14ac:dyDescent="0.25">
      <c r="B20" s="40" t="s">
        <v>302</v>
      </c>
      <c r="C20" s="40" t="s">
        <v>303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6" x14ac:dyDescent="0.25">
      <c r="A21" s="120" t="s">
        <v>445</v>
      </c>
      <c r="B21" s="120" t="s">
        <v>446</v>
      </c>
      <c r="C21" s="120" t="s">
        <v>373</v>
      </c>
      <c r="D21" s="5"/>
      <c r="E21" s="5"/>
      <c r="F21" s="5"/>
      <c r="G21" s="5"/>
      <c r="H21" s="5"/>
      <c r="I21" s="5"/>
      <c r="J21" s="5"/>
      <c r="K21" s="192">
        <v>1</v>
      </c>
      <c r="L21" s="5">
        <v>1</v>
      </c>
      <c r="M21" s="5"/>
      <c r="N21" s="5"/>
      <c r="O21" s="5"/>
    </row>
    <row r="22" spans="1:16" x14ac:dyDescent="0.25">
      <c r="B22" s="40" t="s">
        <v>304</v>
      </c>
      <c r="C22" s="40" t="s">
        <v>305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6" x14ac:dyDescent="0.25">
      <c r="B23" s="40" t="s">
        <v>306</v>
      </c>
      <c r="C23" s="40" t="s">
        <v>307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</row>
    <row r="24" spans="1:16" s="33" customFormat="1" x14ac:dyDescent="0.25">
      <c r="A24" s="122"/>
      <c r="B24" s="40" t="s">
        <v>308</v>
      </c>
      <c r="C24" s="40" t="s">
        <v>309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48"/>
    </row>
    <row r="25" spans="1:16" x14ac:dyDescent="0.25">
      <c r="B25" s="40" t="s">
        <v>310</v>
      </c>
      <c r="C25" s="40" t="s">
        <v>311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6" x14ac:dyDescent="0.25">
      <c r="B26" s="40" t="s">
        <v>312</v>
      </c>
      <c r="C26" s="40" t="s">
        <v>313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</row>
    <row r="27" spans="1:16" x14ac:dyDescent="0.25">
      <c r="B27" s="40" t="s">
        <v>314</v>
      </c>
      <c r="C27" s="40" t="s">
        <v>315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spans="1:16" x14ac:dyDescent="0.25">
      <c r="B28" s="40" t="s">
        <v>316</v>
      </c>
      <c r="C28" s="40" t="s">
        <v>317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1</v>
      </c>
      <c r="N28" s="5">
        <v>0</v>
      </c>
      <c r="O28" s="5">
        <v>0</v>
      </c>
    </row>
    <row r="29" spans="1:16" x14ac:dyDescent="0.25">
      <c r="B29" s="40" t="s">
        <v>218</v>
      </c>
      <c r="C29" s="40" t="s">
        <v>219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  <c r="N29" s="5">
        <v>0</v>
      </c>
      <c r="O29" s="5">
        <v>0</v>
      </c>
    </row>
    <row r="30" spans="1:16" x14ac:dyDescent="0.25">
      <c r="B30" s="40" t="s">
        <v>220</v>
      </c>
      <c r="C30" s="40" t="s">
        <v>221</v>
      </c>
      <c r="D30" s="5">
        <v>0</v>
      </c>
      <c r="E30" s="138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</row>
    <row r="31" spans="1:16" x14ac:dyDescent="0.25">
      <c r="A31" t="s">
        <v>415</v>
      </c>
      <c r="B31" s="120" t="s">
        <v>416</v>
      </c>
      <c r="C31" s="120" t="s">
        <v>417</v>
      </c>
      <c r="E31" s="142">
        <v>1</v>
      </c>
      <c r="F31" s="3"/>
      <c r="G31" s="3"/>
      <c r="H31" s="3"/>
      <c r="I31" s="3"/>
      <c r="J31" s="3">
        <v>1</v>
      </c>
      <c r="K31" s="5"/>
      <c r="L31" s="5">
        <v>1</v>
      </c>
      <c r="M31" s="5">
        <v>1</v>
      </c>
      <c r="N31" s="5">
        <v>1</v>
      </c>
      <c r="O31" s="3"/>
    </row>
    <row r="32" spans="1:16" ht="12.6" customHeight="1" thickBot="1" x14ac:dyDescent="0.3">
      <c r="A32" t="s">
        <v>415</v>
      </c>
      <c r="B32" s="120" t="s">
        <v>418</v>
      </c>
      <c r="C32" s="120" t="s">
        <v>419</v>
      </c>
      <c r="E32" s="23"/>
      <c r="F32" s="23"/>
      <c r="G32" s="23"/>
      <c r="H32" s="23"/>
      <c r="I32" s="23"/>
      <c r="J32" s="23">
        <v>1</v>
      </c>
      <c r="K32" s="5"/>
      <c r="L32" s="5">
        <v>1</v>
      </c>
      <c r="M32" s="5">
        <v>1</v>
      </c>
      <c r="N32" s="5">
        <v>1</v>
      </c>
      <c r="O32" s="23"/>
    </row>
    <row r="33" spans="1:17" x14ac:dyDescent="0.25">
      <c r="A33" s="120" t="s">
        <v>422</v>
      </c>
      <c r="B33" s="120" t="s">
        <v>423</v>
      </c>
      <c r="C33" s="120" t="s">
        <v>211</v>
      </c>
      <c r="D33" s="128"/>
      <c r="E33" s="128"/>
      <c r="F33" s="128"/>
      <c r="G33" s="128"/>
      <c r="H33" s="128"/>
      <c r="I33" s="128"/>
      <c r="J33" s="132">
        <v>1</v>
      </c>
      <c r="K33" s="128"/>
      <c r="L33" s="128"/>
      <c r="M33" s="128"/>
      <c r="N33" s="128"/>
      <c r="O33" s="129"/>
    </row>
    <row r="34" spans="1:17" ht="15.75" thickBot="1" x14ac:dyDescent="0.3">
      <c r="A34" s="120" t="s">
        <v>422</v>
      </c>
      <c r="B34" s="120" t="s">
        <v>424</v>
      </c>
      <c r="C34" s="120" t="s">
        <v>425</v>
      </c>
      <c r="D34" s="130"/>
      <c r="E34" s="130"/>
      <c r="F34" s="130"/>
      <c r="G34" s="130"/>
      <c r="H34" s="130"/>
      <c r="I34" s="130"/>
      <c r="J34" s="133">
        <v>1</v>
      </c>
      <c r="K34" s="130"/>
      <c r="L34" s="130"/>
      <c r="M34" s="130"/>
      <c r="N34" s="130"/>
      <c r="O34" s="131"/>
    </row>
    <row r="35" spans="1:17" x14ac:dyDescent="0.25">
      <c r="B35" s="100" t="s">
        <v>387</v>
      </c>
      <c r="C35" s="66" t="s">
        <v>116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</v>
      </c>
      <c r="L35" s="5">
        <v>0</v>
      </c>
      <c r="M35" s="138">
        <v>1</v>
      </c>
      <c r="N35" s="5">
        <v>1</v>
      </c>
      <c r="O35" s="5">
        <v>0</v>
      </c>
    </row>
    <row r="36" spans="1:17" x14ac:dyDescent="0.25">
      <c r="B36" s="100" t="s">
        <v>387</v>
      </c>
      <c r="C36" s="40" t="s">
        <v>117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3">
        <v>1</v>
      </c>
      <c r="L36" s="5">
        <v>0</v>
      </c>
      <c r="M36" s="5">
        <v>0</v>
      </c>
      <c r="N36" s="5">
        <v>0</v>
      </c>
      <c r="O36" s="5">
        <v>0</v>
      </c>
    </row>
    <row r="37" spans="1:17" x14ac:dyDescent="0.25">
      <c r="B37" s="100" t="s">
        <v>387</v>
      </c>
      <c r="C37" s="40" t="s">
        <v>118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33">
        <v>1</v>
      </c>
      <c r="L37" s="5">
        <v>0</v>
      </c>
      <c r="M37" s="5">
        <v>0</v>
      </c>
      <c r="N37" s="33">
        <v>1</v>
      </c>
      <c r="O37" s="5">
        <v>0</v>
      </c>
    </row>
    <row r="38" spans="1:17" ht="15.75" thickBot="1" x14ac:dyDescent="0.3">
      <c r="B38" s="87"/>
      <c r="C38" s="88"/>
      <c r="D38" s="90"/>
      <c r="E38" s="90"/>
      <c r="F38" s="90"/>
      <c r="G38" s="90"/>
      <c r="H38" s="90"/>
      <c r="I38" s="157">
        <v>1</v>
      </c>
      <c r="J38" s="90"/>
      <c r="K38" s="90"/>
      <c r="L38" s="157">
        <v>1</v>
      </c>
      <c r="M38" s="90"/>
      <c r="N38" s="90"/>
      <c r="O38" s="91"/>
    </row>
    <row r="39" spans="1:17" x14ac:dyDescent="0.25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</row>
    <row r="40" spans="1:17" x14ac:dyDescent="0.25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</row>
    <row r="41" spans="1:17" x14ac:dyDescent="0.25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</row>
    <row r="42" spans="1:17" x14ac:dyDescent="0.25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</row>
    <row r="43" spans="1:17" x14ac:dyDescent="0.25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</row>
    <row r="44" spans="1:17" x14ac:dyDescent="0.25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</row>
    <row r="45" spans="1:17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</row>
    <row r="46" spans="1:17" x14ac:dyDescent="0.2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</row>
    <row r="47" spans="1:17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</row>
    <row r="48" spans="1:17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</row>
    <row r="49" spans="1:17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</row>
    <row r="50" spans="1:17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</row>
    <row r="51" spans="1:17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</row>
    <row r="52" spans="1:17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</row>
    <row r="53" spans="1:17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</row>
    <row r="54" spans="1:17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</row>
    <row r="55" spans="1:17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</row>
    <row r="56" spans="1:17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</row>
    <row r="57" spans="1:17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</row>
    <row r="58" spans="1:17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</row>
    <row r="59" spans="1:17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</row>
    <row r="60" spans="1:17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</row>
    <row r="61" spans="1:17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</row>
    <row r="62" spans="1:17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</row>
    <row r="63" spans="1:17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</row>
    <row r="64" spans="1:17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</row>
    <row r="65" spans="1:17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</row>
    <row r="66" spans="1:17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</row>
    <row r="67" spans="1:17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</row>
    <row r="68" spans="1:17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</row>
    <row r="69" spans="1:17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</row>
    <row r="70" spans="1:17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</row>
    <row r="71" spans="1:17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</row>
    <row r="72" spans="1:17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</row>
    <row r="73" spans="1:17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</row>
    <row r="74" spans="1:17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</row>
    <row r="75" spans="1:17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</row>
    <row r="76" spans="1:17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</row>
    <row r="77" spans="1:17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</row>
    <row r="78" spans="1:17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</row>
    <row r="79" spans="1:17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</row>
    <row r="80" spans="1:17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</row>
    <row r="81" spans="1:17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</row>
    <row r="82" spans="1:17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</row>
    <row r="83" spans="1:17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</row>
    <row r="84" spans="1:17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</row>
    <row r="85" spans="1:17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</row>
    <row r="86" spans="1:17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</row>
    <row r="87" spans="1:17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</row>
    <row r="88" spans="1:17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</row>
    <row r="89" spans="1:17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</row>
    <row r="90" spans="1:17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</row>
    <row r="91" spans="1:17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</row>
    <row r="92" spans="1:17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</row>
    <row r="93" spans="1:17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</row>
    <row r="94" spans="1:17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</row>
    <row r="95" spans="1:17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</row>
    <row r="96" spans="1:17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</row>
    <row r="97" spans="1:17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</row>
    <row r="98" spans="1:17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</row>
    <row r="99" spans="1:17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</row>
    <row r="100" spans="1:17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</row>
    <row r="101" spans="1:17" x14ac:dyDescent="0.2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</row>
    <row r="102" spans="1:17" x14ac:dyDescent="0.2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</row>
    <row r="103" spans="1:17" x14ac:dyDescent="0.2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</row>
    <row r="104" spans="1:17" x14ac:dyDescent="0.2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</row>
    <row r="105" spans="1:17" x14ac:dyDescent="0.2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</row>
    <row r="106" spans="1:17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</row>
    <row r="107" spans="1:17" x14ac:dyDescent="0.2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</row>
    <row r="108" spans="1:17" x14ac:dyDescent="0.2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</row>
    <row r="109" spans="1:17" x14ac:dyDescent="0.2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</row>
    <row r="110" spans="1:17" x14ac:dyDescent="0.2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</row>
    <row r="111" spans="1:17" x14ac:dyDescent="0.2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spans="1:17" x14ac:dyDescent="0.2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</row>
    <row r="113" spans="1:17" x14ac:dyDescent="0.2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</row>
    <row r="114" spans="1:17" x14ac:dyDescent="0.2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</row>
    <row r="115" spans="1:17" x14ac:dyDescent="0.2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</row>
    <row r="116" spans="1:17" x14ac:dyDescent="0.2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</row>
    <row r="117" spans="1:17" x14ac:dyDescent="0.2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</row>
    <row r="118" spans="1:17" x14ac:dyDescent="0.2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</row>
    <row r="119" spans="1:17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</row>
    <row r="120" spans="1:17" x14ac:dyDescent="0.2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</row>
    <row r="121" spans="1:17" x14ac:dyDescent="0.2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</row>
    <row r="122" spans="1:17" x14ac:dyDescent="0.2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</row>
    <row r="123" spans="1:17" x14ac:dyDescent="0.2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</row>
    <row r="124" spans="1:17" x14ac:dyDescent="0.2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</row>
    <row r="125" spans="1:17" x14ac:dyDescent="0.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</row>
    <row r="126" spans="1:17" x14ac:dyDescent="0.2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 spans="1:17" x14ac:dyDescent="0.2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 spans="1:17" x14ac:dyDescent="0.2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</row>
    <row r="129" spans="1:17" x14ac:dyDescent="0.2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</row>
    <row r="130" spans="1:17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</row>
    <row r="131" spans="1:17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</row>
    <row r="132" spans="1:17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</row>
    <row r="133" spans="1:17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</row>
    <row r="134" spans="1:17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</row>
    <row r="135" spans="1:17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</row>
    <row r="136" spans="1:17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</row>
    <row r="137" spans="1:17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</row>
    <row r="138" spans="1:17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</row>
    <row r="139" spans="1:17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</row>
    <row r="140" spans="1:17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</row>
    <row r="141" spans="1:17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</row>
    <row r="142" spans="1:17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</row>
    <row r="143" spans="1:17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</row>
    <row r="144" spans="1:17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</row>
    <row r="145" spans="1:17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</row>
    <row r="146" spans="1:17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</row>
    <row r="147" spans="1:17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</row>
    <row r="148" spans="1:17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</row>
    <row r="149" spans="1:17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</row>
    <row r="150" spans="1:17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</row>
    <row r="151" spans="1:17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</row>
    <row r="152" spans="1:17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</row>
    <row r="153" spans="1:17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</row>
    <row r="154" spans="1:17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</row>
    <row r="155" spans="1:17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</row>
    <row r="156" spans="1:17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</row>
    <row r="157" spans="1:17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</row>
    <row r="158" spans="1:17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</row>
    <row r="159" spans="1:17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</row>
    <row r="160" spans="1:17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</row>
    <row r="161" spans="1:17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</row>
    <row r="162" spans="1:17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</row>
    <row r="163" spans="1:17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</row>
    <row r="164" spans="1:17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</row>
    <row r="165" spans="1:17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</row>
    <row r="166" spans="1:17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</row>
    <row r="167" spans="1:17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</row>
    <row r="168" spans="1:17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</row>
    <row r="169" spans="1:17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</row>
    <row r="170" spans="1:17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</row>
    <row r="171" spans="1:17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</row>
    <row r="172" spans="1:17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</row>
    <row r="173" spans="1:17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</row>
    <row r="174" spans="1:17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</row>
    <row r="175" spans="1:17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</row>
    <row r="176" spans="1:17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</row>
    <row r="177" spans="1:17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</row>
    <row r="178" spans="1:17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</row>
    <row r="179" spans="1:17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</row>
    <row r="180" spans="1:17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</row>
    <row r="181" spans="1:17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</row>
    <row r="182" spans="1:17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</row>
    <row r="183" spans="1:17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</row>
    <row r="184" spans="1:17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</row>
    <row r="185" spans="1:17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</row>
    <row r="186" spans="1:17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</row>
    <row r="187" spans="1:17" x14ac:dyDescent="0.2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</row>
    <row r="188" spans="1:17" x14ac:dyDescent="0.25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</row>
    <row r="189" spans="1:17" x14ac:dyDescent="0.25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</row>
    <row r="190" spans="1:17" x14ac:dyDescent="0.25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</row>
    <row r="191" spans="1:17" x14ac:dyDescent="0.25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</row>
    <row r="192" spans="1:17" x14ac:dyDescent="0.25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</row>
    <row r="193" spans="1:17" x14ac:dyDescent="0.25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</row>
    <row r="194" spans="1:17" x14ac:dyDescent="0.25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</row>
    <row r="195" spans="1:17" x14ac:dyDescent="0.2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</row>
    <row r="196" spans="1:17" x14ac:dyDescent="0.25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</row>
    <row r="197" spans="1:17" x14ac:dyDescent="0.25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</row>
    <row r="198" spans="1:17" x14ac:dyDescent="0.2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</row>
    <row r="199" spans="1:17" x14ac:dyDescent="0.25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</row>
    <row r="200" spans="1:17" x14ac:dyDescent="0.25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</row>
    <row r="201" spans="1:17" x14ac:dyDescent="0.25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</row>
    <row r="202" spans="1:17" x14ac:dyDescent="0.25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</row>
    <row r="203" spans="1:17" x14ac:dyDescent="0.25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</row>
    <row r="204" spans="1:17" x14ac:dyDescent="0.25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</row>
    <row r="205" spans="1:17" x14ac:dyDescent="0.2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</row>
    <row r="206" spans="1:17" x14ac:dyDescent="0.25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</row>
    <row r="207" spans="1:17" x14ac:dyDescent="0.25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</row>
    <row r="208" spans="1:17" x14ac:dyDescent="0.25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</row>
    <row r="209" spans="1:17" x14ac:dyDescent="0.25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</row>
    <row r="210" spans="1:17" x14ac:dyDescent="0.25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</row>
    <row r="211" spans="1:17" x14ac:dyDescent="0.25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</row>
    <row r="212" spans="1:17" x14ac:dyDescent="0.25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</row>
    <row r="213" spans="1:17" x14ac:dyDescent="0.25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</row>
    <row r="214" spans="1:17" x14ac:dyDescent="0.25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</row>
    <row r="215" spans="1:17" x14ac:dyDescent="0.2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</row>
    <row r="216" spans="1:17" x14ac:dyDescent="0.25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</row>
    <row r="217" spans="1:17" x14ac:dyDescent="0.25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</row>
    <row r="218" spans="1:17" x14ac:dyDescent="0.25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</row>
    <row r="219" spans="1:17" x14ac:dyDescent="0.25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</row>
    <row r="220" spans="1:17" x14ac:dyDescent="0.25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</row>
    <row r="221" spans="1:17" x14ac:dyDescent="0.25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</row>
    <row r="222" spans="1:17" x14ac:dyDescent="0.25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</row>
    <row r="223" spans="1:17" x14ac:dyDescent="0.25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</row>
    <row r="224" spans="1:17" x14ac:dyDescent="0.25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</row>
    <row r="225" spans="1:17" x14ac:dyDescent="0.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</row>
    <row r="226" spans="1:17" x14ac:dyDescent="0.25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</row>
    <row r="227" spans="1:17" x14ac:dyDescent="0.25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</row>
    <row r="228" spans="1:17" x14ac:dyDescent="0.25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</row>
    <row r="229" spans="1:17" x14ac:dyDescent="0.25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</row>
    <row r="230" spans="1:17" x14ac:dyDescent="0.25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</row>
    <row r="231" spans="1:17" x14ac:dyDescent="0.25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</row>
    <row r="232" spans="1:17" x14ac:dyDescent="0.25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</row>
    <row r="233" spans="1:17" x14ac:dyDescent="0.25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</row>
    <row r="234" spans="1:17" x14ac:dyDescent="0.25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</row>
    <row r="235" spans="1:17" x14ac:dyDescent="0.2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</row>
    <row r="236" spans="1:17" x14ac:dyDescent="0.25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</row>
    <row r="237" spans="1:17" x14ac:dyDescent="0.25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</row>
    <row r="238" spans="1:17" x14ac:dyDescent="0.25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</row>
    <row r="239" spans="1:17" x14ac:dyDescent="0.25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</row>
    <row r="240" spans="1:17" x14ac:dyDescent="0.25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</row>
    <row r="241" spans="1:17" x14ac:dyDescent="0.25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</row>
    <row r="242" spans="1:17" x14ac:dyDescent="0.25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</row>
    <row r="243" spans="1:17" x14ac:dyDescent="0.25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</row>
    <row r="244" spans="1:17" x14ac:dyDescent="0.25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</row>
    <row r="245" spans="1:17" x14ac:dyDescent="0.2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</row>
    <row r="246" spans="1:17" x14ac:dyDescent="0.25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</row>
    <row r="247" spans="1:17" x14ac:dyDescent="0.25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</row>
    <row r="248" spans="1:17" x14ac:dyDescent="0.25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</row>
    <row r="249" spans="1:17" x14ac:dyDescent="0.25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</row>
    <row r="250" spans="1:17" x14ac:dyDescent="0.25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</row>
    <row r="251" spans="1:17" x14ac:dyDescent="0.25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</row>
    <row r="252" spans="1:17" x14ac:dyDescent="0.25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</row>
    <row r="253" spans="1:17" x14ac:dyDescent="0.25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</row>
    <row r="254" spans="1:17" x14ac:dyDescent="0.25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</row>
    <row r="255" spans="1:17" x14ac:dyDescent="0.2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</row>
    <row r="256" spans="1:17" x14ac:dyDescent="0.25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</row>
    <row r="257" spans="1:17" x14ac:dyDescent="0.25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</row>
    <row r="258" spans="1:17" x14ac:dyDescent="0.25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</row>
    <row r="259" spans="1:17" x14ac:dyDescent="0.25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</row>
    <row r="260" spans="1:17" x14ac:dyDescent="0.25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</row>
    <row r="261" spans="1:17" x14ac:dyDescent="0.25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</row>
    <row r="262" spans="1:17" x14ac:dyDescent="0.25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</row>
    <row r="263" spans="1:17" x14ac:dyDescent="0.25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</row>
    <row r="264" spans="1:17" x14ac:dyDescent="0.25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</row>
    <row r="265" spans="1:17" x14ac:dyDescent="0.2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</row>
    <row r="266" spans="1:17" x14ac:dyDescent="0.25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</row>
    <row r="267" spans="1:17" x14ac:dyDescent="0.25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</row>
    <row r="268" spans="1:17" x14ac:dyDescent="0.25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</row>
    <row r="269" spans="1:17" x14ac:dyDescent="0.25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</row>
    <row r="270" spans="1:17" x14ac:dyDescent="0.25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</row>
    <row r="271" spans="1:17" x14ac:dyDescent="0.25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</row>
    <row r="272" spans="1:17" x14ac:dyDescent="0.25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</row>
    <row r="273" spans="1:17" x14ac:dyDescent="0.25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</row>
    <row r="274" spans="1:17" x14ac:dyDescent="0.25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</row>
    <row r="275" spans="1:17" x14ac:dyDescent="0.2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</row>
    <row r="276" spans="1:17" x14ac:dyDescent="0.25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</row>
    <row r="277" spans="1:17" x14ac:dyDescent="0.25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</row>
    <row r="278" spans="1:17" x14ac:dyDescent="0.25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</row>
    <row r="279" spans="1:17" x14ac:dyDescent="0.25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</row>
    <row r="280" spans="1:17" x14ac:dyDescent="0.25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</row>
    <row r="281" spans="1:17" x14ac:dyDescent="0.25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</row>
    <row r="282" spans="1:17" x14ac:dyDescent="0.25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</row>
    <row r="283" spans="1:17" x14ac:dyDescent="0.25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</row>
    <row r="284" spans="1:17" x14ac:dyDescent="0.25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</row>
    <row r="285" spans="1:17" x14ac:dyDescent="0.2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</row>
    <row r="286" spans="1:17" x14ac:dyDescent="0.25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</row>
    <row r="287" spans="1:17" x14ac:dyDescent="0.25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</row>
    <row r="288" spans="1:17" x14ac:dyDescent="0.25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</row>
    <row r="289" spans="1:17" x14ac:dyDescent="0.25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</row>
    <row r="290" spans="1:17" x14ac:dyDescent="0.25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</row>
    <row r="291" spans="1:17" x14ac:dyDescent="0.25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</row>
    <row r="292" spans="1:17" x14ac:dyDescent="0.25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</row>
    <row r="293" spans="1:17" x14ac:dyDescent="0.25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</row>
    <row r="294" spans="1:17" x14ac:dyDescent="0.25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</row>
    <row r="295" spans="1:17" x14ac:dyDescent="0.2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</row>
    <row r="296" spans="1:17" x14ac:dyDescent="0.25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</row>
    <row r="297" spans="1:17" x14ac:dyDescent="0.25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</row>
    <row r="298" spans="1:17" x14ac:dyDescent="0.25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</row>
    <row r="299" spans="1:17" x14ac:dyDescent="0.25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</row>
    <row r="300" spans="1:17" x14ac:dyDescent="0.25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</row>
    <row r="301" spans="1:17" x14ac:dyDescent="0.25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</row>
    <row r="302" spans="1:17" x14ac:dyDescent="0.25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</row>
    <row r="303" spans="1:17" x14ac:dyDescent="0.25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</row>
    <row r="304" spans="1:17" x14ac:dyDescent="0.25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</row>
    <row r="305" spans="1:17" x14ac:dyDescent="0.2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</row>
    <row r="306" spans="1:17" x14ac:dyDescent="0.25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</row>
    <row r="307" spans="1:17" x14ac:dyDescent="0.25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</row>
    <row r="308" spans="1:17" x14ac:dyDescent="0.25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</row>
    <row r="309" spans="1:17" x14ac:dyDescent="0.25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</row>
    <row r="310" spans="1:17" x14ac:dyDescent="0.25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</row>
    <row r="311" spans="1:17" x14ac:dyDescent="0.25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</row>
    <row r="312" spans="1:17" x14ac:dyDescent="0.25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</row>
    <row r="313" spans="1:17" x14ac:dyDescent="0.25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</row>
    <row r="314" spans="1:17" x14ac:dyDescent="0.25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</row>
    <row r="315" spans="1:17" x14ac:dyDescent="0.2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</row>
    <row r="316" spans="1:17" x14ac:dyDescent="0.25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</row>
    <row r="317" spans="1:17" x14ac:dyDescent="0.25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</row>
    <row r="318" spans="1:17" x14ac:dyDescent="0.25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</row>
    <row r="319" spans="1:17" x14ac:dyDescent="0.25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</row>
    <row r="320" spans="1:17" x14ac:dyDescent="0.25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</row>
    <row r="321" spans="1:17" x14ac:dyDescent="0.25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</row>
    <row r="322" spans="1:17" x14ac:dyDescent="0.25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</row>
    <row r="323" spans="1:17" x14ac:dyDescent="0.25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</row>
    <row r="324" spans="1:17" x14ac:dyDescent="0.25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</row>
    <row r="325" spans="1:17" x14ac:dyDescent="0.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</row>
    <row r="326" spans="1:17" x14ac:dyDescent="0.25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</row>
    <row r="327" spans="1:17" x14ac:dyDescent="0.25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</row>
    <row r="328" spans="1:17" x14ac:dyDescent="0.25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</row>
    <row r="329" spans="1:17" x14ac:dyDescent="0.25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</row>
    <row r="330" spans="1:17" x14ac:dyDescent="0.25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</row>
    <row r="331" spans="1:17" x14ac:dyDescent="0.25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</row>
    <row r="332" spans="1:17" x14ac:dyDescent="0.25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</row>
    <row r="333" spans="1:17" x14ac:dyDescent="0.25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</row>
    <row r="334" spans="1:17" x14ac:dyDescent="0.25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</row>
    <row r="335" spans="1:17" x14ac:dyDescent="0.2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</row>
    <row r="336" spans="1:17" x14ac:dyDescent="0.25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</row>
    <row r="337" spans="1:17" x14ac:dyDescent="0.25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</row>
    <row r="338" spans="1:17" x14ac:dyDescent="0.25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</row>
    <row r="339" spans="1:17" x14ac:dyDescent="0.25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</row>
    <row r="340" spans="1:17" x14ac:dyDescent="0.25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</row>
    <row r="341" spans="1:17" x14ac:dyDescent="0.25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</row>
    <row r="342" spans="1:17" x14ac:dyDescent="0.25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</row>
    <row r="343" spans="1:17" x14ac:dyDescent="0.25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</row>
    <row r="344" spans="1:17" x14ac:dyDescent="0.25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</row>
    <row r="345" spans="1:17" x14ac:dyDescent="0.2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</row>
    <row r="346" spans="1:17" x14ac:dyDescent="0.25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</row>
    <row r="347" spans="1:17" x14ac:dyDescent="0.25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</row>
    <row r="348" spans="1:17" x14ac:dyDescent="0.25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</row>
    <row r="349" spans="1:17" x14ac:dyDescent="0.25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</row>
    <row r="350" spans="1:17" x14ac:dyDescent="0.25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</row>
    <row r="351" spans="1:17" x14ac:dyDescent="0.25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</row>
    <row r="352" spans="1:17" x14ac:dyDescent="0.25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</row>
    <row r="353" spans="1:17" x14ac:dyDescent="0.25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</row>
  </sheetData>
  <pageMargins left="0.7" right="0.7" top="0.75" bottom="0.75" header="0.3" footer="0.3"/>
  <pageSetup paperSize="9" scale="48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"/>
  <sheetViews>
    <sheetView tabSelected="1" topLeftCell="A180" workbookViewId="0">
      <selection activeCell="C198" sqref="C198"/>
    </sheetView>
  </sheetViews>
  <sheetFormatPr defaultRowHeight="15" x14ac:dyDescent="0.25"/>
  <cols>
    <col min="1" max="1" width="20.140625" bestFit="1" customWidth="1"/>
  </cols>
  <sheetData>
    <row r="1" spans="1:1" x14ac:dyDescent="0.25">
      <c r="A1" t="str">
        <f>CONCATENATE("/*",'Allprides '!C2,"*/ ",'Allprides '!G2,'Allprides '!H2,'Allprides '!I2,'Allprides '!J2,'Allprides '!K2,'Allprides '!L2,'Allprides '!M2,'Allprides '!N2," 1;")</f>
        <v>/*ELI-584*/ 11111111 1;</v>
      </c>
    </row>
    <row r="2" spans="1:1" x14ac:dyDescent="0.25">
      <c r="A2" t="str">
        <f>CONCATENATE("/*",'Allprides '!C3,"*/ ",'Allprides '!G3,'Allprides '!H3,'Allprides '!I3,'Allprides '!J3,'Allprides '!K3,'Allprides '!L3,'Allprides '!M3,'Allprides '!N3," 1;")</f>
        <v>/*ELI-585*/ 11111101 1;</v>
      </c>
    </row>
    <row r="3" spans="1:1" x14ac:dyDescent="0.25">
      <c r="A3" t="str">
        <f>CONCATENATE("/*",'Allprides '!C4,"*/ ",'Allprides '!G4,'Allprides '!H4,'Allprides '!I4,'Allprides '!J4,'Allprides '!K4,'Allprides '!L4,'Allprides '!M4,'Allprides '!N4," 1;")</f>
        <v>/*ELI-586*/ 11111111 1;</v>
      </c>
    </row>
    <row r="4" spans="1:1" x14ac:dyDescent="0.25">
      <c r="A4" t="str">
        <f>CONCATENATE("/*",'Allprides '!C5,"*/ ",'Allprides '!G5,'Allprides '!H5,'Allprides '!I5,'Allprides '!J5,'Allprides '!K5,'Allprides '!L5,'Allprides '!M5,'Allprides '!N5," 1;")</f>
        <v>/*ELI-587*/ 11111111 1;</v>
      </c>
    </row>
    <row r="5" spans="1:1" x14ac:dyDescent="0.25">
      <c r="A5" t="str">
        <f>CONCATENATE("/*",'Allprides '!C6,"*/ ",'Allprides '!G6,'Allprides '!H6,'Allprides '!I6,'Allprides '!J6,'Allprides '!K6,'Allprides '!L6,'Allprides '!M6,'Allprides '!N6," 1;")</f>
        <v>/*ELI-590*/ 11111111 1;</v>
      </c>
    </row>
    <row r="6" spans="1:1" x14ac:dyDescent="0.25">
      <c r="A6" t="str">
        <f>CONCATENATE("/*",'Allprides '!C7,"*/ ",'Allprides '!G7,'Allprides '!H7,'Allprides '!I7,'Allprides '!J7,'Allprides '!K7,'Allprides '!L7,'Allprides '!M7,'Allprides '!N7," 1;")</f>
        <v>/*ELI-592*/ 11111101 1;</v>
      </c>
    </row>
    <row r="7" spans="1:1" x14ac:dyDescent="0.25">
      <c r="A7" t="str">
        <f>CONCATENATE("/*",'Allprides '!C8,"*/ ",'Allprides '!G8,'Allprides '!H8,'Allprides '!I8,'Allprides '!J8,'Allprides '!K8,'Allprides '!L8,'Allprides '!M8,'Allprides '!N8," 1;")</f>
        <v>/*ELI-593*/ 11111101 1;</v>
      </c>
    </row>
    <row r="8" spans="1:1" x14ac:dyDescent="0.25">
      <c r="A8" t="str">
        <f>CONCATENATE("/*",'Allprides '!C9,"*/ ",'Allprides '!G9,'Allprides '!H9,'Allprides '!I9,'Allprides '!J9,'Allprides '!K9,'Allprides '!L9,'Allprides '!M9,'Allprides '!N9," 1;")</f>
        <v>/*ELI-594*/ 11111111 1;</v>
      </c>
    </row>
    <row r="9" spans="1:1" x14ac:dyDescent="0.25">
      <c r="A9" t="str">
        <f>CONCATENATE("/*",'Allprides '!C10,"*/ ",'Allprides '!G10,'Allprides '!H10,'Allprides '!I10,'Allprides '!J10,'Allprides '!K10,'Allprides '!L10,'Allprides '!M10,'Allprides '!N10," 1;")</f>
        <v>/*ELI-243*/ 11111101 1;</v>
      </c>
    </row>
    <row r="10" spans="1:1" x14ac:dyDescent="0.25">
      <c r="A10" t="str">
        <f>CONCATENATE("/*",'Allprides '!C11,"*/ ",'Allprides '!G11,'Allprides '!H11,'Allprides '!I11,'Allprides '!J11,'Allprides '!K11,'Allprides '!L11,'Allprides '!M11,'Allprides '!N11," 1;")</f>
        <v>/*ELI-224*/ 00110110 1;</v>
      </c>
    </row>
    <row r="11" spans="1:1" x14ac:dyDescent="0.25">
      <c r="A11" t="str">
        <f>CONCATENATE("/*",'Allprides '!C12,"*/ ",'Allprides '!G12,'Allprides '!H12,'Allprides '!I12,'Allprides '!J12,'Allprides '!K12,'Allprides '!L12,'Allprides '!M12,'Allprides '!N12," 1;")</f>
        <v>/*ELI-245*/ 10111110 1;</v>
      </c>
    </row>
    <row r="12" spans="1:1" x14ac:dyDescent="0.25">
      <c r="A12" t="str">
        <f>CONCATENATE("/*",'Allprides '!C13,"*/ ",'Allprides '!G13,'Allprides '!H13,'Allprides '!I13,'Allprides '!J13,'Allprides '!K13,'Allprides '!L13,'Allprides '!M13,'Allprides '!N13," 1;")</f>
        <v>/*ELI-223*/ 00001110 1;</v>
      </c>
    </row>
    <row r="13" spans="1:1" x14ac:dyDescent="0.25">
      <c r="A13" t="str">
        <f>CONCATENATE("/*",'Allprides '!C14,"*/ ",'Allprides '!G14,'Allprides '!H14,'Allprides '!I14,'Allprides '!J14,'Allprides '!K14,'Allprides '!L14,'Allprides '!M14,'Allprides '!N14," 1;")</f>
        <v>/*ELI-220*/ 00001110 1;</v>
      </c>
    </row>
    <row r="14" spans="1:1" x14ac:dyDescent="0.25">
      <c r="A14" t="str">
        <f>CONCATENATE("/*",'Allprides '!C15,"*/ ",'Allprides '!G15,'Allprides '!H15,'Allprides '!I15,'Allprides '!J15,'Allprides '!K15,'Allprides '!L15,'Allprides '!M15,'Allprides '!N15," 1;")</f>
        <v>/*ELI-218*/ 00101100 1;</v>
      </c>
    </row>
    <row r="15" spans="1:1" x14ac:dyDescent="0.25">
      <c r="A15" t="str">
        <f>CONCATENATE("/*",'Allprides '!C16,"*/ ",'Allprides '!G16,'Allprides '!H16,'Allprides '!I16,'Allprides '!J16,'Allprides '!K16,'Allprides '!L16,'Allprides '!M16,'Allprides '!N16," 1;")</f>
        <v>/*ELI-219*/ 00001110 1;</v>
      </c>
    </row>
    <row r="16" spans="1:1" x14ac:dyDescent="0.25">
      <c r="A16" t="str">
        <f>CONCATENATE("/*",'Allprides '!C17,"*/ ",'Allprides '!G17,'Allprides '!H17,'Allprides '!I17,'Allprides '!J17,'Allprides '!K17,'Allprides '!L17,'Allprides '!M17,'Allprides '!N17," 1;")</f>
        <v>/*ELI-769*/ 10101110 1;</v>
      </c>
    </row>
    <row r="17" spans="1:1" x14ac:dyDescent="0.25">
      <c r="A17" t="str">
        <f>CONCATENATE("/*",'Allprides '!C18,"*/ ",'Allprides '!G18,'Allprides '!H18,'Allprides '!I18,'Allprides '!J18,'Allprides '!K18,'Allprides '!L18,'Allprides '!M18,'Allprides '!N18," 1;")</f>
        <v>/*ELI-768*/ 00111110 1;</v>
      </c>
    </row>
    <row r="18" spans="1:1" x14ac:dyDescent="0.25">
      <c r="A18" t="str">
        <f>CONCATENATE("/*",'Allprides '!C19,"*/ ",'Allprides '!G19,'Allprides '!H19,'Allprides '!I19,'Allprides '!J19,'Allprides '!K19,'Allprides '!L19,'Allprides '!M19,'Allprides '!N19," 1;")</f>
        <v>/*ELI-767*/ 00101100 1;</v>
      </c>
    </row>
    <row r="19" spans="1:1" x14ac:dyDescent="0.25">
      <c r="A19" t="str">
        <f>CONCATENATE("/*",'Allprides '!C20,"*/ ",'Allprides '!G20,'Allprides '!H20,'Allprides '!I20,'Allprides '!J20,'Allprides '!K20,'Allprides '!L20,'Allprides '!M20,'Allprides '!N20," 1;")</f>
        <v>/*ELI-766*/ 10001010 1;</v>
      </c>
    </row>
    <row r="20" spans="1:1" x14ac:dyDescent="0.25">
      <c r="A20" t="str">
        <f>CONCATENATE("/*",'Allprides '!C21,"*/ ",'Allprides '!G21,'Allprides '!H21,'Allprides '!I21,'Allprides '!J21,'Allprides '!K21,'Allprides '!L21,'Allprides '!M21,'Allprides '!N21," 1;")</f>
        <v>/*ELI-765*/ 10101110 1;</v>
      </c>
    </row>
    <row r="21" spans="1:1" x14ac:dyDescent="0.25">
      <c r="A21" t="str">
        <f>CONCATENATE("/*",'Allprides '!C22,"*/ ",'Allprides '!G22,'Allprides '!H22,'Allprides '!I22,'Allprides '!J22,'Allprides '!K22,'Allprides '!L22,'Allprides '!M22,'Allprides '!N22," 1;")</f>
        <v>/*ELI-815*/ 00001110 1;</v>
      </c>
    </row>
    <row r="22" spans="1:1" x14ac:dyDescent="0.25">
      <c r="A22" t="str">
        <f>CONCATENATE("/*",'Allprides '!C23,"*/ ",'Allprides '!G23,'Allprides '!H23,'Allprides '!I23,'Allprides '!J23,'Allprides '!K23,'Allprides '!L23,'Allprides '!M23,'Allprides '!N23," 1;")</f>
        <v>/*ELI-816*/ 00001110 1;</v>
      </c>
    </row>
    <row r="23" spans="1:1" x14ac:dyDescent="0.25">
      <c r="A23" t="str">
        <f>CONCATENATE("/*",'Allprides '!C24,"*/ ",'Allprides '!G24,'Allprides '!H24,'Allprides '!I24,'Allprides '!J24,'Allprides '!K24,'Allprides '!L24,'Allprides '!M24,'Allprides '!N24," 1;")</f>
        <v>/*ELI-817*/ 00001110 1;</v>
      </c>
    </row>
    <row r="24" spans="1:1" x14ac:dyDescent="0.25">
      <c r="A24" t="str">
        <f>CONCATENATE("/*",'Allprides '!C25,"*/ ",'Allprides '!G25,'Allprides '!H25,'Allprides '!I25,'Allprides '!J25,'Allprides '!K25,'Allprides '!L25,'Allprides '!M25,'Allprides '!N25," 1;")</f>
        <v>/*ELI-818*/ 00001110 1;</v>
      </c>
    </row>
    <row r="25" spans="1:1" x14ac:dyDescent="0.25">
      <c r="A25" t="str">
        <f>CONCATENATE("/*",'Allprides '!C26,"*/ ",'Allprides '!G26,'Allprides '!H26,'Allprides '!I26,'Allprides '!J26,'Allprides '!K26,'Allprides '!L26,'Allprides '!M26,'Allprides '!N26," 1;")</f>
        <v>/*ELI-819*/ 00001110 1;</v>
      </c>
    </row>
    <row r="26" spans="1:1" x14ac:dyDescent="0.25">
      <c r="A26" t="str">
        <f>CONCATENATE("/*",'Allprides '!C27,"*/ ",'Allprides '!G27,'Allprides '!H27,'Allprides '!I27,'Allprides '!J27,'Allprides '!K27,'Allprides '!L27,'Allprides '!M27,'Allprides '!N27," 1;")</f>
        <v>/*ELI-820*/ 00001110 1;</v>
      </c>
    </row>
    <row r="27" spans="1:1" x14ac:dyDescent="0.25">
      <c r="A27" t="str">
        <f>CONCATENATE("/*",'Allprides '!C28,"*/ ",'Allprides '!G28,'Allprides '!H28,'Allprides '!I28,'Allprides '!J28,'Allprides '!K28,'Allprides '!L28,'Allprides '!M28,'Allprides '!N28," 1;")</f>
        <v>/*ELI-821*/ 00011110 1;</v>
      </c>
    </row>
    <row r="28" spans="1:1" x14ac:dyDescent="0.25">
      <c r="A28" t="str">
        <f>CONCATENATE("/*",'Allprides '!C29,"*/ ",'Allprides '!G29,'Allprides '!H29,'Allprides '!I29,'Allprides '!J29,'Allprides '!K29,'Allprides '!L29,'Allprides '!M29,'Allprides '!N29," 1;")</f>
        <v>/*ELI-822*/ 00011110 1;</v>
      </c>
    </row>
    <row r="29" spans="1:1" x14ac:dyDescent="0.25">
      <c r="A29" t="str">
        <f>CONCATENATE("/*",'Allprides '!C30,"*/ ",'Allprides '!G30,'Allprides '!H30,'Allprides '!I30,'Allprides '!J30,'Allprides '!K30,'Allprides '!L30,'Allprides '!M30,'Allprides '!N30," 1;")</f>
        <v>/*ELI-414*/ 10111111 1;</v>
      </c>
    </row>
    <row r="30" spans="1:1" x14ac:dyDescent="0.25">
      <c r="A30" t="str">
        <f>CONCATENATE("/*",'Allprides '!C31,"*/ ",'Allprides '!G31,'Allprides '!H31,'Allprides '!I31,'Allprides '!J31,'Allprides '!K31,'Allprides '!L31,'Allprides '!M31,'Allprides '!N31," 1;")</f>
        <v>/*ELI-493*/ 10111000 1;</v>
      </c>
    </row>
    <row r="31" spans="1:1" x14ac:dyDescent="0.25">
      <c r="A31" t="str">
        <f>CONCATENATE("/*",'Allprides '!C32,"*/ ",'Allprides '!G32,'Allprides '!H32,'Allprides '!I32,'Allprides '!J32,'Allprides '!K32,'Allprides '!L32,'Allprides '!M32,'Allprides '!N32," 1;")</f>
        <v>/*ELI-494*/ 00101000 1;</v>
      </c>
    </row>
    <row r="32" spans="1:1" x14ac:dyDescent="0.25">
      <c r="A32" t="str">
        <f>CONCATENATE("/*",'Allprides '!C33,"*/ ",'Allprides '!G33,'Allprides '!H33,'Allprides '!I33,'Allprides '!J33,'Allprides '!K33,'Allprides '!L33,'Allprides '!M33,'Allprides '!N33," 1;")</f>
        <v>/*ELI-598*/ 00001000 1;</v>
      </c>
    </row>
    <row r="33" spans="1:1" x14ac:dyDescent="0.25">
      <c r="A33" t="str">
        <f>CONCATENATE("/*",'Allprides '!C34,"*/ ",'Allprides '!G34,'Allprides '!H34,'Allprides '!I34,'Allprides '!J34,'Allprides '!K34,'Allprides '!L34,'Allprides '!M34,'Allprides '!N34," 1;")</f>
        <v>/*ELI-599*/ 00001000 1;</v>
      </c>
    </row>
    <row r="34" spans="1:1" x14ac:dyDescent="0.25">
      <c r="A34" t="str">
        <f>CONCATENATE("/*",'Allprides '!C35,"*/ ",'Allprides '!G35,'Allprides '!H35,'Allprides '!I35,'Allprides '!J35,'Allprides '!K35,'Allprides '!L35,'Allprides '!M35,'Allprides '!N35," 1;")</f>
        <v>/*ELI-235*/ 10111111 1;</v>
      </c>
    </row>
    <row r="35" spans="1:1" x14ac:dyDescent="0.25">
      <c r="A35" t="str">
        <f>CONCATENATE("/*",'Allprides '!C36,"*/ ",'Allprides '!G36,'Allprides '!H36,'Allprides '!I36,'Allprides '!J36,'Allprides '!K36,'Allprides '!L36,'Allprides '!M36,'Allprides '!N36," 1;")</f>
        <v>/*ELI-604*/ 10111101 1;</v>
      </c>
    </row>
    <row r="36" spans="1:1" x14ac:dyDescent="0.25">
      <c r="A36" t="str">
        <f>CONCATENATE("/*",'Allprides '!C37,"*/ ",'Allprides '!G37,'Allprides '!H37,'Allprides '!I37,'Allprides '!J37,'Allprides '!K37,'Allprides '!L37,'Allprides '!M37,'Allprides '!N37," 1;")</f>
        <v>/*ELI-606*/ 10111101 1;</v>
      </c>
    </row>
    <row r="37" spans="1:1" x14ac:dyDescent="0.25">
      <c r="A37" t="str">
        <f>CONCATENATE("/*",'Allprides '!C38,"*/ ",'Allprides '!G38,'Allprides '!H38,'Allprides '!I38,'Allprides '!J38,'Allprides '!K38,'Allprides '!L38,'Allprides '!M38,'Allprides '!N38," 1;")</f>
        <v>/*ELI-143*/ 01111110 1;</v>
      </c>
    </row>
    <row r="38" spans="1:1" x14ac:dyDescent="0.25">
      <c r="A38" t="str">
        <f>CONCATENATE("/*",'Allprides '!C39,"*/ ",'Allprides '!G39,'Allprides '!H39,'Allprides '!I39,'Allprides '!J39,'Allprides '!K39,'Allprides '!L39,'Allprides '!M39,'Allprides '!N39," 1;")</f>
        <v>/*ELI-496*/ 01011010 1;</v>
      </c>
    </row>
    <row r="39" spans="1:1" x14ac:dyDescent="0.25">
      <c r="A39" t="str">
        <f>CONCATENATE("/*",'Allprides '!C40,"*/ ",'Allprides '!G40,'Allprides '!H40,'Allprides '!I40,'Allprides '!J40,'Allprides '!K40,'Allprides '!L40,'Allprides '!M40,'Allprides '!N40," 1;")</f>
        <v>/*ELI-703*/ 01011010 1;</v>
      </c>
    </row>
    <row r="40" spans="1:1" x14ac:dyDescent="0.25">
      <c r="A40" t="str">
        <f>CONCATENATE("/*",'Allprides '!C41,"*/ ",'Allprides '!G41,'Allprides '!H41,'Allprides '!I41,'Allprides '!J41,'Allprides '!K41,'Allprides '!L41,'Allprides '!M41,'Allprides '!N41," 1;")</f>
        <v>/*ELI-262*/ 00011000 1;</v>
      </c>
    </row>
    <row r="41" spans="1:1" x14ac:dyDescent="0.25">
      <c r="A41" t="str">
        <f>CONCATENATE("/*",'Allprides '!C42,"*/ ",'Allprides '!G42,'Allprides '!H42,'Allprides '!I42,'Allprides '!J42,'Allprides '!K42,'Allprides '!L42,'Allprides '!M42,'Allprides '!N42," 1;")</f>
        <v>/*ELI-752*/ 00011000 1;</v>
      </c>
    </row>
    <row r="42" spans="1:1" x14ac:dyDescent="0.25">
      <c r="A42" t="str">
        <f>CONCATENATE("/*",'Allprides '!C43,"*/ ",'Allprides '!G43,'Allprides '!H43,'Allprides '!I43,'Allprides '!J43,'Allprides '!K43,'Allprides '!L43,'Allprides '!M43,'Allprides '!N43," 1;")</f>
        <v>/*ELI-753*/ 00011000 1;</v>
      </c>
    </row>
    <row r="43" spans="1:1" x14ac:dyDescent="0.25">
      <c r="A43" t="str">
        <f>CONCATENATE("/*",'Allprides '!C44,"*/ ",'Allprides '!G44,'Allprides '!H44,'Allprides '!I44,'Allprides '!J44,'Allprides '!K44,'Allprides '!L44,'Allprides '!M44,'Allprides '!N44," 1;")</f>
        <v>/*ELI-757*/ 00001000 1;</v>
      </c>
    </row>
    <row r="44" spans="1:1" x14ac:dyDescent="0.25">
      <c r="A44" t="str">
        <f>CONCATENATE("/*",'Allprides '!C45,"*/ ",'Allprides '!G45,'Allprides '!H45,'Allprides '!I45,'Allprides '!J45,'Allprides '!K45,'Allprides '!L45,'Allprides '!M45,'Allprides '!N45," 1;")</f>
        <v>/*ELI-260*/ 00001000 1;</v>
      </c>
    </row>
    <row r="45" spans="1:1" x14ac:dyDescent="0.25">
      <c r="A45" t="str">
        <f>CONCATENATE("/*",'Allprides '!C46,"*/ ",'Allprides '!G46,'Allprides '!H46,'Allprides '!I46,'Allprides '!J46,'Allprides '!K46,'Allprides '!L46,'Allprides '!M46,'Allprides '!N46," 1;")</f>
        <v>/*ELI-173*/ 00010101 1;</v>
      </c>
    </row>
    <row r="46" spans="1:1" x14ac:dyDescent="0.25">
      <c r="A46" t="str">
        <f>CONCATENATE("/*",'Allprides '!C47,"*/ ",'Allprides '!G47,'Allprides '!H47,'Allprides '!I47,'Allprides '!J47,'Allprides '!K47,'Allprides '!L47,'Allprides '!M47,'Allprides '!N47," 1;")</f>
        <v>/*ELI-174*/ 00000000 1;</v>
      </c>
    </row>
    <row r="47" spans="1:1" x14ac:dyDescent="0.25">
      <c r="A47" t="str">
        <f>CONCATENATE("/*",'Allprides '!C48,"*/ ",'Allprides '!G48,'Allprides '!H48,'Allprides '!I48,'Allprides '!J48,'Allprides '!K48,'Allprides '!L48,'Allprides '!M48,'Allprides '!N48," 1;")</f>
        <v>/*ELI-247*/ 00010101 1;</v>
      </c>
    </row>
    <row r="48" spans="1:1" x14ac:dyDescent="0.25">
      <c r="A48" t="str">
        <f>CONCATENATE("/*",'Allprides '!C49,"*/ ",'Allprides '!G49,'Allprides '!H49,'Allprides '!I49,'Allprides '!J49,'Allprides '!K49,'Allprides '!L49,'Allprides '!M49,'Allprides '!N49," 1;")</f>
        <v>/*ELI-248*/ 10110111 1;</v>
      </c>
    </row>
    <row r="49" spans="1:1" x14ac:dyDescent="0.25">
      <c r="A49" t="str">
        <f>CONCATENATE("/*",'Allprides '!C50,"*/ ",'Allprides '!G50,'Allprides '!H50,'Allprides '!I50,'Allprides '!J50,'Allprides '!K50,'Allprides '!L50,'Allprides '!M50,'Allprides '!N50," 1;")</f>
        <v>/*ELI-250*/ 00001111 1;</v>
      </c>
    </row>
    <row r="50" spans="1:1" x14ac:dyDescent="0.25">
      <c r="A50" t="str">
        <f>CONCATENATE("/*",'Allprides '!C51,"*/ ",'Allprides '!G51,'Allprides '!H51,'Allprides '!I51,'Allprides '!J51,'Allprides '!K51,'Allprides '!L51,'Allprides '!M51,'Allprides '!N51," 1;")</f>
        <v>/*ELI-462*/ 00110111 1;</v>
      </c>
    </row>
    <row r="51" spans="1:1" x14ac:dyDescent="0.25">
      <c r="A51" t="str">
        <f>CONCATENATE("/*",'Allprides '!C52,"*/ ",'Allprides '!G52,'Allprides '!H52,'Allprides '!I52,'Allprides '!J52,'Allprides '!K52,'Allprides '!L52,'Allprides '!M52,'Allprides '!N52," 1;")</f>
        <v>/*ELI-378*/ 00011100 1;</v>
      </c>
    </row>
    <row r="52" spans="1:1" x14ac:dyDescent="0.25">
      <c r="A52" t="str">
        <f>CONCATENATE("/*",'Allprides '!C53,"*/ ",'Allprides '!G53,'Allprides '!H53,'Allprides '!I53,'Allprides '!J53,'Allprides '!K53,'Allprides '!L53,'Allprides '!M53,'Allprides '!N53," 1;")</f>
        <v>/*ELI-463*/ 00110111 1;</v>
      </c>
    </row>
    <row r="53" spans="1:1" x14ac:dyDescent="0.25">
      <c r="A53" t="str">
        <f>CONCATENATE("/*",'Allprides '!C54,"*/ ",'Allprides '!G54,'Allprides '!H54,'Allprides '!I54,'Allprides '!J54,'Allprides '!K54,'Allprides '!L54,'Allprides '!M54,'Allprides '!N54," 1;")</f>
        <v>/*ELI-589*/ 00010101 1;</v>
      </c>
    </row>
    <row r="54" spans="1:1" x14ac:dyDescent="0.25">
      <c r="A54" t="str">
        <f>CONCATENATE("/*",'Allprides '!C55,"*/ ",'Allprides '!G55,'Allprides '!H55,'Allprides '!I55,'Allprides '!J55,'Allprides '!K55,'Allprides '!L55,'Allprides '!M55,'Allprides '!N55," 1;")</f>
        <v>/*ELI-713*/ 00010101 1;</v>
      </c>
    </row>
    <row r="55" spans="1:1" x14ac:dyDescent="0.25">
      <c r="A55" t="str">
        <f>CONCATENATE("/*",'Allprides '!C56,"*/ ",'Allprides '!G56,'Allprides '!H56,'Allprides '!I56,'Allprides '!J56,'Allprides '!K56,'Allprides '!L56,'Allprides '!M56,'Allprides '!N56," 1;")</f>
        <v>/*ELI-714*/ 00010101 1;</v>
      </c>
    </row>
    <row r="56" spans="1:1" x14ac:dyDescent="0.25">
      <c r="A56" t="str">
        <f>CONCATENATE("/*",'Allprides '!C57,"*/ ",'Allprides '!G57,'Allprides '!H57,'Allprides '!I57,'Allprides '!J57,'Allprides '!K57,'Allprides '!L57,'Allprides '!M57,'Allprides '!N57," 1;")</f>
        <v>/*ELI-715*/ 00100001 1;</v>
      </c>
    </row>
    <row r="57" spans="1:1" x14ac:dyDescent="0.25">
      <c r="A57" t="str">
        <f>CONCATENATE("/*",'Allprides '!C58,"*/ ",'Allprides '!G58,'Allprides '!H58,'Allprides '!I58,'Allprides '!J58,'Allprides '!K58,'Allprides '!L58,'Allprides '!M58,'Allprides '!N58," 1;")</f>
        <v>/*ELI-716*/ 00010101 1;</v>
      </c>
    </row>
    <row r="58" spans="1:1" x14ac:dyDescent="0.25">
      <c r="A58" t="str">
        <f>CONCATENATE("/*",'Allprides '!C59,"*/ ",'Allprides '!G59,'Allprides '!H59,'Allprides '!I59,'Allprides '!J59,'Allprides '!K59,'Allprides '!L59,'Allprides '!M59,'Allprides '!N59," 1;")</f>
        <v>/*ELI-717*/ 00010100 1;</v>
      </c>
    </row>
    <row r="59" spans="1:1" x14ac:dyDescent="0.25">
      <c r="A59" t="str">
        <f>CONCATENATE("/*",'Allprides '!C60,"*/ ",'Allprides '!G60,'Allprides '!H60,'Allprides '!I60,'Allprides '!J60,'Allprides '!K60,'Allprides '!L60,'Allprides '!M60,'Allprides '!N60," 1;")</f>
        <v>/*ELI-718*/ 00010101 1;</v>
      </c>
    </row>
    <row r="60" spans="1:1" x14ac:dyDescent="0.25">
      <c r="A60" t="str">
        <f>CONCATENATE("/*",'Allprides '!C61,"*/ ",'Allprides '!G61,'Allprides '!H61,'Allprides '!I61,'Allprides '!J61,'Allprides '!K61,'Allprides '!L61,'Allprides '!M61,'Allprides '!N61," 1;")</f>
        <v>/*ELI-719*/ 00010101 1;</v>
      </c>
    </row>
    <row r="61" spans="1:1" x14ac:dyDescent="0.25">
      <c r="A61" t="str">
        <f>CONCATENATE("/*",'Allprides '!C62,"*/ ",'Allprides '!G62,'Allprides '!H62,'Allprides '!I62,'Allprides '!J62,'Allprides '!K62,'Allprides '!L62,'Allprides '!M62,'Allprides '!N62," 1;")</f>
        <v>/*ELI-823*/ 00001000 1;</v>
      </c>
    </row>
    <row r="62" spans="1:1" x14ac:dyDescent="0.25">
      <c r="A62" t="str">
        <f>CONCATENATE("/*",'Allprides '!C63,"*/ ",'Allprides '!G63,'Allprides '!H63,'Allprides '!I63,'Allprides '!J63,'Allprides '!K63,'Allprides '!L63,'Allprides '!M63,'Allprides '!N63," 1;")</f>
        <v>/*ELI-824*/ 00001000 1;</v>
      </c>
    </row>
    <row r="63" spans="1:1" x14ac:dyDescent="0.25">
      <c r="A63" t="str">
        <f>CONCATENATE("/*",'Allprides '!C64,"*/ ",'Allprides '!G64,'Allprides '!H64,'Allprides '!I64,'Allprides '!J64,'Allprides '!K64,'Allprides '!L64,'Allprides '!M64,'Allprides '!N64," 1;")</f>
        <v>/*ELI-825*/ 00001000 1;</v>
      </c>
    </row>
    <row r="64" spans="1:1" x14ac:dyDescent="0.25">
      <c r="A64" t="str">
        <f>CONCATENATE("/*",'Allprides '!C65,"*/ ",'Allprides '!G65,'Allprides '!H65,'Allprides '!I65,'Allprides '!J65,'Allprides '!K65,'Allprides '!L65,'Allprides '!M65,'Allprides '!N65," 1;")</f>
        <v>/*ELI-826*/ 00000100 1;</v>
      </c>
    </row>
    <row r="65" spans="1:1" x14ac:dyDescent="0.25">
      <c r="A65" t="str">
        <f>CONCATENATE("/*",'Allprides '!C66,"*/ ",'Allprides '!G66,'Allprides '!H66,'Allprides '!I66,'Allprides '!J66,'Allprides '!K66,'Allprides '!L66,'Allprides '!M66,'Allprides '!N66," 1;")</f>
        <v>/*ELI-827*/ 00000111 1;</v>
      </c>
    </row>
    <row r="66" spans="1:1" x14ac:dyDescent="0.25">
      <c r="A66" t="str">
        <f>CONCATENATE("/*",'Allprides '!C67,"*/ ",'Allprides '!G67,'Allprides '!H67,'Allprides '!I67,'Allprides '!J67,'Allprides '!K67,'Allprides '!L67,'Allprides '!M67,'Allprides '!N67," 1;")</f>
        <v>/*ELI-828*/ 00000111 1;</v>
      </c>
    </row>
    <row r="67" spans="1:1" x14ac:dyDescent="0.25">
      <c r="A67" t="str">
        <f>CONCATENATE("/*",'Allprides '!C68,"*/ ",'Allprides '!G68,'Allprides '!H68,'Allprides '!I68,'Allprides '!J68,'Allprides '!K68,'Allprides '!L68,'Allprides '!M68,'Allprides '!N68," 1;")</f>
        <v>/*ELI-829*/ 00000111 1;</v>
      </c>
    </row>
    <row r="68" spans="1:1" x14ac:dyDescent="0.25">
      <c r="A68" t="str">
        <f>CONCATENATE("/*",'Allprides '!C69,"*/ ",'Allprides '!G69,'Allprides '!H69,'Allprides '!I69,'Allprides '!J69,'Allprides '!K69,'Allprides '!L69,'Allprides '!M69,'Allprides '!N69," 1;")</f>
        <v>/*ELI-830*/ 00000111 1;</v>
      </c>
    </row>
    <row r="69" spans="1:1" x14ac:dyDescent="0.25">
      <c r="A69" t="str">
        <f>CONCATENATE("/*",'Allprides '!C70,"*/ ",'Allprides '!G70,'Allprides '!H70,'Allprides '!I70,'Allprides '!J70,'Allprides '!K70,'Allprides '!L70,'Allprides '!M70,'Allprides '!N70," 1;")</f>
        <v>/*ELI-831*/ 00000111 1;</v>
      </c>
    </row>
    <row r="70" spans="1:1" x14ac:dyDescent="0.25">
      <c r="A70" t="str">
        <f>CONCATENATE("/*",'Allprides '!C71,"*/ ",'Allprides '!G71,'Allprides '!H71,'Allprides '!I71,'Allprides '!J71,'Allprides '!K71,'Allprides '!L71,'Allprides '!M71,'Allprides '!N71," 1;")</f>
        <v>/*ELI-258*/ 00110110 1;</v>
      </c>
    </row>
    <row r="71" spans="1:1" x14ac:dyDescent="0.25">
      <c r="A71" t="str">
        <f>CONCATENATE("/*",'Allprides '!C72,"*/ ",'Allprides '!G72,'Allprides '!H72,'Allprides '!I72,'Allprides '!J72,'Allprides '!K72,'Allprides '!L72,'Allprides '!M72,'Allprides '!N72," 1;")</f>
        <v>/*ELI-256*/ 00110110 1;</v>
      </c>
    </row>
    <row r="72" spans="1:1" x14ac:dyDescent="0.25">
      <c r="A72" t="str">
        <f>CONCATENATE("/*",'Allprides '!C73,"*/ ",'Allprides '!G73,'Allprides '!H73,'Allprides '!I73,'Allprides '!J73,'Allprides '!K73,'Allprides '!L73,'Allprides '!M73,'Allprides '!N73," 1;")</f>
        <v>/*ELI-609*/ 00100100 1;</v>
      </c>
    </row>
    <row r="73" spans="1:1" x14ac:dyDescent="0.25">
      <c r="A73" t="str">
        <f>CONCATENATE("/*",'Allprides '!C74,"*/ ",'Allprides '!G74,'Allprides '!H74,'Allprides '!I74,'Allprides '!J74,'Allprides '!K74,'Allprides '!L74,'Allprides '!M74,'Allprides '!N74," 1;")</f>
        <v>/*ELI-611*/ 00100100 1;</v>
      </c>
    </row>
    <row r="74" spans="1:1" x14ac:dyDescent="0.25">
      <c r="A74" t="str">
        <f>CONCATENATE("/*",'Allprides '!C75,"*/ ",'Allprides '!G75,'Allprides '!H75,'Allprides '!I75,'Allprides '!J75,'Allprides '!K75,'Allprides '!L75,'Allprides '!M75,'Allprides '!N75," 1;")</f>
        <v>/*ELI-480*/ 00011100 1;</v>
      </c>
    </row>
    <row r="75" spans="1:1" x14ac:dyDescent="0.25">
      <c r="A75" t="str">
        <f>CONCATENATE("/*",'Allprides '!C76,"*/ ",'Allprides '!G76,'Allprides '!H76,'Allprides '!I76,'Allprides '!J76,'Allprides '!K76,'Allprides '!L76,'Allprides '!M76,'Allprides '!N76," 1;")</f>
        <v>/*ELI-470*/ 00000001 1;</v>
      </c>
    </row>
    <row r="76" spans="1:1" x14ac:dyDescent="0.25">
      <c r="A76" t="str">
        <f>CONCATENATE("/*",'Allprides '!C77,"*/ ",'Allprides '!G77,'Allprides '!H77,'Allprides '!I77,'Allprides '!J77,'Allprides '!K77,'Allprides '!L77,'Allprides '!M77,'Allprides '!N77," 1;")</f>
        <v>/*ELI-473*/ 00000001 1;</v>
      </c>
    </row>
    <row r="77" spans="1:1" x14ac:dyDescent="0.25">
      <c r="A77" t="str">
        <f>CONCATENATE("/*",'Allprides '!C78,"*/ ",'Allprides '!G78,'Allprides '!H78,'Allprides '!I78,'Allprides '!J78,'Allprides '!K78,'Allprides '!L78,'Allprides '!M78,'Allprides '!N78," 1;")</f>
        <v>/*ELI-472*/ 00000001 1;</v>
      </c>
    </row>
    <row r="78" spans="1:1" x14ac:dyDescent="0.25">
      <c r="A78" t="str">
        <f>CONCATENATE("/*",'Allprides '!C79,"*/ ",'Allprides '!G79,'Allprides '!H79,'Allprides '!I79,'Allprides '!J79,'Allprides '!K79,'Allprides '!L79,'Allprides '!M79,'Allprides '!N79," 1;")</f>
        <v>/*ELI-481*/ 00011000 1;</v>
      </c>
    </row>
    <row r="79" spans="1:1" x14ac:dyDescent="0.25">
      <c r="A79" t="str">
        <f>CONCATENATE("/*",'Allprides '!C80,"*/ ",'Allprides '!G80,'Allprides '!H80,'Allprides '!I80,'Allprides '!J80,'Allprides '!K80,'Allprides '!L80,'Allprides '!M80,'Allprides '!N80," 1;")</f>
        <v>/*ELI-879*/ 00000011 1;</v>
      </c>
    </row>
    <row r="80" spans="1:1" x14ac:dyDescent="0.25">
      <c r="A80" t="str">
        <f>CONCATENATE("/*",'Allprides '!C81,"*/ ",'Allprides '!G81,'Allprides '!H81,'Allprides '!I81,'Allprides '!J81,'Allprides '!K81,'Allprides '!L81,'Allprides '!M81,'Allprides '!N81," 1;")</f>
        <v>/*ELI-880*/ 00000011 1;</v>
      </c>
    </row>
    <row r="81" spans="1:1" x14ac:dyDescent="0.25">
      <c r="A81" t="str">
        <f>CONCATENATE("/*",'Allprides '!C82,"*/ ",'Allprides '!G82,'Allprides '!H82,'Allprides '!I82,'Allprides '!J82,'Allprides '!K82,'Allprides '!L82,'Allprides '!M82,'Allprides '!N82," 1;")</f>
        <v>/*ELI-881*/ 00000011 1;</v>
      </c>
    </row>
    <row r="82" spans="1:1" x14ac:dyDescent="0.25">
      <c r="A82" t="str">
        <f>CONCATENATE("/*",'Allprides '!C83,"*/ ",'Allprides '!G83,'Allprides '!H83,'Allprides '!I83,'Allprides '!J83,'Allprides '!K83,'Allprides '!L83,'Allprides '!M83,'Allprides '!N83," 1;")</f>
        <v>/*ELI-882*/ 00000011 1;</v>
      </c>
    </row>
    <row r="83" spans="1:1" x14ac:dyDescent="0.25">
      <c r="A83" t="str">
        <f>CONCATENATE("/*",'Allprides '!C84,"*/ ",'Allprides '!G84,'Allprides '!H84,'Allprides '!I84,'Allprides '!J84,'Allprides '!K84,'Allprides '!L84,'Allprides '!M84,'Allprides '!N84," 1;")</f>
        <v>/*ELI-438*/ 00010000 1;</v>
      </c>
    </row>
    <row r="84" spans="1:1" x14ac:dyDescent="0.25">
      <c r="A84" t="str">
        <f>CONCATENATE("/*",'Allprides '!C85,"*/ ",'Allprides '!G85,'Allprides '!H85,'Allprides '!I85,'Allprides '!J85,'Allprides '!K85,'Allprides '!L85,'Allprides '!M85,'Allprides '!N85," 1;")</f>
        <v>/*ELI-441*/ 00010100 1;</v>
      </c>
    </row>
    <row r="85" spans="1:1" x14ac:dyDescent="0.25">
      <c r="A85" t="str">
        <f>CONCATENATE("/*",'Allprides '!C86,"*/ ",'Allprides '!G86,'Allprides '!H86,'Allprides '!I86,'Allprides '!J86,'Allprides '!K86,'Allprides '!L86,'Allprides '!M86,'Allprides '!N86," 1;")</f>
        <v>/*ELI-444*/ 00010001 1;</v>
      </c>
    </row>
    <row r="86" spans="1:1" x14ac:dyDescent="0.25">
      <c r="A86" t="str">
        <f>CONCATENATE("/*",'Allprides '!C87,"*/ ",'Allprides '!G87,'Allprides '!H87,'Allprides '!I87,'Allprides '!J87,'Allprides '!K87,'Allprides '!L87,'Allprides '!M87,'Allprides '!N87," 1;")</f>
        <v>/*ELI-918*/ 00010001 1;</v>
      </c>
    </row>
    <row r="87" spans="1:1" x14ac:dyDescent="0.25">
      <c r="A87" t="str">
        <f>CONCATENATE("/*",'Allprides '!C88,"*/ ",'Allprides '!G88,'Allprides '!H88,'Allprides '!I88,'Allprides '!J88,'Allprides '!K88,'Allprides '!L88,'Allprides '!M88,'Allprides '!N88," 1;")</f>
        <v>/*ELI-919*/ 00010001 1;</v>
      </c>
    </row>
    <row r="88" spans="1:1" x14ac:dyDescent="0.25">
      <c r="A88" t="str">
        <f>CONCATENATE("/*",'Allprides '!C89,"*/ ",'Allprides '!G89,'Allprides '!H89,'Allprides '!I89,'Allprides '!J89,'Allprides '!K89,'Allprides '!L89,'Allprides '!M89,'Allprides '!N89," 1;")</f>
        <v>/*ELI-440*/ 00010100 1;</v>
      </c>
    </row>
    <row r="89" spans="1:1" x14ac:dyDescent="0.25">
      <c r="A89" t="str">
        <f>CONCATENATE("/*",'Allprides '!C90,"*/ ",'Allprides '!G90,'Allprides '!H90,'Allprides '!I90,'Allprides '!J90,'Allprides '!K90,'Allprides '!L90,'Allprides '!M90,'Allprides '!N90," 1;")</f>
        <v>/*ELI-197*/ 01111100 1;</v>
      </c>
    </row>
    <row r="90" spans="1:1" x14ac:dyDescent="0.25">
      <c r="A90" t="str">
        <f>CONCATENATE("/*",'Allprides '!C91,"*/ ",'Allprides '!G91,'Allprides '!H91,'Allprides '!I91,'Allprides '!J91,'Allprides '!K91,'Allprides '!L91,'Allprides '!M91,'Allprides '!N91," 1;")</f>
        <v>/*ELI-198*/ 01111100 1;</v>
      </c>
    </row>
    <row r="91" spans="1:1" x14ac:dyDescent="0.25">
      <c r="A91" t="str">
        <f>CONCATENATE("/*",'Allprides '!C92,"*/ ",'Allprides '!G92,'Allprides '!H92,'Allprides '!I92,'Allprides '!J92,'Allprides '!K92,'Allprides '!L92,'Allprides '!M92,'Allprides '!N92," 1;")</f>
        <v>/*ELI-230*/ 01111100 1;</v>
      </c>
    </row>
    <row r="92" spans="1:1" x14ac:dyDescent="0.25">
      <c r="A92" t="str">
        <f>CONCATENATE("/*",'Allprides '!C93,"*/ ",'Allprides '!G93,'Allprides '!H93,'Allprides '!I93,'Allprides '!J93,'Allprides '!K93,'Allprides '!L93,'Allprides '!M93,'Allprides '!N93," 1;")</f>
        <v>/*ELI-231*/ 01011000 1;</v>
      </c>
    </row>
    <row r="93" spans="1:1" x14ac:dyDescent="0.25">
      <c r="A93" t="str">
        <f>CONCATENATE("/*",'Allprides '!C94,"*/ ",'Allprides '!G94,'Allprides '!H94,'Allprides '!I94,'Allprides '!J94,'Allprides '!K94,'Allprides '!L94,'Allprides '!M94,'Allprides '!N94," 1;")</f>
        <v>/*ELI-424*/ 00010000 1;</v>
      </c>
    </row>
    <row r="94" spans="1:1" x14ac:dyDescent="0.25">
      <c r="A94" t="str">
        <f>CONCATENATE("/*",'Allprides '!C95,"*/ ",'Allprides '!G95,'Allprides '!H95,'Allprides '!I95,'Allprides '!J95,'Allprides '!K95,'Allprides '!L95,'Allprides '!M95,'Allprides '!N95," 1;")</f>
        <v>/*ELI-425*/ 00011100 1;</v>
      </c>
    </row>
    <row r="95" spans="1:1" x14ac:dyDescent="0.25">
      <c r="A95" t="str">
        <f>CONCATENATE("/*",'Allprides '!C96,"*/ ",'Allprides '!G96,'Allprides '!H96,'Allprides '!I96,'Allprides '!J96,'Allprides '!K96,'Allprides '!L96,'Allprides '!M96,'Allprides '!N96," 1;")</f>
        <v>/*ELI-613*/ 01111100 1;</v>
      </c>
    </row>
    <row r="96" spans="1:1" x14ac:dyDescent="0.25">
      <c r="A96" t="str">
        <f>CONCATENATE("/*",'Allprides '!C97,"*/ ",'Allprides '!G97,'Allprides '!H97,'Allprides '!I97,'Allprides '!J97,'Allprides '!K97,'Allprides '!L97,'Allprides '!M97,'Allprides '!N97," 1;")</f>
        <v>/*ELI-615*/ 00110100 1;</v>
      </c>
    </row>
    <row r="97" spans="1:1" x14ac:dyDescent="0.25">
      <c r="A97" t="str">
        <f>CONCATENATE("/*",'Allprides '!C98,"*/ ",'Allprides '!G98,'Allprides '!H98,'Allprides '!I98,'Allprides '!J98,'Allprides '!K98,'Allprides '!L98,'Allprides '!M98,'Allprides '!N98," 1;")</f>
        <v>/*ELI-616*/ 01111100 1;</v>
      </c>
    </row>
    <row r="98" spans="1:1" x14ac:dyDescent="0.25">
      <c r="A98" t="str">
        <f>CONCATENATE("/*",'Allprides '!C99,"*/ ",'Allprides '!G99,'Allprides '!H99,'Allprides '!I99,'Allprides '!J99,'Allprides '!K99,'Allprides '!L99,'Allprides '!M99,'Allprides '!N99," 1;")</f>
        <v>/*ELI-617*/ 00111100 1;</v>
      </c>
    </row>
    <row r="99" spans="1:1" x14ac:dyDescent="0.25">
      <c r="A99" t="str">
        <f>CONCATENATE("/*",'Allprides '!C100,"*/ ",'Allprides '!G100,'Allprides '!H100,'Allprides '!I100,'Allprides '!J100,'Allprides '!K100,'Allprides '!L100,'Allprides '!M100,'Allprides '!N100," 1;")</f>
        <v>/*ELI-618*/ 01111100 1;</v>
      </c>
    </row>
    <row r="100" spans="1:1" x14ac:dyDescent="0.25">
      <c r="A100" t="str">
        <f>CONCATENATE("/*",'Allprides '!C101,"*/ ",'Allprides '!G101,'Allprides '!H101,'Allprides '!I101,'Allprides '!J101,'Allprides '!K101,'Allprides '!L101,'Allprides '!M101,'Allprides '!N101," 1;")</f>
        <v>/*ELI-738*/ 00110100 1;</v>
      </c>
    </row>
    <row r="101" spans="1:1" x14ac:dyDescent="0.25">
      <c r="A101" t="str">
        <f>CONCATENATE("/*",'Allprides '!C102,"*/ ",'Allprides '!G102,'Allprides '!H102,'Allprides '!I102,'Allprides '!J102,'Allprides '!K102,'Allprides '!L102,'Allprides '!M102,'Allprides '!N102," 1;")</f>
        <v>/*ELI-737*/ 01111100 1;</v>
      </c>
    </row>
    <row r="102" spans="1:1" x14ac:dyDescent="0.25">
      <c r="A102" t="str">
        <f>CONCATENATE("/*",'Allprides '!C103,"*/ ",'Allprides '!G103,'Allprides '!H103,'Allprides '!I103,'Allprides '!J103,'Allprides '!K103,'Allprides '!L103,'Allprides '!M103,'Allprides '!N103," 1;")</f>
        <v>/*ELI-736*/ 01111100 1;</v>
      </c>
    </row>
    <row r="103" spans="1:1" x14ac:dyDescent="0.25">
      <c r="A103" t="str">
        <f>CONCATENATE("/*",'Allprides '!C104,"*/ ",'Allprides '!G104,'Allprides '!H104,'Allprides '!I104,'Allprides '!J104,'Allprides '!K104,'Allprides '!L104,'Allprides '!M104,'Allprides '!N104," 1;")</f>
        <v>/*ELI-735*/ 00110100 1;</v>
      </c>
    </row>
    <row r="104" spans="1:1" x14ac:dyDescent="0.25">
      <c r="A104" t="str">
        <f>CONCATENATE("/*",'Allprides '!C105,"*/ ",'Allprides '!G105,'Allprides '!H105,'Allprides '!I105,'Allprides '!J105,'Allprides '!K105,'Allprides '!L105,'Allprides '!M105,'Allprides '!N105," 1;")</f>
        <v>/*ELI-991*/ 00010110 1;</v>
      </c>
    </row>
    <row r="105" spans="1:1" x14ac:dyDescent="0.25">
      <c r="A105" t="str">
        <f>CONCATENATE("/*",'Allprides '!C106,"*/ ",'Allprides '!G106,'Allprides '!H106,'Allprides '!I106,'Allprides '!J106,'Allprides '!K106,'Allprides '!L106,'Allprides '!M106,'Allprides '!N106," 1;")</f>
        <v>/*ELI-155*/ 00111111 1;</v>
      </c>
    </row>
    <row r="106" spans="1:1" x14ac:dyDescent="0.25">
      <c r="A106" t="str">
        <f>CONCATENATE("/*",'Allprides '!C107,"*/ ",'Allprides '!G107,'Allprides '!H107,'Allprides '!I107,'Allprides '!J107,'Allprides '!K107,'Allprides '!L107,'Allprides '!M107,'Allprides '!N107," 1;")</f>
        <v>/*ELI-369*/ 00111111 1;</v>
      </c>
    </row>
    <row r="107" spans="1:1" x14ac:dyDescent="0.25">
      <c r="A107" t="str">
        <f>CONCATENATE("/*",'Allprides '!C108,"*/ ",'Allprides '!G108,'Allprides '!H108,'Allprides '!I108,'Allprides '!J108,'Allprides '!K108,'Allprides '!L108,'Allprides '!M108,'Allprides '!N108," 1;")</f>
        <v>/*ELI-370*/ 00000111 1;</v>
      </c>
    </row>
    <row r="108" spans="1:1" x14ac:dyDescent="0.25">
      <c r="A108" t="str">
        <f>CONCATENATE("/*",'Allprides '!C109,"*/ ",'Allprides '!G109,'Allprides '!H109,'Allprides '!I109,'Allprides '!J109,'Allprides '!K109,'Allprides '!L109,'Allprides '!M109,'Allprides '!N109," 1;")</f>
        <v>/*ELI-159*/ 10111111 1;</v>
      </c>
    </row>
    <row r="109" spans="1:1" x14ac:dyDescent="0.25">
      <c r="A109" t="str">
        <f>CONCATENATE("/*",'Allprides '!C110,"*/ ",'Allprides '!G110,'Allprides '!H110,'Allprides '!I110,'Allprides '!J110,'Allprides '!K110,'Allprides '!L110,'Allprides '!M110,'Allprides '!N110," 1;")</f>
        <v>/*ELI-162*/ 00000111 1;</v>
      </c>
    </row>
    <row r="110" spans="1:1" x14ac:dyDescent="0.25">
      <c r="A110" t="str">
        <f>CONCATENATE("/*",'Allprides '!C111,"*/ ",'Allprides '!G111,'Allprides '!H111,'Allprides '!I111,'Allprides '!J111,'Allprides '!K111,'Allprides '!L111,'Allprides '!M111,'Allprides '!N111," 1;")</f>
        <v>/*ELI-810*/ 00011111 1;</v>
      </c>
    </row>
    <row r="111" spans="1:1" x14ac:dyDescent="0.25">
      <c r="A111" t="str">
        <f>CONCATENATE("/*",'Allprides '!C112,"*/ ",'Allprides '!G112,'Allprides '!H112,'Allprides '!I112,'Allprides '!J112,'Allprides '!K112,'Allprides '!L112,'Allprides '!M112,'Allprides '!N112," 1;")</f>
        <v>/*ELI-811*/ 00011111 1;</v>
      </c>
    </row>
    <row r="112" spans="1:1" x14ac:dyDescent="0.25">
      <c r="A112" t="str">
        <f>CONCATENATE("/*",'Allprides '!C113,"*/ ",'Allprides '!G113,'Allprides '!H113,'Allprides '!I113,'Allprides '!J113,'Allprides '!K113,'Allprides '!L113,'Allprides '!M113,'Allprides '!N113," 1;")</f>
        <v>/*ELI-812*/ 00011111 1;</v>
      </c>
    </row>
    <row r="113" spans="1:1" x14ac:dyDescent="0.25">
      <c r="A113" t="str">
        <f>CONCATENATE("/*",'Allprides '!C114,"*/ ",'Allprides '!G114,'Allprides '!H114,'Allprides '!I114,'Allprides '!J114,'Allprides '!K114,'Allprides '!L114,'Allprides '!M114,'Allprides '!N114," 1;")</f>
        <v>/*ELI-813*/ 00011111 1;</v>
      </c>
    </row>
    <row r="114" spans="1:1" x14ac:dyDescent="0.25">
      <c r="A114" t="str">
        <f>CONCATENATE("/*",'Allprides '!C115,"*/ ",'Allprides '!G115,'Allprides '!H115,'Allprides '!I115,'Allprides '!J115,'Allprides '!K115,'Allprides '!L115,'Allprides '!M115,'Allprides '!N115," 1;")</f>
        <v>/*ELI-814*/ 00011111 1;</v>
      </c>
    </row>
    <row r="115" spans="1:1" x14ac:dyDescent="0.25">
      <c r="A115" t="str">
        <f>CONCATENATE("/*",'Allprides '!C116,"*/ ",'Allprides '!G116,'Allprides '!H116,'Allprides '!I116,'Allprides '!J116,'Allprides '!K116,'Allprides '!L116,'Allprides '!M116,'Allprides '!N116," 1;")</f>
        <v>/*ELI-124*/ 00000100 1;</v>
      </c>
    </row>
    <row r="116" spans="1:1" x14ac:dyDescent="0.25">
      <c r="A116" t="str">
        <f>CONCATENATE("/*",'Allprides '!C117,"*/ ",'Allprides '!G117,'Allprides '!H117,'Allprides '!I117,'Allprides '!J117,'Allprides '!K117,'Allprides '!L117,'Allprides '!M117,'Allprides '!N117," 1;")</f>
        <v>/*ELI-125*/ 00000000 1;</v>
      </c>
    </row>
    <row r="117" spans="1:1" x14ac:dyDescent="0.25">
      <c r="A117" t="str">
        <f>CONCATENATE("/*",'Allprides '!C118,"*/ ",'Allprides '!G118,'Allprides '!H118,'Allprides '!I118,'Allprides '!J118,'Allprides '!K118,'Allprides '!L118,'Allprides '!M118,'Allprides '!N118," 1;")</f>
        <v>/*ELI-126*/ 10110110 1;</v>
      </c>
    </row>
    <row r="118" spans="1:1" x14ac:dyDescent="0.25">
      <c r="A118" t="str">
        <f>CONCATENATE("/*",'Allprides '!C119,"*/ ",'Allprides '!G119,'Allprides '!H119,'Allprides '!I119,'Allprides '!J119,'Allprides '!K119,'Allprides '!L119,'Allprides '!M119,'Allprides '!N119," 1;")</f>
        <v>/*ELI-127*/ 00011110 1;</v>
      </c>
    </row>
    <row r="119" spans="1:1" x14ac:dyDescent="0.25">
      <c r="A119" t="str">
        <f>CONCATENATE("/*",'Allprides '!C120,"*/ ",'Allprides '!G120,'Allprides '!H120,'Allprides '!I120,'Allprides '!J120,'Allprides '!K120,'Allprides '!L120,'Allprides '!M120,'Allprides '!N120," 1;")</f>
        <v>/*ELI-138*/ 01110110 1;</v>
      </c>
    </row>
    <row r="120" spans="1:1" x14ac:dyDescent="0.25">
      <c r="A120" t="str">
        <f>CONCATENATE("/*",'Allprides '!C121,"*/ ",'Allprides '!G121,'Allprides '!H121,'Allprides '!I121,'Allprides '!J121,'Allprides '!K121,'Allprides '!L121,'Allprides '!M121,'Allprides '!N121," 1;")</f>
        <v>/*ELI-657*/ 00011110 1;</v>
      </c>
    </row>
    <row r="121" spans="1:1" x14ac:dyDescent="0.25">
      <c r="A121" t="str">
        <f>CONCATENATE("/*",'Allprides '!C122,"*/ ",'Allprides '!G122,'Allprides '!H122,'Allprides '!I122,'Allprides '!J122,'Allprides '!K122,'Allprides '!L122,'Allprides '!M122,'Allprides '!N122," 1;")</f>
        <v>/*ELI-658*/ 00011110 1;</v>
      </c>
    </row>
    <row r="122" spans="1:1" x14ac:dyDescent="0.25">
      <c r="A122" t="str">
        <f>CONCATENATE("/*",'Allprides '!C123,"*/ ",'Allprides '!G123,'Allprides '!H123,'Allprides '!I123,'Allprides '!J123,'Allprides '!K123,'Allprides '!L123,'Allprides '!M123,'Allprides '!N123," 1;")</f>
        <v>/*ELI-659*/ 00011100 1;</v>
      </c>
    </row>
    <row r="123" spans="1:1" x14ac:dyDescent="0.25">
      <c r="A123" t="str">
        <f>CONCATENATE("/*",'Allprides '!C124,"*/ ",'Allprides '!G124,'Allprides '!H124,'Allprides '!I124,'Allprides '!J124,'Allprides '!K124,'Allprides '!L124,'Allprides '!M124,'Allprides '!N124," 1;")</f>
        <v>/*ELI-660*/ 00011100 1;</v>
      </c>
    </row>
    <row r="124" spans="1:1" x14ac:dyDescent="0.25">
      <c r="A124" t="str">
        <f>CONCATENATE("/*",'Allprides '!C125,"*/ ",'Allprides '!G125,'Allprides '!H125,'Allprides '!I125,'Allprides '!J125,'Allprides '!K125,'Allprides '!L125,'Allprides '!M125,'Allprides '!N125," 1;")</f>
        <v>/*ELI-661*/ 00111100 1;</v>
      </c>
    </row>
    <row r="125" spans="1:1" x14ac:dyDescent="0.25">
      <c r="A125" t="str">
        <f>CONCATENATE("/*",'Allprides '!C126,"*/ ",'Allprides '!G126,'Allprides '!H126,'Allprides '!I126,'Allprides '!J126,'Allprides '!K126,'Allprides '!L126,'Allprides '!M126,'Allprides '!N126," 1;")</f>
        <v>/*ELI-662*/ 01011100 1;</v>
      </c>
    </row>
    <row r="126" spans="1:1" x14ac:dyDescent="0.25">
      <c r="A126" t="str">
        <f>CONCATENATE("/*",'Allprides '!C127,"*/ ",'Allprides '!G127,'Allprides '!H127,'Allprides '!I127,'Allprides '!J127,'Allprides '!K127,'Allprides '!L127,'Allprides '!M127,'Allprides '!N127," 1;")</f>
        <v>/*ELI-663*/ 00000100 1;</v>
      </c>
    </row>
    <row r="127" spans="1:1" x14ac:dyDescent="0.25">
      <c r="A127" t="str">
        <f>CONCATENATE("/*",'Allprides '!C128,"*/ ",'Allprides '!G128,'Allprides '!H128,'Allprides '!I128,'Allprides '!J128,'Allprides '!K128,'Allprides '!L128,'Allprides '!M128,'Allprides '!N128," 1;")</f>
        <v>/*ELI-664*/ 01110000 1;</v>
      </c>
    </row>
    <row r="128" spans="1:1" x14ac:dyDescent="0.25">
      <c r="A128" t="str">
        <f>CONCATENATE("/*",'Allprides '!C129,"*/ ",'Allprides '!G129,'Allprides '!H129,'Allprides '!I129,'Allprides '!J129,'Allprides '!K129,'Allprides '!L129,'Allprides '!M129,'Allprides '!N129," 1;")</f>
        <v>/*ELI-665*/ 01000000 1;</v>
      </c>
    </row>
    <row r="129" spans="1:1" x14ac:dyDescent="0.25">
      <c r="A129" t="str">
        <f>CONCATENATE("/*",'Allprides '!C130,"*/ ",'Allprides '!G130,'Allprides '!H130,'Allprides '!I130,'Allprides '!J130,'Allprides '!K130,'Allprides '!L130,'Allprides '!M130,'Allprides '!N130," 1;")</f>
        <v>/*ELI-666*/ 01010100 1;</v>
      </c>
    </row>
    <row r="130" spans="1:1" x14ac:dyDescent="0.25">
      <c r="A130" t="str">
        <f>CONCATENATE("/*",'Allprides '!C131,"*/ ",'Allprides '!G131,'Allprides '!H131,'Allprides '!I131,'Allprides '!J131,'Allprides '!K131,'Allprides '!L131,'Allprides '!M131,'Allprides '!N131," 1;")</f>
        <v>/*ELI-469*/ 00110110 1;</v>
      </c>
    </row>
    <row r="131" spans="1:1" x14ac:dyDescent="0.25">
      <c r="A131" t="str">
        <f>CONCATENATE("/*",'Allprides '!C132,"*/ ",'Allprides '!G132,'Allprides '!H132,'Allprides '!I132,'Allprides '!J132,'Allprides '!K132,'Allprides '!L132,'Allprides '!M132,'Allprides '!N132," 1;")</f>
        <v>/*ELI-801*/ 00110110 1;</v>
      </c>
    </row>
    <row r="132" spans="1:1" x14ac:dyDescent="0.25">
      <c r="A132" t="str">
        <f>CONCATENATE("/*",'Allprides '!C133,"*/ ",'Allprides '!G133,'Allprides '!H133,'Allprides '!I133,'Allprides '!J133,'Allprides '!K133,'Allprides '!L133,'Allprides '!M133,'Allprides '!N133," 1;")</f>
        <v>/*ELI-802*/ 00110110 1;</v>
      </c>
    </row>
    <row r="133" spans="1:1" x14ac:dyDescent="0.25">
      <c r="A133" t="str">
        <f>CONCATENATE("/*",'Allprides '!C134,"*/ ",'Allprides '!G134,'Allprides '!H134,'Allprides '!I134,'Allprides '!J134,'Allprides '!K134,'Allprides '!L134,'Allprides '!M134,'Allprides '!N134," 1;")</f>
        <v>/*ELI-803*/ 00110110 1;</v>
      </c>
    </row>
    <row r="134" spans="1:1" x14ac:dyDescent="0.25">
      <c r="A134" t="str">
        <f>CONCATENATE("/*",'Allprides '!C135,"*/ ",'Allprides '!G135,'Allprides '!H135,'Allprides '!I135,'Allprides '!J135,'Allprides '!K135,'Allprides '!L135,'Allprides '!M135,'Allprides '!N135," 1;")</f>
        <v>/*ELI-804*/ 00110110 1;</v>
      </c>
    </row>
    <row r="135" spans="1:1" x14ac:dyDescent="0.25">
      <c r="A135" t="str">
        <f>CONCATENATE("/*",'Allprides '!C136,"*/ ",'Allprides '!G136,'Allprides '!H136,'Allprides '!I136,'Allprides '!J136,'Allprides '!K136,'Allprides '!L136,'Allprides '!M136,'Allprides '!N136," 1;")</f>
        <v>/*ELI-134*/ 00001010 1;</v>
      </c>
    </row>
    <row r="136" spans="1:1" x14ac:dyDescent="0.25">
      <c r="A136" t="str">
        <f>CONCATENATE("/*",'Allprides '!C137,"*/ ",'Allprides '!G137,'Allprides '!H137,'Allprides '!I137,'Allprides '!J137,'Allprides '!K137,'Allprides '!L137,'Allprides '!M137,'Allprides '!N137," 1;")</f>
        <v>/*ELI-135*/ 00001010 1;</v>
      </c>
    </row>
    <row r="137" spans="1:1" x14ac:dyDescent="0.25">
      <c r="A137" t="str">
        <f>CONCATENATE("/*",'Allprides '!C138,"*/ ",'Allprides '!G138,'Allprides '!H138,'Allprides '!I138,'Allprides '!J138,'Allprides '!K138,'Allprides '!L138,'Allprides '!M138,'Allprides '!N138," 1;")</f>
        <v>/*ELI-136*/ 00001010 1;</v>
      </c>
    </row>
    <row r="138" spans="1:1" x14ac:dyDescent="0.25">
      <c r="A138" t="str">
        <f>CONCATENATE("/*",'Allprides '!C139,"*/ ",'Allprides '!G139,'Allprides '!H139,'Allprides '!I139,'Allprides '!J139,'Allprides '!K139,'Allprides '!L139,'Allprides '!M139,'Allprides '!N139," 1;")</f>
        <v>/*ELI-137*/ 00001010 1;</v>
      </c>
    </row>
    <row r="139" spans="1:1" x14ac:dyDescent="0.25">
      <c r="A139" t="str">
        <f>CONCATENATE("/*",'Allprides '!C140,"*/ ",'Allprides '!G140,'Allprides '!H140,'Allprides '!I140,'Allprides '!J140,'Allprides '!K140,'Allprides '!L140,'Allprides '!M140,'Allprides '!N140," 1;")</f>
        <v>/*ELI-989*/ 00001010 1;</v>
      </c>
    </row>
    <row r="140" spans="1:1" x14ac:dyDescent="0.25">
      <c r="A140" t="str">
        <f>CONCATENATE("/*",'Allprides '!C141,"*/ ",'Allprides '!G141,'Allprides '!H141,'Allprides '!I141,'Allprides '!J141,'Allprides '!K141,'Allprides '!L141,'Allprides '!M141,'Allprides '!N141," 1;")</f>
        <v>/*ELI-961*/ 00001010 1;</v>
      </c>
    </row>
    <row r="141" spans="1:1" x14ac:dyDescent="0.25">
      <c r="A141" t="str">
        <f>CONCATENATE("/*",'Allprides '!C142,"*/ ",'Allprides '!G142,'Allprides '!H142,'Allprides '!I142,'Allprides '!J142,'Allprides '!K142,'Allprides '!L142,'Allprides '!M142,'Allprides '!N142," 1;")</f>
        <v>/*ELI-962*/ 00001010 1;</v>
      </c>
    </row>
    <row r="142" spans="1:1" x14ac:dyDescent="0.25">
      <c r="A142" t="str">
        <f>CONCATENATE("/*",'Allprides '!C143,"*/ ",'Allprides '!G143,'Allprides '!H143,'Allprides '!I143,'Allprides '!J143,'Allprides '!K143,'Allprides '!L143,'Allprides '!M143,'Allprides '!N143," 1;")</f>
        <v>/*ELI-963*/ 00001010 1;</v>
      </c>
    </row>
    <row r="143" spans="1:1" x14ac:dyDescent="0.25">
      <c r="A143" t="str">
        <f>CONCATENATE("/*",'Allprides '!C144,"*/ ",'Allprides '!G144,'Allprides '!H144,'Allprides '!I144,'Allprides '!J144,'Allprides '!K144,'Allprides '!L144,'Allprides '!M144,'Allprides '!N144," 1;")</f>
        <v>/*ELI-647*/ 00001010 1;</v>
      </c>
    </row>
    <row r="144" spans="1:1" x14ac:dyDescent="0.25">
      <c r="A144" t="str">
        <f>CONCATENATE("/*",'Allprides '!C145,"*/ ",'Allprides '!G145,'Allprides '!H145,'Allprides '!I145,'Allprides '!J145,'Allprides '!K145,'Allprides '!L145,'Allprides '!M145,'Allprides '!N145," 1;")</f>
        <v>/*ELI-965*/ 00001010 1;</v>
      </c>
    </row>
    <row r="145" spans="1:1" x14ac:dyDescent="0.25">
      <c r="A145" t="str">
        <f>CONCATENATE("/*",'Allprides '!C146,"*/ ",'Allprides '!G146,'Allprides '!H146,'Allprides '!I146,'Allprides '!J146,'Allprides '!K146,'Allprides '!L146,'Allprides '!M146,'Allprides '!N146," 1;")</f>
        <v>/*ELI-966*/ 00001010 1;</v>
      </c>
    </row>
    <row r="146" spans="1:1" x14ac:dyDescent="0.25">
      <c r="A146" t="str">
        <f>CONCATENATE("/*",'Allprides '!C147,"*/ ",'Allprides '!G147,'Allprides '!H147,'Allprides '!I147,'Allprides '!J147,'Allprides '!K147,'Allprides '!L147,'Allprides '!M147,'Allprides '!N147," 1;")</f>
        <v>/*ELI-967*/ 00001010 1;</v>
      </c>
    </row>
    <row r="147" spans="1:1" x14ac:dyDescent="0.25">
      <c r="A147" t="str">
        <f>CONCATENATE("/*",'Allprides '!C148,"*/ ",'Allprides '!G148,'Allprides '!H148,'Allprides '!I148,'Allprides '!J148,'Allprides '!K148,'Allprides '!L148,'Allprides '!M148,'Allprides '!N148," 1;")</f>
        <v>/*ELI-968*/ 00001010 1;</v>
      </c>
    </row>
    <row r="148" spans="1:1" x14ac:dyDescent="0.25">
      <c r="A148" t="str">
        <f>CONCATENATE("/*",'Allprides '!C149,"*/ ",'Allprides '!G149,'Allprides '!H149,'Allprides '!I149,'Allprides '!J149,'Allprides '!K149,'Allprides '!L149,'Allprides '!M149,'Allprides '!N149," 1;")</f>
        <v>/*ELI-992*/ 00001010 1;</v>
      </c>
    </row>
    <row r="149" spans="1:1" x14ac:dyDescent="0.25">
      <c r="A149" t="str">
        <f>CONCATENATE("/*",'Allprides '!C150,"*/ ",'Allprides '!G150,'Allprides '!H150,'Allprides '!I150,'Allprides '!J150,'Allprides '!K150,'Allprides '!L150,'Allprides '!M150,'Allprides '!N150," 1;")</f>
        <v>/*ELI-969*/ 00001010 1;</v>
      </c>
    </row>
    <row r="150" spans="1:1" x14ac:dyDescent="0.25">
      <c r="A150" t="str">
        <f>CONCATENATE("/*",'Allprides '!C151,"*/ ",'Allprides '!G151,'Allprides '!H151,'Allprides '!I151,'Allprides '!J151,'Allprides '!K151,'Allprides '!L151,'Allprides '!M151,'Allprides '!N151," 1;")</f>
        <v>/*ELI-970*/ 00001010 1;</v>
      </c>
    </row>
    <row r="151" spans="1:1" x14ac:dyDescent="0.25">
      <c r="A151" t="str">
        <f>CONCATENATE("/*",'Allprides '!C152,"*/ ",'Allprides '!G152,'Allprides '!H152,'Allprides '!I152,'Allprides '!J152,'Allprides '!K152,'Allprides '!L152,'Allprides '!M152,'Allprides '!N152," 1;")</f>
        <v>/*ELI-971*/ 00001010 1;</v>
      </c>
    </row>
    <row r="152" spans="1:1" x14ac:dyDescent="0.25">
      <c r="A152" t="str">
        <f>CONCATENATE("/*",'Allprides '!C153,"*/ ",'Allprides '!G153,'Allprides '!H153,'Allprides '!I153,'Allprides '!J153,'Allprides '!K153,'Allprides '!L153,'Allprides '!M153,'Allprides '!N153," 1;")</f>
        <v>/*ELI-700*/ 11001110 1;</v>
      </c>
    </row>
    <row r="153" spans="1:1" x14ac:dyDescent="0.25">
      <c r="A153" t="str">
        <f>CONCATENATE("/*",'Allprides '!C154,"*/ ",'Allprides '!G154,'Allprides '!H154,'Allprides '!I154,'Allprides '!J154,'Allprides '!K154,'Allprides '!L154,'Allprides '!M154,'Allprides '!N154," 1;")</f>
        <v>/*ELI-701*/ 11111110 1;</v>
      </c>
    </row>
    <row r="154" spans="1:1" x14ac:dyDescent="0.25">
      <c r="A154" t="str">
        <f>CONCATENATE("/*",'Allprides '!C155,"*/ ",'Allprides '!G155,'Allprides '!H155,'Allprides '!I155,'Allprides '!J155,'Allprides '!K155,'Allprides '!L155,'Allprides '!M155,'Allprides '!N155," 1;")</f>
        <v>/*ELI-702*/ 11001110 1;</v>
      </c>
    </row>
    <row r="155" spans="1:1" x14ac:dyDescent="0.25">
      <c r="A155" t="str">
        <f>CONCATENATE("/*",'Allprides '!C156,"*/ ",'Allprides '!G156,'Allprides '!H156,'Allprides '!I156,'Allprides '!J156,'Allprides '!K156,'Allprides '!L156,'Allprides '!M156,'Allprides '!N156," 1;")</f>
        <v>/*ELI-708*/ 01001110 1;</v>
      </c>
    </row>
    <row r="156" spans="1:1" x14ac:dyDescent="0.25">
      <c r="A156" t="str">
        <f>CONCATENATE("/*",'Allprides '!C157,"*/ ",'Allprides '!G157,'Allprides '!H157,'Allprides '!I157,'Allprides '!J157,'Allprides '!K157,'Allprides '!L157,'Allprides '!M157,'Allprides '!N157," 1;")</f>
        <v>/*ELI-709*/ 01001110 1;</v>
      </c>
    </row>
    <row r="157" spans="1:1" x14ac:dyDescent="0.25">
      <c r="A157" t="str">
        <f>CONCATENATE("/*",'Allprides '!C158,"*/ ",'Allprides '!G158,'Allprides '!H158,'Allprides '!I158,'Allprides '!J158,'Allprides '!K158,'Allprides '!L158,'Allprides '!M158,'Allprides '!N158," 1;")</f>
        <v>/*ELI-710*/ 01001110 1;</v>
      </c>
    </row>
    <row r="158" spans="1:1" x14ac:dyDescent="0.25">
      <c r="A158" t="str">
        <f>CONCATENATE("/*",'Allprides '!C159,"*/ ",'Allprides '!G159,'Allprides '!H159,'Allprides '!I159,'Allprides '!J159,'Allprides '!K159,'Allprides '!L159,'Allprides '!M159,'Allprides '!N159," 1;")</f>
        <v>/*ELI-711*/ 01001110 1;</v>
      </c>
    </row>
    <row r="159" spans="1:1" x14ac:dyDescent="0.25">
      <c r="A159" t="str">
        <f>CONCATENATE("/*",'Allprides '!C160,"*/ ",'Allprides '!G160,'Allprides '!H160,'Allprides '!I160,'Allprides '!J160,'Allprides '!K160,'Allprides '!L160,'Allprides '!M160,'Allprides '!N160," 1;")</f>
        <v>/*ELI-832*/ 00011110 1;</v>
      </c>
    </row>
    <row r="160" spans="1:1" x14ac:dyDescent="0.25">
      <c r="A160" t="str">
        <f>CONCATENATE("/*",'Allprides '!C161,"*/ ",'Allprides '!G161,'Allprides '!H161,'Allprides '!I161,'Allprides '!J161,'Allprides '!K161,'Allprides '!L161,'Allprides '!M161,'Allprides '!N161," 1;")</f>
        <v>/*ELI-833*/ 00011110 1;</v>
      </c>
    </row>
    <row r="161" spans="1:1" x14ac:dyDescent="0.25">
      <c r="A161" t="str">
        <f>CONCATENATE("/*",'Allprides '!C162,"*/ ",'Allprides '!G162,'Allprides '!H162,'Allprides '!I162,'Allprides '!J162,'Allprides '!K162,'Allprides '!L162,'Allprides '!M162,'Allprides '!N162," 1;")</f>
        <v>/*ELI-468*/ 00000100 1;</v>
      </c>
    </row>
    <row r="162" spans="1:1" x14ac:dyDescent="0.25">
      <c r="A162" t="str">
        <f>CONCATENATE("/*",'Allprides '!C163,"*/ ",'Allprides '!G163,'Allprides '!H163,'Allprides '!I163,'Allprides '!J163,'Allprides '!K163,'Allprides '!L163,'Allprides '!M163,'Allprides '!N163," 1;")</f>
        <v>/*ELI-257*/ 00000100 1;</v>
      </c>
    </row>
    <row r="163" spans="1:1" x14ac:dyDescent="0.25">
      <c r="A163" t="str">
        <f>CONCATENATE("/*",'Allprides '!C164,"*/ ",'Allprides '!G164,'Allprides '!H164,'Allprides '!I164,'Allprides '!J164,'Allprides '!K164,'Allprides '!L164,'Allprides '!M164,'Allprides '!N164," 1;")</f>
        <v>/*ELI-183*/ 00000100 1;</v>
      </c>
    </row>
    <row r="164" spans="1:1" x14ac:dyDescent="0.25">
      <c r="A164" t="str">
        <f>CONCATENATE("/*",'Allprides '!C165,"*/ ",'Allprides '!G165,'Allprides '!H165,'Allprides '!I165,'Allprides '!J165,'Allprides '!K165,'Allprides '!L165,'Allprides '!M165,'Allprides '!N165," 1;")</f>
        <v>/*ELI-189*/ 00000111 1;</v>
      </c>
    </row>
    <row r="165" spans="1:1" x14ac:dyDescent="0.25">
      <c r="A165" t="str">
        <f>CONCATENATE("/*",'Allprides '!C166,"*/ ",'Allprides '!G166,'Allprides '!H166,'Allprides '!I166,'Allprides '!J166,'Allprides '!K166,'Allprides '!L166,'Allprides '!M166,'Allprides '!N166," 1;")</f>
        <v>/*ELI-467*/ 00000100 1;</v>
      </c>
    </row>
    <row r="166" spans="1:1" x14ac:dyDescent="0.25">
      <c r="A166" t="str">
        <f>CONCATENATE("/*",'Allprides '!C167,"*/ ",'Allprides '!G167,'Allprides '!H167,'Allprides '!I167,'Allprides '!J167,'Allprides '!K167,'Allprides '!L167,'Allprides '!M167,'Allprides '!N167," 1;")</f>
        <v>/*ELI-770*/ 00000100 1;</v>
      </c>
    </row>
    <row r="167" spans="1:1" x14ac:dyDescent="0.25">
      <c r="A167" t="str">
        <f>CONCATENATE("/*",'Allprides '!C168,"*/ ",'Allprides '!G168,'Allprides '!H168,'Allprides '!I168,'Allprides '!J168,'Allprides '!K168,'Allprides '!L168,'Allprides '!M168,'Allprides '!N168," 1;")</f>
        <v>/*ELI-771*/ 00000100 1;</v>
      </c>
    </row>
    <row r="168" spans="1:1" x14ac:dyDescent="0.25">
      <c r="A168" t="str">
        <f>CONCATENATE("/*",'Allprides '!C169,"*/ ",'Allprides '!G169,'Allprides '!H169,'Allprides '!I169,'Allprides '!J169,'Allprides '!K169,'Allprides '!L169,'Allprides '!M169,'Allprides '!N169," 1;")</f>
        <v>/*ELI-772*/ 00000100 1;</v>
      </c>
    </row>
    <row r="169" spans="1:1" x14ac:dyDescent="0.25">
      <c r="A169" t="str">
        <f>CONCATENATE("/*",'Allprides '!C170,"*/ ",'Allprides '!G170,'Allprides '!H170,'Allprides '!I170,'Allprides '!J170,'Allprides '!K170,'Allprides '!L170,'Allprides '!M170,'Allprides '!N170," 1;")</f>
        <v>/*ELI-773*/ 00000100 1;</v>
      </c>
    </row>
    <row r="170" spans="1:1" x14ac:dyDescent="0.25">
      <c r="A170" t="str">
        <f>CONCATENATE("/*",'Allprides '!C171,"*/ ",'Allprides '!G171,'Allprides '!H171,'Allprides '!I171,'Allprides '!J171,'Allprides '!K171,'Allprides '!L171,'Allprides '!M171,'Allprides '!N171," 1;")</f>
        <v>/*ELI-774*/ 00000100 1;</v>
      </c>
    </row>
    <row r="171" spans="1:1" x14ac:dyDescent="0.25">
      <c r="A171" t="str">
        <f>CONCATENATE("/*",'Allprides '!C172,"*/ ",'Allprides '!G172,'Allprides '!H172,'Allprides '!I172,'Allprides '!J172,'Allprides '!K172,'Allprides '!L172,'Allprides '!M172,'Allprides '!N172," 1;")</f>
        <v>/*ELI-775*/ 01001100 1;</v>
      </c>
    </row>
    <row r="172" spans="1:1" x14ac:dyDescent="0.25">
      <c r="A172" t="str">
        <f>CONCATENATE("/*",'Allprides '!C173,"*/ ",'Allprides '!G173,'Allprides '!H173,'Allprides '!I173,'Allprides '!J173,'Allprides '!K173,'Allprides '!L173,'Allprides '!M173,'Allprides '!N173," 1;")</f>
        <v>/*ELI-776*/ 01001101 1;</v>
      </c>
    </row>
    <row r="173" spans="1:1" x14ac:dyDescent="0.25">
      <c r="A173" t="str">
        <f>CONCATENATE("/*",'Allprides '!C174,"*/ ",'Allprides '!G174,'Allprides '!H174,'Allprides '!I174,'Allprides '!J174,'Allprides '!K174,'Allprides '!L174,'Allprides '!M174,'Allprides '!N174," 1;")</f>
        <v>/*ELI-777*/ 01001101 1;</v>
      </c>
    </row>
    <row r="174" spans="1:1" x14ac:dyDescent="0.25">
      <c r="A174" t="str">
        <f>CONCATENATE("/*",'Allprides '!C175,"*/ ",'Allprides '!G175,'Allprides '!H175,'Allprides '!I175,'Allprides '!J175,'Allprides '!K175,'Allprides '!L175,'Allprides '!M175,'Allprides '!N175," 1;")</f>
        <v>/*ELI-778*/ 01001101 1;</v>
      </c>
    </row>
    <row r="175" spans="1:1" x14ac:dyDescent="0.25">
      <c r="A175" t="str">
        <f>CONCATENATE("/*",'Allprides '!C176,"*/ ",'Allprides '!G176,'Allprides '!H176,'Allprides '!I176,'Allprides '!J176,'Allprides '!K176,'Allprides '!L176,'Allprides '!M176,'Allprides '!N176," 1;")</f>
        <v>/*ELI-786*/ 01011111 1;</v>
      </c>
    </row>
    <row r="176" spans="1:1" x14ac:dyDescent="0.25">
      <c r="A176" t="str">
        <f>CONCATENATE("/*",'Allprides '!C177,"*/ ",'Allprides '!G177,'Allprides '!H177,'Allprides '!I177,'Allprides '!J177,'Allprides '!K177,'Allprides '!L177,'Allprides '!M177,'Allprides '!N177," 1;")</f>
        <v>/*ELI-990*/ 01000101 1;</v>
      </c>
    </row>
    <row r="177" spans="1:1" x14ac:dyDescent="0.25">
      <c r="A177" t="str">
        <f>CONCATENATE("/*",'Allprides '!C178,"*/ ",'Allprides '!G178,'Allprides '!H178,'Allprides '!I178,'Allprides '!J178,'Allprides '!K178,'Allprides '!L178,'Allprides '!M178,'Allprides '!N178," 1;")</f>
        <v>/*ELI-564*/ 00000010 1;</v>
      </c>
    </row>
    <row r="178" spans="1:1" x14ac:dyDescent="0.25">
      <c r="A178" t="str">
        <f>CONCATENATE("/*",'Allprides '!C179,"*/ ",'Allprides '!G179,'Allprides '!H179,'Allprides '!I179,'Allprides '!J179,'Allprides '!K179,'Allprides '!L179,'Allprides '!M179,'Allprides '!N179," 1;")</f>
        <v>/*ELI-565*/ 00000011 1;</v>
      </c>
    </row>
    <row r="179" spans="1:1" x14ac:dyDescent="0.25">
      <c r="A179" t="str">
        <f>CONCATENATE("/*",'Allprides '!C180,"*/ ",'Allprides '!G180,'Allprides '!H180,'Allprides '!I180,'Allprides '!J180,'Allprides '!K180,'Allprides '!L180,'Allprides '!M180,'Allprides '!N180," 1;")</f>
        <v>/*ELI-213*/ 00010110 1;</v>
      </c>
    </row>
    <row r="180" spans="1:1" x14ac:dyDescent="0.25">
      <c r="A180" t="str">
        <f>CONCATENATE("/*",'Allprides '!C181,"*/ ",'Allprides '!G181,'Allprides '!H181,'Allprides '!I181,'Allprides '!J181,'Allprides '!K181,'Allprides '!L181,'Allprides '!M181,'Allprides '!N181," 1;")</f>
        <v>/*ELI-214*/ 00111110 1;</v>
      </c>
    </row>
    <row r="181" spans="1:1" x14ac:dyDescent="0.25">
      <c r="A181" t="str">
        <f>CONCATENATE("/*",'Allprides '!C182,"*/ ",'Allprides '!G182,'Allprides '!H182,'Allprides '!I182,'Allprides '!J182,'Allprides '!K182,'Allprides '!L182,'Allprides '!M182,'Allprides '!N182," 1;")</f>
        <v>/*ELI-216*/ 00011110 1;</v>
      </c>
    </row>
    <row r="182" spans="1:1" x14ac:dyDescent="0.25">
      <c r="A182" t="str">
        <f>CONCATENATE("/*",'Allprides '!C183,"*/ ",'Allprides '!G183,'Allprides '!H183,'Allprides '!I183,'Allprides '!J183,'Allprides '!K183,'Allprides '!L183,'Allprides '!M183,'Allprides '!N183," 1;")</f>
        <v>/*ELI-421*/ 00010110 1;</v>
      </c>
    </row>
    <row r="183" spans="1:1" x14ac:dyDescent="0.25">
      <c r="A183" t="str">
        <f>CONCATENATE("/*",'Allprides '!C184,"*/ ",'Allprides '!G184,'Allprides '!H184,'Allprides '!I184,'Allprides '!J184,'Allprides '!K184,'Allprides '!L184,'Allprides '!M184,'Allprides '!N184," 1;")</f>
        <v>/*ELI-474*/ 00010000 1;</v>
      </c>
    </row>
    <row r="184" spans="1:1" x14ac:dyDescent="0.25">
      <c r="A184" t="str">
        <f>CONCATENATE("/*",'Allprides '!C185,"*/ ",'Allprides '!G185,'Allprides '!H185,'Allprides '!I185,'Allprides '!J185,'Allprides '!K185,'Allprides '!L185,'Allprides '!M185,'Allprides '!N185," 1;")</f>
        <v>/*ELI-628*/ 00011111 1;</v>
      </c>
    </row>
    <row r="185" spans="1:1" x14ac:dyDescent="0.25">
      <c r="A185" t="str">
        <f>CONCATENATE("/*",'Allprides '!C186,"*/ ",'Allprides '!G186,'Allprides '!H186,'Allprides '!I186,'Allprides '!J186,'Allprides '!K186,'Allprides '!L186,'Allprides '!M186,'Allprides '!N186," 1;")</f>
        <v>/*ELI-629*/ 00011111 1;</v>
      </c>
    </row>
    <row r="186" spans="1:1" x14ac:dyDescent="0.25">
      <c r="A186" t="str">
        <f>CONCATENATE("/*",'Allprides '!C187,"*/ ",'Allprides '!G187,'Allprides '!H187,'Allprides '!I187,'Allprides '!J187,'Allprides '!K187,'Allprides '!L187,'Allprides '!M187,'Allprides '!N187," 1;")</f>
        <v>/*ELI-130*/ 00010000 1;</v>
      </c>
    </row>
    <row r="187" spans="1:1" x14ac:dyDescent="0.25">
      <c r="A187" t="str">
        <f>CONCATENATE("/*",'Allprides '!C188,"*/ ",'Allprides '!G188,'Allprides '!H188,'Allprides '!I188,'Allprides '!J188,'Allprides '!K188,'Allprides '!L188,'Allprides '!M188,'Allprides '!N188," 1;")</f>
        <v>/*ELI-699*/ 00010000 1;</v>
      </c>
    </row>
    <row r="188" spans="1:1" x14ac:dyDescent="0.25">
      <c r="A188" t="str">
        <f>CONCATENATE("/*",'Allprides '!C189,"*/ ",'Allprides '!G189,'Allprides '!H189,'Allprides '!I189,'Allprides '!J189,'Allprides '!K189,'Allprides '!L189,'Allprides '!M189,'Allprides '!N189," 1;")</f>
        <v>/*ELI-373*/ 00011001 1;</v>
      </c>
    </row>
    <row r="189" spans="1:1" x14ac:dyDescent="0.25">
      <c r="A189" t="str">
        <f>CONCATENATE("/*",'Allprides '!C190,"*/ ",'Allprides '!G190,'Allprides '!H190,'Allprides '!I190,'Allprides '!J190,'Allprides '!K190,'Allprides '!L190,'Allprides '!M190,'Allprides '!N190," 1;")</f>
        <v>/*ELI-375*/ 00011000 1;</v>
      </c>
    </row>
    <row r="190" spans="1:1" x14ac:dyDescent="0.25">
      <c r="A190" t="str">
        <f>CONCATENATE("/*",'Allprides '!C191,"*/ ",'Allprides '!G191,'Allprides '!H191,'Allprides '!I191,'Allprides '!J191,'Allprides '!K191,'Allprides '!L191,'Allprides '!M191,'Allprides '!N191," 1;")</f>
        <v>/*ELI-376*/ 00011001 1;</v>
      </c>
    </row>
    <row r="191" spans="1:1" x14ac:dyDescent="0.25">
      <c r="A191" t="str">
        <f>CONCATENATE("/*",'Allprides '!C192,"*/ ",'Allprides '!G192,'Allprides '!H192,'Allprides '!I192,'Allprides '!J192,'Allprides '!K192,'Allprides '!L192,'Allprides '!M192,'Allprides '!N192," 1;")</f>
        <v>/*ELI-377*/ 00011001 1;</v>
      </c>
    </row>
    <row r="192" spans="1:1" x14ac:dyDescent="0.25">
      <c r="A192" t="str">
        <f>CONCATENATE("/*",'Allprides '!C193,"*/ ",'Allprides '!G193,'Allprides '!H193,'Allprides '!I193,'Allprides '!J193,'Allprides '!K193,'Allprides '!L193,'Allprides '!M193,'Allprides '!N193," 1;")</f>
        <v>/*ELI-972*/ 00011000 1;</v>
      </c>
    </row>
    <row r="193" spans="1:1" x14ac:dyDescent="0.25">
      <c r="A193" t="str">
        <f>CONCATENATE("/*",'Allprides '!C194,"*/ ",'Allprides '!G194,'Allprides '!H194,'Allprides '!I194,'Allprides '!J194,'Allprides '!K194,'Allprides '!L194,'Allprides '!M194,'Allprides '!N194," 1;")</f>
        <v>/*ELI-982*/ 00010100 1;</v>
      </c>
    </row>
    <row r="194" spans="1:1" x14ac:dyDescent="0.25">
      <c r="A194" t="str">
        <f>CONCATENATE("/*",'Allprides '!C195,"*/ ",'Allprides '!G195,'Allprides '!H195,'Allprides '!I195,'Allprides '!J195,'Allprides '!K195,'Allprides '!L195,'Allprides '!M195,'Allprides '!N195," 1;")</f>
        <v>/*ELI-983*/ 00011100 1;</v>
      </c>
    </row>
    <row r="195" spans="1:1" x14ac:dyDescent="0.25">
      <c r="A195" t="str">
        <f>CONCATENATE("/*",'Allprides '!C196,"*/ ",'Allprides '!G196,'Allprides '!H196,'Allprides '!I196,'Allprides '!J196,'Allprides '!K196,'Allprides '!L196,'Allprides '!M196,'Allprides '!N196," 1;")</f>
        <v>/*ELI-984*/ 00011100 1;</v>
      </c>
    </row>
    <row r="196" spans="1:1" x14ac:dyDescent="0.25">
      <c r="A196" t="str">
        <f>CONCATENATE("/*",'Allprides '!C197,"*/ ",'Allprides '!G197,'Allprides '!H197,'Allprides '!I197,'Allprides '!J197,'Allprides '!K197,'Allprides '!L197,'Allprides '!M197,'Allprides '!N197," 1;")</f>
        <v>/*ELI-976*/ 00000010 1;</v>
      </c>
    </row>
    <row r="197" spans="1:1" x14ac:dyDescent="0.25">
      <c r="A197" t="str">
        <f>CONCATENATE("/*",'Allprides '!C198,"*/ ",'Allprides '!G198,'Allprides '!H198,'Allprides '!I198,'Allprides '!J198,'Allprides '!K198,'Allprides '!L198,'Allprides '!M198,'Allprides '!N198," 1;")</f>
        <v>/*ELI-985*/ 00001100 1;</v>
      </c>
    </row>
    <row r="198" spans="1:1" x14ac:dyDescent="0.25">
      <c r="A198" t="str">
        <f>CONCATENATE("/*",'Allprides '!C199,"*/ ",'Allprides '!G199,'Allprides '!H199,'Allprides '!I199,'Allprides '!J199,'Allprides '!K199,'Allprides '!L199,'Allprides '!M199,'Allprides '!N199," 1;")</f>
        <v>/*ELI-986*/ 01000010 1;</v>
      </c>
    </row>
    <row r="199" spans="1:1" x14ac:dyDescent="0.25">
      <c r="A199" t="str">
        <f>CONCATENATE("/*",'Allprides '!C200,"*/ ",'Allprides '!G200,'Allprides '!H200,'Allprides '!I200,'Allprides '!J200,'Allprides '!K200,'Allprides '!L200,'Allprides '!M200,'Allprides '!N200," 1;")</f>
        <v>/*ELI-987*/ 01000010 1;</v>
      </c>
    </row>
    <row r="200" spans="1:1" x14ac:dyDescent="0.25">
      <c r="A200" t="str">
        <f>CONCATENATE("/*",'Allprides '!C201,"*/ ",'Allprides '!G201,'Allprides '!H201,'Allprides '!I201,'Allprides '!J201,'Allprides '!K201,'Allprides '!L201,'Allprides '!M201,'Allprides '!N201," 1;")</f>
        <v>/*ELI-779*/ 00100000 1;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5"/>
  <sheetViews>
    <sheetView workbookViewId="0">
      <selection activeCell="H12" sqref="H12"/>
    </sheetView>
  </sheetViews>
  <sheetFormatPr defaultRowHeight="15" x14ac:dyDescent="0.25"/>
  <sheetData>
    <row r="1" spans="1:25" x14ac:dyDescent="0.25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25" x14ac:dyDescent="0.25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 spans="1:25" x14ac:dyDescent="0.25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</row>
    <row r="4" spans="1:25" x14ac:dyDescent="0.2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</row>
    <row r="5" spans="1:25" x14ac:dyDescent="0.25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</row>
    <row r="6" spans="1:25" x14ac:dyDescent="0.25">
      <c r="A6" s="169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</row>
    <row r="7" spans="1:25" x14ac:dyDescent="0.25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</row>
    <row r="8" spans="1:25" x14ac:dyDescent="0.25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</row>
    <row r="9" spans="1:25" x14ac:dyDescent="0.25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</row>
    <row r="10" spans="1:25" x14ac:dyDescent="0.25">
      <c r="A10" s="169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</row>
    <row r="11" spans="1:25" x14ac:dyDescent="0.25">
      <c r="A11" s="169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</row>
    <row r="12" spans="1:25" x14ac:dyDescent="0.25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</row>
    <row r="13" spans="1:25" x14ac:dyDescent="0.25">
      <c r="A13" s="169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</row>
    <row r="14" spans="1:25" x14ac:dyDescent="0.25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</row>
    <row r="15" spans="1:25" x14ac:dyDescent="0.25">
      <c r="A15" s="169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</row>
    <row r="16" spans="1:25" x14ac:dyDescent="0.25">
      <c r="A16" s="169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</row>
    <row r="17" spans="1:25" x14ac:dyDescent="0.25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</row>
    <row r="18" spans="1:25" x14ac:dyDescent="0.25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</row>
    <row r="19" spans="1:25" x14ac:dyDescent="0.25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</row>
    <row r="20" spans="1:25" x14ac:dyDescent="0.2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</row>
    <row r="21" spans="1:25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</row>
    <row r="22" spans="1:25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</row>
    <row r="23" spans="1:25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</row>
    <row r="24" spans="1:25" x14ac:dyDescent="0.25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</row>
    <row r="25" spans="1:25" x14ac:dyDescent="0.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</row>
    <row r="26" spans="1:25" x14ac:dyDescent="0.25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</row>
    <row r="27" spans="1:25" x14ac:dyDescent="0.25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</row>
    <row r="28" spans="1:25" x14ac:dyDescent="0.25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</row>
    <row r="29" spans="1:25" x14ac:dyDescent="0.25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</row>
    <row r="30" spans="1:25" x14ac:dyDescent="0.25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</row>
    <row r="31" spans="1:25" x14ac:dyDescent="0.25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</row>
    <row r="32" spans="1:25" x14ac:dyDescent="0.25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</row>
    <row r="33" spans="1:25" x14ac:dyDescent="0.25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</row>
    <row r="34" spans="1:25" x14ac:dyDescent="0.25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</row>
    <row r="35" spans="1:25" x14ac:dyDescent="0.25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</row>
    <row r="36" spans="1:25" x14ac:dyDescent="0.25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</row>
    <row r="37" spans="1:25" x14ac:dyDescent="0.25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</row>
    <row r="38" spans="1:25" x14ac:dyDescent="0.25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</row>
    <row r="39" spans="1:25" x14ac:dyDescent="0.25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</row>
    <row r="40" spans="1:25" x14ac:dyDescent="0.25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</row>
    <row r="41" spans="1:25" x14ac:dyDescent="0.25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</row>
    <row r="42" spans="1:25" x14ac:dyDescent="0.25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</row>
    <row r="43" spans="1:25" x14ac:dyDescent="0.25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</row>
    <row r="44" spans="1:25" x14ac:dyDescent="0.25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</row>
    <row r="45" spans="1:25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</row>
    <row r="46" spans="1:25" x14ac:dyDescent="0.2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</row>
    <row r="47" spans="1:25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</row>
    <row r="48" spans="1:25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</row>
    <row r="49" spans="1:25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</row>
    <row r="50" spans="1:25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</row>
    <row r="51" spans="1:25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</row>
    <row r="52" spans="1:25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</row>
    <row r="53" spans="1:25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</row>
    <row r="54" spans="1:25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</row>
    <row r="55" spans="1:25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</row>
    <row r="56" spans="1:25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</row>
    <row r="57" spans="1:25" x14ac:dyDescent="0.25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</row>
    <row r="58" spans="1:25" x14ac:dyDescent="0.25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</row>
    <row r="59" spans="1:25" x14ac:dyDescent="0.25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</row>
    <row r="60" spans="1:25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</row>
    <row r="61" spans="1:25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</row>
    <row r="62" spans="1:25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</row>
    <row r="63" spans="1:25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</row>
    <row r="64" spans="1:25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</row>
    <row r="65" spans="1:25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</row>
    <row r="66" spans="1:25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</row>
    <row r="67" spans="1:25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</row>
    <row r="68" spans="1:25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</row>
    <row r="69" spans="1:25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</row>
    <row r="70" spans="1:25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</row>
    <row r="71" spans="1:25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</row>
    <row r="72" spans="1:25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</row>
    <row r="73" spans="1:25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</row>
    <row r="74" spans="1:25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</row>
    <row r="75" spans="1:25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</row>
    <row r="76" spans="1:25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</row>
    <row r="77" spans="1:25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</row>
    <row r="78" spans="1:25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</row>
    <row r="79" spans="1:25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</row>
    <row r="80" spans="1:25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</row>
    <row r="81" spans="1:25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</row>
    <row r="82" spans="1:25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</row>
    <row r="83" spans="1:25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</row>
    <row r="84" spans="1:25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</row>
    <row r="85" spans="1:25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</row>
    <row r="86" spans="1:25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</row>
    <row r="87" spans="1:25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</row>
    <row r="88" spans="1:25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</row>
    <row r="89" spans="1:25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</row>
    <row r="90" spans="1:25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</row>
    <row r="91" spans="1:25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</row>
    <row r="92" spans="1:25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</row>
    <row r="93" spans="1:25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</row>
    <row r="94" spans="1:25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</row>
    <row r="95" spans="1:25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</row>
    <row r="96" spans="1:25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</row>
    <row r="97" spans="1:25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</row>
    <row r="98" spans="1:25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</row>
    <row r="99" spans="1:25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</row>
    <row r="100" spans="1:25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</row>
    <row r="101" spans="1:25" x14ac:dyDescent="0.2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</row>
    <row r="102" spans="1:25" x14ac:dyDescent="0.2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</row>
    <row r="103" spans="1:25" x14ac:dyDescent="0.2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</row>
    <row r="104" spans="1:25" x14ac:dyDescent="0.2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</row>
    <row r="105" spans="1:25" x14ac:dyDescent="0.2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</row>
    <row r="106" spans="1:25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</row>
    <row r="107" spans="1:25" x14ac:dyDescent="0.2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</row>
    <row r="108" spans="1:25" x14ac:dyDescent="0.2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</row>
    <row r="109" spans="1:25" x14ac:dyDescent="0.2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</row>
    <row r="110" spans="1:25" x14ac:dyDescent="0.2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</row>
    <row r="111" spans="1:25" x14ac:dyDescent="0.2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</row>
    <row r="112" spans="1:25" x14ac:dyDescent="0.2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</row>
    <row r="113" spans="1:25" x14ac:dyDescent="0.2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</row>
    <row r="114" spans="1:25" x14ac:dyDescent="0.2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</row>
    <row r="115" spans="1:25" x14ac:dyDescent="0.2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</row>
    <row r="116" spans="1:25" x14ac:dyDescent="0.2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</row>
    <row r="117" spans="1:25" x14ac:dyDescent="0.2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</row>
    <row r="118" spans="1:25" x14ac:dyDescent="0.2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</row>
    <row r="119" spans="1:25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</row>
    <row r="120" spans="1:25" x14ac:dyDescent="0.2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</row>
    <row r="121" spans="1:25" x14ac:dyDescent="0.2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</row>
    <row r="122" spans="1:25" x14ac:dyDescent="0.2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</row>
    <row r="123" spans="1:25" x14ac:dyDescent="0.2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</row>
    <row r="124" spans="1:25" x14ac:dyDescent="0.2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</row>
    <row r="125" spans="1:25" x14ac:dyDescent="0.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</row>
    <row r="126" spans="1:25" x14ac:dyDescent="0.2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</row>
    <row r="127" spans="1:25" x14ac:dyDescent="0.2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</row>
    <row r="128" spans="1:25" x14ac:dyDescent="0.2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</row>
    <row r="129" spans="1:25" x14ac:dyDescent="0.2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</row>
    <row r="130" spans="1:25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</row>
    <row r="131" spans="1:25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</row>
    <row r="132" spans="1:25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</row>
    <row r="133" spans="1:25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</row>
    <row r="134" spans="1:25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</row>
    <row r="135" spans="1:25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</row>
    <row r="136" spans="1:25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</row>
    <row r="137" spans="1:25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</row>
    <row r="138" spans="1:25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</row>
    <row r="139" spans="1:25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</row>
    <row r="140" spans="1:25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</row>
    <row r="141" spans="1:25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</row>
    <row r="142" spans="1:25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</row>
    <row r="143" spans="1:25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</row>
    <row r="144" spans="1:25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</row>
    <row r="145" spans="1:25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</row>
    <row r="146" spans="1:25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</row>
    <row r="147" spans="1:25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</row>
    <row r="148" spans="1:25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</row>
    <row r="149" spans="1:25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</row>
    <row r="150" spans="1:25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</row>
    <row r="151" spans="1:25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</row>
    <row r="152" spans="1:25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</row>
    <row r="153" spans="1:25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</row>
    <row r="154" spans="1:25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</row>
    <row r="155" spans="1:25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</row>
    <row r="156" spans="1:25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</row>
    <row r="157" spans="1:25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</row>
    <row r="158" spans="1:25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</row>
    <row r="159" spans="1:25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</row>
    <row r="160" spans="1:25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</row>
    <row r="161" spans="1:25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</row>
    <row r="162" spans="1:25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</row>
    <row r="163" spans="1:25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</row>
    <row r="164" spans="1:25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</row>
    <row r="165" spans="1:25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</row>
    <row r="166" spans="1:25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</row>
    <row r="167" spans="1:25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</row>
    <row r="168" spans="1:25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</row>
    <row r="169" spans="1:25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</row>
    <row r="170" spans="1:25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</row>
    <row r="171" spans="1:25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</row>
    <row r="172" spans="1:25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</row>
    <row r="173" spans="1:25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</row>
    <row r="174" spans="1:25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</row>
    <row r="175" spans="1:25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</row>
    <row r="176" spans="1:25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</row>
    <row r="177" spans="1:25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</row>
    <row r="178" spans="1:25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</row>
    <row r="179" spans="1:25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</row>
    <row r="180" spans="1:25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</row>
    <row r="181" spans="1:25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</row>
    <row r="182" spans="1:25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</row>
    <row r="183" spans="1:25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</row>
    <row r="184" spans="1:25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</row>
    <row r="185" spans="1:25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</row>
    <row r="186" spans="1:25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</row>
    <row r="187" spans="1:25" x14ac:dyDescent="0.2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</row>
    <row r="188" spans="1:25" x14ac:dyDescent="0.25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</row>
    <row r="189" spans="1:25" x14ac:dyDescent="0.25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</row>
    <row r="190" spans="1:25" x14ac:dyDescent="0.25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</row>
    <row r="191" spans="1:25" x14ac:dyDescent="0.25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</row>
    <row r="192" spans="1:25" x14ac:dyDescent="0.25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</row>
    <row r="193" spans="1:25" x14ac:dyDescent="0.25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</row>
    <row r="194" spans="1:25" x14ac:dyDescent="0.25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</row>
    <row r="195" spans="1:25" x14ac:dyDescent="0.2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</row>
    <row r="196" spans="1:25" x14ac:dyDescent="0.25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</row>
    <row r="197" spans="1:25" x14ac:dyDescent="0.25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</row>
    <row r="198" spans="1:25" x14ac:dyDescent="0.2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</row>
    <row r="199" spans="1:25" x14ac:dyDescent="0.25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</row>
    <row r="200" spans="1:25" x14ac:dyDescent="0.25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</row>
    <row r="201" spans="1:25" x14ac:dyDescent="0.25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</row>
    <row r="202" spans="1:25" x14ac:dyDescent="0.25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</row>
    <row r="203" spans="1:25" x14ac:dyDescent="0.25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</row>
    <row r="204" spans="1:25" x14ac:dyDescent="0.25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</row>
    <row r="205" spans="1:25" x14ac:dyDescent="0.2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7"/>
  <sheetViews>
    <sheetView workbookViewId="0">
      <selection activeCell="K87" sqref="K87"/>
    </sheetView>
  </sheetViews>
  <sheetFormatPr defaultRowHeight="15" x14ac:dyDescent="0.25"/>
  <sheetData>
    <row r="1" spans="1:23" x14ac:dyDescent="0.25">
      <c r="A1" t="str">
        <f>CONCATENATE("/*",'Allprides '!C2,"*/ ",'Allprides '!F2,'Allprides '!G2,'Allprides '!H2,'Allprides '!L2,'Allprides '!M2,'Allprides '!N2," 1;")</f>
        <v>/*ELI-584*/ 011111 1;</v>
      </c>
    </row>
    <row r="2" spans="1:23" x14ac:dyDescent="0.25">
      <c r="A2" t="str">
        <f>CONCATENATE("/*",'Allprides '!C3,"*/ ",'Allprides '!F3,'Allprides '!G3,'Allprides '!H3,'Allprides '!L3,'Allprides '!M3,'Allprides '!N3," 1;")</f>
        <v>/*ELI-585*/ 111101 1;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</row>
    <row r="3" spans="1:23" x14ac:dyDescent="0.25">
      <c r="A3" t="str">
        <f>CONCATENATE("/*",'Allprides '!C4,"*/ ",'Allprides '!F4,'Allprides '!G4,'Allprides '!H4,'Allprides '!L4,'Allprides '!M4,'Allprides '!N4," 1;")</f>
        <v>/*ELI-586*/ 111111 1;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</row>
    <row r="4" spans="1:23" x14ac:dyDescent="0.25">
      <c r="A4" t="str">
        <f>CONCATENATE("/*",'Allprides '!C5,"*/ ",'Allprides '!F5,'Allprides '!G5,'Allprides '!H5,'Allprides '!L5,'Allprides '!M5,'Allprides '!N5," 1;")</f>
        <v>/*ELI-587*/ 111111 1;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</row>
    <row r="5" spans="1:23" x14ac:dyDescent="0.25">
      <c r="A5" t="str">
        <f>CONCATENATE("/*",'Allprides '!C6,"*/ ",'Allprides '!F6,'Allprides '!G6,'Allprides '!H6,'Allprides '!L6,'Allprides '!M6,'Allprides '!N6," 1;")</f>
        <v>/*ELI-590*/ 111111 1;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</row>
    <row r="6" spans="1:23" x14ac:dyDescent="0.25">
      <c r="A6" t="str">
        <f>CONCATENATE("/*",'Allprides '!C7,"*/ ",'Allprides '!F7,'Allprides '!G7,'Allprides '!H7,'Allprides '!L7,'Allprides '!M7,'Allprides '!N7," 1;")</f>
        <v>/*ELI-592*/ 111101 1;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</row>
    <row r="7" spans="1:23" x14ac:dyDescent="0.25">
      <c r="A7" t="str">
        <f>CONCATENATE("/*",'Allprides '!C8,"*/ ",'Allprides '!F8,'Allprides '!G8,'Allprides '!H8,'Allprides '!L8,'Allprides '!M8,'Allprides '!N8," 1;")</f>
        <v>/*ELI-593*/ 111101 1;</v>
      </c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</row>
    <row r="8" spans="1:23" x14ac:dyDescent="0.25">
      <c r="A8" t="str">
        <f>CONCATENATE("/*",'Allprides '!C9,"*/ ",'Allprides '!F9,'Allprides '!G9,'Allprides '!H9,'Allprides '!L9,'Allprides '!M9,'Allprides '!N9," 1;")</f>
        <v>/*ELI-594*/ 111111 1;</v>
      </c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</row>
    <row r="9" spans="1:23" x14ac:dyDescent="0.25">
      <c r="A9" t="str">
        <f>CONCATENATE("/*",'Allprides '!C10,"*/ ",'Allprides '!F10,'Allprides '!G10,'Allprides '!H10,'Allprides '!L10,'Allprides '!M10,'Allprides '!N10," 1;")</f>
        <v>/*ELI-243*/ 111101 1;</v>
      </c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</row>
    <row r="10" spans="1:23" x14ac:dyDescent="0.25">
      <c r="A10" t="str">
        <f>CONCATENATE("/*",'Allprides '!C11,"*/ ",'Allprides '!F11,'Allprides '!G11,'Allprides '!H11,'Allprides '!L11,'Allprides '!M11,'Allprides '!N11," 1;")</f>
        <v>/*ELI-224*/ 000110 1;</v>
      </c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</row>
    <row r="11" spans="1:23" x14ac:dyDescent="0.25">
      <c r="A11" t="str">
        <f>CONCATENATE("/*",'Allprides '!C12,"*/ ",'Allprides '!F12,'Allprides '!G12,'Allprides '!H12,'Allprides '!L12,'Allprides '!M12,'Allprides '!N12," 1;")</f>
        <v>/*ELI-245*/ 010110 1;</v>
      </c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</row>
    <row r="12" spans="1:23" x14ac:dyDescent="0.25">
      <c r="A12" t="str">
        <f>CONCATENATE("/*",'Allprides '!C13,"*/ ",'Allprides '!F13,'Allprides '!G13,'Allprides '!H13,'Allprides '!L13,'Allprides '!M13,'Allprides '!N13," 1;")</f>
        <v>/*ELI-223*/ 000110 1;</v>
      </c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</row>
    <row r="13" spans="1:23" x14ac:dyDescent="0.25">
      <c r="A13" t="str">
        <f>CONCATENATE("/*",'Allprides '!C14,"*/ ",'Allprides '!F14,'Allprides '!G14,'Allprides '!H14,'Allprides '!L14,'Allprides '!M14,'Allprides '!N14," 1;")</f>
        <v>/*ELI-220*/ 000110 1;</v>
      </c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</row>
    <row r="14" spans="1:23" x14ac:dyDescent="0.25">
      <c r="A14" t="str">
        <f>CONCATENATE("/*",'Allprides '!C15,"*/ ",'Allprides '!F15,'Allprides '!G15,'Allprides '!H15,'Allprides '!L15,'Allprides '!M15,'Allprides '!N15," 1;")</f>
        <v>/*ELI-218*/ 000100 1;</v>
      </c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</row>
    <row r="15" spans="1:23" x14ac:dyDescent="0.25">
      <c r="A15" t="str">
        <f>CONCATENATE("/*",'Allprides '!C16,"*/ ",'Allprides '!F16,'Allprides '!G16,'Allprides '!H16,'Allprides '!L16,'Allprides '!M16,'Allprides '!N16," 1;")</f>
        <v>/*ELI-219*/ 100110 1;</v>
      </c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</row>
    <row r="16" spans="1:23" x14ac:dyDescent="0.25">
      <c r="A16" t="str">
        <f>CONCATENATE("/*",'Allprides '!C17,"*/ ",'Allprides '!F17,'Allprides '!G17,'Allprides '!H17,'Allprides '!L17,'Allprides '!M17,'Allprides '!N17," 1;")</f>
        <v>/*ELI-769*/ 010110 1;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</row>
    <row r="17" spans="1:23" x14ac:dyDescent="0.25">
      <c r="A17" t="str">
        <f>CONCATENATE("/*",'Allprides '!C18,"*/ ",'Allprides '!F18,'Allprides '!G18,'Allprides '!H18,'Allprides '!L18,'Allprides '!M18,'Allprides '!N18," 1;")</f>
        <v>/*ELI-768*/ 000110 1;</v>
      </c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</row>
    <row r="18" spans="1:23" x14ac:dyDescent="0.25">
      <c r="A18" t="str">
        <f>CONCATENATE("/*",'Allprides '!C19,"*/ ",'Allprides '!F19,'Allprides '!G19,'Allprides '!H19,'Allprides '!L19,'Allprides '!M19,'Allprides '!N19," 1;")</f>
        <v>/*ELI-767*/ 000100 1;</v>
      </c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</row>
    <row r="19" spans="1:23" x14ac:dyDescent="0.25">
      <c r="A19" t="str">
        <f>CONCATENATE("/*",'Allprides '!C20,"*/ ",'Allprides '!F20,'Allprides '!G20,'Allprides '!H20,'Allprides '!L20,'Allprides '!M20,'Allprides '!N20," 1;")</f>
        <v>/*ELI-766*/ 010010 1;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</row>
    <row r="20" spans="1:23" x14ac:dyDescent="0.25">
      <c r="A20" t="str">
        <f>CONCATENATE("/*",'Allprides '!C21,"*/ ",'Allprides '!F21,'Allprides '!G21,'Allprides '!H21,'Allprides '!L21,'Allprides '!M21,'Allprides '!N21," 1;")</f>
        <v>/*ELI-765*/ 010110 1;</v>
      </c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</row>
    <row r="21" spans="1:23" x14ac:dyDescent="0.25">
      <c r="A21" t="str">
        <f>CONCATENATE("/*",'Allprides '!C22,"*/ ",'Allprides '!F22,'Allprides '!G22,'Allprides '!H22,'Allprides '!L22,'Allprides '!M22,'Allprides '!N22," 1;")</f>
        <v>/*ELI-815*/ 000110 1;</v>
      </c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</row>
    <row r="22" spans="1:23" x14ac:dyDescent="0.25">
      <c r="A22" t="str">
        <f>CONCATENATE("/*",'Allprides '!C23,"*/ ",'Allprides '!F23,'Allprides '!G23,'Allprides '!H23,'Allprides '!L23,'Allprides '!M23,'Allprides '!N23," 1;")</f>
        <v>/*ELI-816*/ 000110 1;</v>
      </c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</row>
    <row r="23" spans="1:23" x14ac:dyDescent="0.25">
      <c r="A23" t="str">
        <f>CONCATENATE("/*",'Allprides '!C24,"*/ ",'Allprides '!F24,'Allprides '!G24,'Allprides '!H24,'Allprides '!L24,'Allprides '!M24,'Allprides '!N24," 1;")</f>
        <v>/*ELI-817*/ 000110 1;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</row>
    <row r="24" spans="1:23" x14ac:dyDescent="0.25">
      <c r="A24" t="str">
        <f>CONCATENATE("/*",'Allprides '!C25,"*/ ",'Allprides '!F25,'Allprides '!G25,'Allprides '!H25,'Allprides '!L25,'Allprides '!M25,'Allprides '!N25," 1;")</f>
        <v>/*ELI-818*/ 000110 1;</v>
      </c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</row>
    <row r="25" spans="1:23" x14ac:dyDescent="0.25">
      <c r="A25" t="str">
        <f>CONCATENATE("/*",'Allprides '!C26,"*/ ",'Allprides '!F26,'Allprides '!G26,'Allprides '!H26,'Allprides '!L26,'Allprides '!M26,'Allprides '!N26," 1;")</f>
        <v>/*ELI-819*/ 000110 1;</v>
      </c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</row>
    <row r="26" spans="1:23" x14ac:dyDescent="0.25">
      <c r="A26" t="str">
        <f>CONCATENATE("/*",'Allprides '!C27,"*/ ",'Allprides '!F27,'Allprides '!G27,'Allprides '!H27,'Allprides '!L27,'Allprides '!M27,'Allprides '!N27," 1;")</f>
        <v>/*ELI-820*/ 000110 1;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</row>
    <row r="27" spans="1:23" x14ac:dyDescent="0.25">
      <c r="A27" t="str">
        <f>CONCATENATE("/*",'Allprides '!C28,"*/ ",'Allprides '!F28,'Allprides '!G28,'Allprides '!H28,'Allprides '!L28,'Allprides '!M28,'Allprides '!N28," 1;")</f>
        <v>/*ELI-821*/ 000110 1;</v>
      </c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</row>
    <row r="28" spans="1:23" x14ac:dyDescent="0.25">
      <c r="A28" t="str">
        <f>CONCATENATE("/*",'Allprides '!C29,"*/ ",'Allprides '!F29,'Allprides '!G29,'Allprides '!H29,'Allprides '!L29,'Allprides '!M29,'Allprides '!N29," 1;")</f>
        <v>/*ELI-822*/ 000110 1;</v>
      </c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</row>
    <row r="29" spans="1:23" x14ac:dyDescent="0.25">
      <c r="A29" t="str">
        <f>CONCATENATE("/*",'Allprides '!C30,"*/ ",'Allprides '!F30,'Allprides '!G30,'Allprides '!H30,'Allprides '!L30,'Allprides '!M30,'Allprides '!N30," 1;")</f>
        <v>/*ELI-414*/ 010111 1;</v>
      </c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</row>
    <row r="30" spans="1:23" x14ac:dyDescent="0.25">
      <c r="A30" t="str">
        <f>CONCATENATE("/*",'Allprides '!C31,"*/ ",'Allprides '!F31,'Allprides '!G31,'Allprides '!H31,'Allprides '!L31,'Allprides '!M31,'Allprides '!N31," 1;")</f>
        <v>/*ELI-493*/ 010000 1;</v>
      </c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</row>
    <row r="31" spans="1:23" x14ac:dyDescent="0.25">
      <c r="A31" t="str">
        <f>CONCATENATE("/*",'Allprides '!C32,"*/ ",'Allprides '!F32,'Allprides '!G32,'Allprides '!H32,'Allprides '!L32,'Allprides '!M32,'Allprides '!N32," 1;")</f>
        <v>/*ELI-494*/ 000000 1;</v>
      </c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</row>
    <row r="32" spans="1:23" x14ac:dyDescent="0.25">
      <c r="A32" t="str">
        <f>CONCATENATE("/*",'Allprides '!C33,"*/ ",'Allprides '!F33,'Allprides '!G33,'Allprides '!H33,'Allprides '!L33,'Allprides '!M33,'Allprides '!N33," 1;")</f>
        <v>/*ELI-598*/ 000000 1;</v>
      </c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</row>
    <row r="33" spans="1:23" x14ac:dyDescent="0.25">
      <c r="A33" t="str">
        <f>CONCATENATE("/*",'Allprides '!C34,"*/ ",'Allprides '!F34,'Allprides '!G34,'Allprides '!H34,'Allprides '!L34,'Allprides '!M34,'Allprides '!N34," 1;")</f>
        <v>/*ELI-599*/ 000000 1;</v>
      </c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</row>
    <row r="34" spans="1:23" x14ac:dyDescent="0.25">
      <c r="A34" t="str">
        <f>CONCATENATE("/*",'Allprides '!C35,"*/ ",'Allprides '!F35,'Allprides '!G35,'Allprides '!H35,'Allprides '!L35,'Allprides '!M35,'Allprides '!N35," 1;")</f>
        <v>/*ELI-235*/ 010111 1;</v>
      </c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</row>
    <row r="35" spans="1:23" x14ac:dyDescent="0.25">
      <c r="A35" t="str">
        <f>CONCATENATE("/*",'Allprides '!C36,"*/ ",'Allprides '!F36,'Allprides '!G36,'Allprides '!H36,'Allprides '!L36,'Allprides '!M36,'Allprides '!N36," 1;")</f>
        <v>/*ELI-604*/ 010101 1;</v>
      </c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</row>
    <row r="36" spans="1:23" x14ac:dyDescent="0.25">
      <c r="A36" t="str">
        <f>CONCATENATE("/*",'Allprides '!C37,"*/ ",'Allprides '!F37,'Allprides '!G37,'Allprides '!H37,'Allprides '!L37,'Allprides '!M37,'Allprides '!N37," 1;")</f>
        <v>/*ELI-606*/ 010101 1;</v>
      </c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</row>
    <row r="37" spans="1:23" x14ac:dyDescent="0.25">
      <c r="A37" t="str">
        <f>CONCATENATE("/*",'Allprides '!C38,"*/ ",'Allprides '!F38,'Allprides '!G38,'Allprides '!H38,'Allprides '!L38,'Allprides '!M38,'Allprides '!N38," 1;")</f>
        <v>/*ELI-143*/ 001110 1;</v>
      </c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</row>
    <row r="38" spans="1:23" x14ac:dyDescent="0.25">
      <c r="A38" t="str">
        <f>CONCATENATE("/*",'Allprides '!C39,"*/ ",'Allprides '!F39,'Allprides '!G39,'Allprides '!H39,'Allprides '!L39,'Allprides '!M39,'Allprides '!N39," 1;")</f>
        <v>/*ELI-496*/ 001010 1;</v>
      </c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</row>
    <row r="39" spans="1:23" x14ac:dyDescent="0.25">
      <c r="A39" t="str">
        <f>CONCATENATE("/*",'Allprides '!C40,"*/ ",'Allprides '!F40,'Allprides '!G40,'Allprides '!H40,'Allprides '!L40,'Allprides '!M40,'Allprides '!N40," 1;")</f>
        <v>/*ELI-703*/ 001010 1;</v>
      </c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</row>
    <row r="40" spans="1:23" x14ac:dyDescent="0.25">
      <c r="A40" t="str">
        <f>CONCATENATE("/*",'Allprides '!C41,"*/ ",'Allprides '!F41,'Allprides '!G41,'Allprides '!H41,'Allprides '!L41,'Allprides '!M41,'Allprides '!N41," 1;")</f>
        <v>/*ELI-262*/ 000000 1;</v>
      </c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</row>
    <row r="41" spans="1:23" x14ac:dyDescent="0.25">
      <c r="A41" t="str">
        <f>CONCATENATE("/*",'Allprides '!C42,"*/ ",'Allprides '!F42,'Allprides '!G42,'Allprides '!H42,'Allprides '!L42,'Allprides '!M42,'Allprides '!N42," 1;")</f>
        <v>/*ELI-752*/ 000000 1;</v>
      </c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</row>
    <row r="42" spans="1:23" x14ac:dyDescent="0.25">
      <c r="A42" t="str">
        <f>CONCATENATE("/*",'Allprides '!C43,"*/ ",'Allprides '!F43,'Allprides '!G43,'Allprides '!H43,'Allprides '!L43,'Allprides '!M43,'Allprides '!N43," 1;")</f>
        <v>/*ELI-753*/ 000000 1;</v>
      </c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</row>
    <row r="43" spans="1:23" x14ac:dyDescent="0.25">
      <c r="A43" t="str">
        <f>CONCATENATE("/*",'Allprides '!C44,"*/ ",'Allprides '!F44,'Allprides '!G44,'Allprides '!H44,'Allprides '!L44,'Allprides '!M44,'Allprides '!N44," 1;")</f>
        <v>/*ELI-757*/ 000000 1;</v>
      </c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</row>
    <row r="44" spans="1:23" x14ac:dyDescent="0.25">
      <c r="A44" t="str">
        <f>CONCATENATE("/*",'Allprides '!C45,"*/ ",'Allprides '!F45,'Allprides '!G45,'Allprides '!H45,'Allprides '!L45,'Allprides '!M45,'Allprides '!N45," 1;")</f>
        <v>/*ELI-260*/ 000000 1;</v>
      </c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</row>
    <row r="45" spans="1:23" x14ac:dyDescent="0.25">
      <c r="A45" t="str">
        <f>CONCATENATE("/*",'Allprides '!C46,"*/ ",'Allprides '!F46,'Allprides '!G46,'Allprides '!H46,'Allprides '!L46,'Allprides '!M46,'Allprides '!N46," 1;")</f>
        <v>/*ELI-173*/ 000101 1;</v>
      </c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</row>
    <row r="46" spans="1:23" x14ac:dyDescent="0.25">
      <c r="A46" t="str">
        <f>CONCATENATE("/*",'Allprides '!C47,"*/ ",'Allprides '!F47,'Allprides '!G47,'Allprides '!H47,'Allprides '!L47,'Allprides '!M47,'Allprides '!N47," 1;")</f>
        <v>/*ELI-174*/ 000000 1;</v>
      </c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</row>
    <row r="47" spans="1:23" x14ac:dyDescent="0.25">
      <c r="A47" t="str">
        <f>CONCATENATE("/*",'Allprides '!C48,"*/ ",'Allprides '!F48,'Allprides '!G48,'Allprides '!H48,'Allprides '!L48,'Allprides '!M48,'Allprides '!N48," 1;")</f>
        <v>/*ELI-247*/ 000101 1;</v>
      </c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</row>
    <row r="48" spans="1:23" x14ac:dyDescent="0.25">
      <c r="A48" t="str">
        <f>CONCATENATE("/*",'Allprides '!C49,"*/ ",'Allprides '!F49,'Allprides '!G49,'Allprides '!H49,'Allprides '!L49,'Allprides '!M49,'Allprides '!N49," 1;")</f>
        <v>/*ELI-248*/ 110111 1;</v>
      </c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</row>
    <row r="49" spans="1:23" x14ac:dyDescent="0.25">
      <c r="A49" t="str">
        <f>CONCATENATE("/*",'Allprides '!C50,"*/ ",'Allprides '!F50,'Allprides '!G50,'Allprides '!H50,'Allprides '!L50,'Allprides '!M50,'Allprides '!N50," 1;")</f>
        <v>/*ELI-250*/ 000111 1;</v>
      </c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</row>
    <row r="50" spans="1:23" x14ac:dyDescent="0.25">
      <c r="A50" t="str">
        <f>CONCATENATE("/*",'Allprides '!C51,"*/ ",'Allprides '!F51,'Allprides '!G51,'Allprides '!H51,'Allprides '!L51,'Allprides '!M51,'Allprides '!N51," 1;")</f>
        <v>/*ELI-462*/ 000111 1;</v>
      </c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</row>
    <row r="51" spans="1:23" x14ac:dyDescent="0.25">
      <c r="A51" t="str">
        <f>CONCATENATE("/*",'Allprides '!C52,"*/ ",'Allprides '!F52,'Allprides '!G52,'Allprides '!H52,'Allprides '!L52,'Allprides '!M52,'Allprides '!N52," 1;")</f>
        <v>/*ELI-378*/ 000100 1;</v>
      </c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</row>
    <row r="52" spans="1:23" x14ac:dyDescent="0.25">
      <c r="A52" t="str">
        <f>CONCATENATE("/*",'Allprides '!C53,"*/ ",'Allprides '!F53,'Allprides '!G53,'Allprides '!H53,'Allprides '!L53,'Allprides '!M53,'Allprides '!N53," 1;")</f>
        <v>/*ELI-463*/ 000111 1;</v>
      </c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</row>
    <row r="53" spans="1:23" x14ac:dyDescent="0.25">
      <c r="A53" t="str">
        <f>CONCATENATE("/*",'Allprides '!C54,"*/ ",'Allprides '!F54,'Allprides '!G54,'Allprides '!H54,'Allprides '!L54,'Allprides '!M54,'Allprides '!N54," 1;")</f>
        <v>/*ELI-589*/ 000101 1;</v>
      </c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</row>
    <row r="54" spans="1:23" x14ac:dyDescent="0.25">
      <c r="A54" t="str">
        <f>CONCATENATE("/*",'Allprides '!C55,"*/ ",'Allprides '!F55,'Allprides '!G55,'Allprides '!H55,'Allprides '!L55,'Allprides '!M55,'Allprides '!N55," 1;")</f>
        <v>/*ELI-713*/ 000101 1;</v>
      </c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</row>
    <row r="55" spans="1:23" x14ac:dyDescent="0.25">
      <c r="A55" t="str">
        <f>CONCATENATE("/*",'Allprides '!C56,"*/ ",'Allprides '!F56,'Allprides '!G56,'Allprides '!H56,'Allprides '!L56,'Allprides '!M56,'Allprides '!N56," 1;")</f>
        <v>/*ELI-714*/ 000101 1;</v>
      </c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</row>
    <row r="56" spans="1:23" x14ac:dyDescent="0.25">
      <c r="A56" t="str">
        <f>CONCATENATE("/*",'Allprides '!C57,"*/ ",'Allprides '!F57,'Allprides '!G57,'Allprides '!H57,'Allprides '!L57,'Allprides '!M57,'Allprides '!N57," 1;")</f>
        <v>/*ELI-715*/ 000001 1;</v>
      </c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</row>
    <row r="57" spans="1:23" x14ac:dyDescent="0.25">
      <c r="A57" t="str">
        <f>CONCATENATE("/*",'Allprides '!C58,"*/ ",'Allprides '!F58,'Allprides '!G58,'Allprides '!H58,'Allprides '!L58,'Allprides '!M58,'Allprides '!N58," 1;")</f>
        <v>/*ELI-716*/ 000101 1;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</row>
    <row r="58" spans="1:23" x14ac:dyDescent="0.25">
      <c r="A58" t="str">
        <f>CONCATENATE("/*",'Allprides '!C59,"*/ ",'Allprides '!F59,'Allprides '!G59,'Allprides '!H59,'Allprides '!L59,'Allprides '!M59,'Allprides '!N59," 1;")</f>
        <v>/*ELI-717*/ 000100 1;</v>
      </c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</row>
    <row r="59" spans="1:23" x14ac:dyDescent="0.25">
      <c r="A59" t="str">
        <f>CONCATENATE("/*",'Allprides '!C60,"*/ ",'Allprides '!F60,'Allprides '!G60,'Allprides '!H60,'Allprides '!L60,'Allprides '!M60,'Allprides '!N60," 1;")</f>
        <v>/*ELI-718*/ 000101 1;</v>
      </c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</row>
    <row r="60" spans="1:23" x14ac:dyDescent="0.25">
      <c r="A60" t="str">
        <f>CONCATENATE("/*",'Allprides '!C61,"*/ ",'Allprides '!F61,'Allprides '!G61,'Allprides '!H61,'Allprides '!L61,'Allprides '!M61,'Allprides '!N61," 1;")</f>
        <v>/*ELI-719*/ 000101 1;</v>
      </c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</row>
    <row r="61" spans="1:23" x14ac:dyDescent="0.25">
      <c r="A61" t="str">
        <f>CONCATENATE("/*",'Allprides '!C62,"*/ ",'Allprides '!F62,'Allprides '!G62,'Allprides '!H62,'Allprides '!L62,'Allprides '!M62,'Allprides '!N62," 1;")</f>
        <v>/*ELI-823*/ 000000 1;</v>
      </c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</row>
    <row r="62" spans="1:23" x14ac:dyDescent="0.25">
      <c r="A62" t="str">
        <f>CONCATENATE("/*",'Allprides '!C63,"*/ ",'Allprides '!F63,'Allprides '!G63,'Allprides '!H63,'Allprides '!L63,'Allprides '!M63,'Allprides '!N63," 1;")</f>
        <v>/*ELI-824*/ 000000 1;</v>
      </c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</row>
    <row r="63" spans="1:23" x14ac:dyDescent="0.25">
      <c r="A63" t="str">
        <f>CONCATENATE("/*",'Allprides '!C64,"*/ ",'Allprides '!F64,'Allprides '!G64,'Allprides '!H64,'Allprides '!L64,'Allprides '!M64,'Allprides '!N64," 1;")</f>
        <v>/*ELI-825*/ 000000 1;</v>
      </c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</row>
    <row r="64" spans="1:23" x14ac:dyDescent="0.25">
      <c r="A64" t="str">
        <f>CONCATENATE("/*",'Allprides '!C65,"*/ ",'Allprides '!F65,'Allprides '!G65,'Allprides '!H65,'Allprides '!L65,'Allprides '!M65,'Allprides '!N65," 1;")</f>
        <v>/*ELI-826*/ 000100 1;</v>
      </c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</row>
    <row r="65" spans="1:23" x14ac:dyDescent="0.25">
      <c r="A65" t="str">
        <f>CONCATENATE("/*",'Allprides '!C66,"*/ ",'Allprides '!F66,'Allprides '!G66,'Allprides '!H66,'Allprides '!L66,'Allprides '!M66,'Allprides '!N66," 1;")</f>
        <v>/*ELI-827*/ 000111 1;</v>
      </c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</row>
    <row r="66" spans="1:23" x14ac:dyDescent="0.25">
      <c r="A66" t="str">
        <f>CONCATENATE("/*",'Allprides '!C67,"*/ ",'Allprides '!F67,'Allprides '!G67,'Allprides '!H67,'Allprides '!L67,'Allprides '!M67,'Allprides '!N67," 1;")</f>
        <v>/*ELI-828*/ 000111 1;</v>
      </c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</row>
    <row r="67" spans="1:23" x14ac:dyDescent="0.25">
      <c r="A67" t="str">
        <f>CONCATENATE("/*",'Allprides '!C68,"*/ ",'Allprides '!F68,'Allprides '!G68,'Allprides '!H68,'Allprides '!L68,'Allprides '!M68,'Allprides '!N68," 1;")</f>
        <v>/*ELI-829*/ 000111 1;</v>
      </c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</row>
    <row r="68" spans="1:23" x14ac:dyDescent="0.25">
      <c r="A68" t="str">
        <f>CONCATENATE("/*",'Allprides '!C69,"*/ ",'Allprides '!F69,'Allprides '!G69,'Allprides '!H69,'Allprides '!L69,'Allprides '!M69,'Allprides '!N69," 1;")</f>
        <v>/*ELI-830*/ 000111 1;</v>
      </c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</row>
    <row r="69" spans="1:23" x14ac:dyDescent="0.25">
      <c r="A69" t="str">
        <f>CONCATENATE("/*",'Allprides '!C70,"*/ ",'Allprides '!F70,'Allprides '!G70,'Allprides '!H70,'Allprides '!L70,'Allprides '!M70,'Allprides '!N70," 1;")</f>
        <v>/*ELI-831*/ 000111 1;</v>
      </c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</row>
    <row r="70" spans="1:23" x14ac:dyDescent="0.25">
      <c r="A70" t="str">
        <f>CONCATENATE("/*",'Allprides '!C71,"*/ ",'Allprides '!F71,'Allprides '!G71,'Allprides '!H71,'Allprides '!L71,'Allprides '!M71,'Allprides '!N71," 1;")</f>
        <v>/*ELI-258*/ 000110 1;</v>
      </c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</row>
    <row r="71" spans="1:23" x14ac:dyDescent="0.25">
      <c r="A71" t="str">
        <f>CONCATENATE("/*",'Allprides '!C72,"*/ ",'Allprides '!F72,'Allprides '!G72,'Allprides '!H72,'Allprides '!L72,'Allprides '!M72,'Allprides '!N72," 1;")</f>
        <v>/*ELI-256*/ 000110 1;</v>
      </c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</row>
    <row r="72" spans="1:23" x14ac:dyDescent="0.25">
      <c r="A72" t="str">
        <f>CONCATENATE("/*",'Allprides '!C73,"*/ ",'Allprides '!F73,'Allprides '!G73,'Allprides '!H73,'Allprides '!L73,'Allprides '!M73,'Allprides '!N73," 1;")</f>
        <v>/*ELI-609*/ 000100 1;</v>
      </c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</row>
    <row r="73" spans="1:23" x14ac:dyDescent="0.25">
      <c r="A73" t="str">
        <f>CONCATENATE("/*",'Allprides '!C74,"*/ ",'Allprides '!F74,'Allprides '!G74,'Allprides '!H74,'Allprides '!L74,'Allprides '!M74,'Allprides '!N74," 1;")</f>
        <v>/*ELI-611*/ 000100 1;</v>
      </c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</row>
    <row r="74" spans="1:23" x14ac:dyDescent="0.25">
      <c r="A74" t="str">
        <f>CONCATENATE("/*",'Allprides '!C75,"*/ ",'Allprides '!F75,'Allprides '!G75,'Allprides '!H75,'Allprides '!L75,'Allprides '!M75,'Allprides '!N75," 1;")</f>
        <v>/*ELI-480*/ 000100 1;</v>
      </c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</row>
    <row r="75" spans="1:23" x14ac:dyDescent="0.25">
      <c r="A75" t="str">
        <f>CONCATENATE("/*",'Allprides '!C76,"*/ ",'Allprides '!F76,'Allprides '!G76,'Allprides '!H76,'Allprides '!L76,'Allprides '!M76,'Allprides '!N76," 1;")</f>
        <v>/*ELI-470*/ 000001 1;</v>
      </c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</row>
    <row r="76" spans="1:23" x14ac:dyDescent="0.25">
      <c r="A76" t="str">
        <f>CONCATENATE("/*",'Allprides '!C77,"*/ ",'Allprides '!F77,'Allprides '!G77,'Allprides '!H77,'Allprides '!L77,'Allprides '!M77,'Allprides '!N77," 1;")</f>
        <v>/*ELI-473*/ 000001 1;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</row>
    <row r="77" spans="1:23" x14ac:dyDescent="0.25">
      <c r="A77" t="str">
        <f>CONCATENATE("/*",'Allprides '!C78,"*/ ",'Allprides '!F78,'Allprides '!G78,'Allprides '!H78,'Allprides '!L78,'Allprides '!M78,'Allprides '!N78," 1;")</f>
        <v>/*ELI-472*/ 000001 1;</v>
      </c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</row>
    <row r="78" spans="1:23" x14ac:dyDescent="0.25">
      <c r="A78" t="str">
        <f>CONCATENATE("/*",'Allprides '!C79,"*/ ",'Allprides '!F79,'Allprides '!G79,'Allprides '!H79,'Allprides '!L79,'Allprides '!M79,'Allprides '!N79," 1;")</f>
        <v>/*ELI-481*/ 000000 1;</v>
      </c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</row>
    <row r="79" spans="1:23" x14ac:dyDescent="0.25">
      <c r="A79" t="str">
        <f>CONCATENATE("/*",'Allprides '!C80,"*/ ",'Allprides '!F80,'Allprides '!G80,'Allprides '!H80,'Allprides '!L80,'Allprides '!M80,'Allprides '!N80," 1;")</f>
        <v>/*ELI-879*/ 000011 1;</v>
      </c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</row>
    <row r="80" spans="1:23" x14ac:dyDescent="0.25">
      <c r="A80" t="str">
        <f>CONCATENATE("/*",'Allprides '!C81,"*/ ",'Allprides '!F81,'Allprides '!G81,'Allprides '!H81,'Allprides '!L81,'Allprides '!M81,'Allprides '!N81," 1;")</f>
        <v>/*ELI-880*/ 000011 1;</v>
      </c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</row>
    <row r="81" spans="1:23" x14ac:dyDescent="0.25">
      <c r="A81" t="str">
        <f>CONCATENATE("/*",'Allprides '!C82,"*/ ",'Allprides '!F82,'Allprides '!G82,'Allprides '!H82,'Allprides '!L82,'Allprides '!M82,'Allprides '!N82," 1;")</f>
        <v>/*ELI-881*/ 000011 1;</v>
      </c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</row>
    <row r="82" spans="1:23" x14ac:dyDescent="0.25">
      <c r="A82" t="str">
        <f>CONCATENATE("/*",'Allprides '!C83,"*/ ",'Allprides '!F83,'Allprides '!G83,'Allprides '!H83,'Allprides '!L83,'Allprides '!M83,'Allprides '!N83," 1;")</f>
        <v>/*ELI-882*/ 000011 1;</v>
      </c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</row>
    <row r="83" spans="1:23" x14ac:dyDescent="0.25">
      <c r="A83" t="str">
        <f>CONCATENATE("/*",'Allprides '!C84,"*/ ",'Allprides '!F84,'Allprides '!G84,'Allprides '!H84,'Allprides '!L84,'Allprides '!M84,'Allprides '!N84," 1;")</f>
        <v>/*ELI-438*/ 000000 1;</v>
      </c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</row>
    <row r="84" spans="1:23" x14ac:dyDescent="0.25">
      <c r="A84" t="str">
        <f>CONCATENATE("/*",'Allprides '!C85,"*/ ",'Allprides '!F85,'Allprides '!G85,'Allprides '!H85,'Allprides '!L85,'Allprides '!M85,'Allprides '!N85," 1;")</f>
        <v>/*ELI-441*/ 000100 1;</v>
      </c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</row>
    <row r="85" spans="1:23" x14ac:dyDescent="0.25">
      <c r="A85" t="str">
        <f>CONCATENATE("/*",'Allprides '!C86,"*/ ",'Allprides '!F86,'Allprides '!G86,'Allprides '!H86,'Allprides '!L86,'Allprides '!M86,'Allprides '!N86," 1;")</f>
        <v>/*ELI-444*/ 000001 1;</v>
      </c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</row>
    <row r="86" spans="1:23" x14ac:dyDescent="0.25">
      <c r="A86" t="str">
        <f>CONCATENATE("/*",'Allprides '!C87,"*/ ",'Allprides '!F87,'Allprides '!G87,'Allprides '!H87,'Allprides '!L87,'Allprides '!M87,'Allprides '!N87," 1;")</f>
        <v>/*ELI-918*/ 000001 1;</v>
      </c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</row>
    <row r="87" spans="1:23" x14ac:dyDescent="0.25">
      <c r="A87" t="str">
        <f>CONCATENATE("/*",'Allprides '!C88,"*/ ",'Allprides '!F88,'Allprides '!G88,'Allprides '!H88,'Allprides '!L88,'Allprides '!M88,'Allprides '!N88," 1;")</f>
        <v>/*ELI-919*/ 000001 1;</v>
      </c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</row>
    <row r="88" spans="1:23" x14ac:dyDescent="0.25">
      <c r="A88" t="str">
        <f>CONCATENATE("/*",'Allprides '!C89,"*/ ",'Allprides '!F89,'Allprides '!G89,'Allprides '!H89,'Allprides '!L89,'Allprides '!M89,'Allprides '!N89," 1;")</f>
        <v>/*ELI-440*/ 000100 1;</v>
      </c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</row>
    <row r="89" spans="1:23" x14ac:dyDescent="0.25">
      <c r="A89" t="str">
        <f>CONCATENATE("/*",'Allprides '!C90,"*/ ",'Allprides '!F90,'Allprides '!G90,'Allprides '!H90,'Allprides '!L90,'Allprides '!M90,'Allprides '!N90," 1;")</f>
        <v>/*ELI-197*/ 001100 1;</v>
      </c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</row>
    <row r="90" spans="1:23" x14ac:dyDescent="0.25">
      <c r="A90" t="str">
        <f>CONCATENATE("/*",'Allprides '!C91,"*/ ",'Allprides '!F91,'Allprides '!G91,'Allprides '!H91,'Allprides '!L91,'Allprides '!M91,'Allprides '!N91," 1;")</f>
        <v>/*ELI-198*/ 001100 1;</v>
      </c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</row>
    <row r="91" spans="1:23" x14ac:dyDescent="0.25">
      <c r="A91" t="str">
        <f>CONCATENATE("/*",'Allprides '!C92,"*/ ",'Allprides '!F92,'Allprides '!G92,'Allprides '!H92,'Allprides '!L92,'Allprides '!M92,'Allprides '!N92," 1;")</f>
        <v>/*ELI-230*/ 001100 1;</v>
      </c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</row>
    <row r="92" spans="1:23" x14ac:dyDescent="0.25">
      <c r="A92" t="str">
        <f>CONCATENATE("/*",'Allprides '!C93,"*/ ",'Allprides '!F93,'Allprides '!G93,'Allprides '!H93,'Allprides '!L93,'Allprides '!M93,'Allprides '!N93," 1;")</f>
        <v>/*ELI-231*/ 001000 1;</v>
      </c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</row>
    <row r="93" spans="1:23" x14ac:dyDescent="0.25">
      <c r="A93" t="str">
        <f>CONCATENATE("/*",'Allprides '!C94,"*/ ",'Allprides '!F94,'Allprides '!G94,'Allprides '!H94,'Allprides '!L94,'Allprides '!M94,'Allprides '!N94," 1;")</f>
        <v>/*ELI-424*/ 000000 1;</v>
      </c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</row>
    <row r="94" spans="1:23" x14ac:dyDescent="0.25">
      <c r="A94" t="str">
        <f>CONCATENATE("/*",'Allprides '!C95,"*/ ",'Allprides '!F95,'Allprides '!G95,'Allprides '!H95,'Allprides '!L95,'Allprides '!M95,'Allprides '!N95," 1;")</f>
        <v>/*ELI-425*/ 000100 1;</v>
      </c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</row>
    <row r="95" spans="1:23" x14ac:dyDescent="0.25">
      <c r="A95" t="str">
        <f>CONCATENATE("/*",'Allprides '!C96,"*/ ",'Allprides '!F96,'Allprides '!G96,'Allprides '!H96,'Allprides '!L96,'Allprides '!M96,'Allprides '!N96," 1;")</f>
        <v>/*ELI-613*/ 001100 1;</v>
      </c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</row>
    <row r="96" spans="1:23" x14ac:dyDescent="0.25">
      <c r="A96" t="str">
        <f>CONCATENATE("/*",'Allprides '!C97,"*/ ",'Allprides '!F97,'Allprides '!G97,'Allprides '!H97,'Allprides '!L97,'Allprides '!M97,'Allprides '!N97," 1;")</f>
        <v>/*ELI-615*/ 000100 1;</v>
      </c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</row>
    <row r="97" spans="1:23" x14ac:dyDescent="0.25">
      <c r="A97" t="str">
        <f>CONCATENATE("/*",'Allprides '!C98,"*/ ",'Allprides '!F98,'Allprides '!G98,'Allprides '!H98,'Allprides '!L98,'Allprides '!M98,'Allprides '!N98," 1;")</f>
        <v>/*ELI-616*/ 001100 1;</v>
      </c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</row>
    <row r="98" spans="1:23" x14ac:dyDescent="0.25">
      <c r="A98" t="str">
        <f>CONCATENATE("/*",'Allprides '!C99,"*/ ",'Allprides '!F99,'Allprides '!G99,'Allprides '!H99,'Allprides '!L99,'Allprides '!M99,'Allprides '!N99," 1;")</f>
        <v>/*ELI-617*/ 000100 1;</v>
      </c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</row>
    <row r="99" spans="1:23" x14ac:dyDescent="0.25">
      <c r="A99" t="str">
        <f>CONCATENATE("/*",'Allprides '!C100,"*/ ",'Allprides '!F100,'Allprides '!G100,'Allprides '!H100,'Allprides '!L100,'Allprides '!M100,'Allprides '!N100," 1;")</f>
        <v>/*ELI-618*/ 001100 1;</v>
      </c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</row>
    <row r="100" spans="1:23" x14ac:dyDescent="0.25">
      <c r="A100" t="str">
        <f>CONCATENATE("/*",'Allprides '!C101,"*/ ",'Allprides '!F101,'Allprides '!G101,'Allprides '!H101,'Allprides '!L101,'Allprides '!M101,'Allprides '!N101," 1;")</f>
        <v>/*ELI-738*/ 000100 1;</v>
      </c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</row>
    <row r="101" spans="1:23" x14ac:dyDescent="0.25">
      <c r="A101" t="str">
        <f>CONCATENATE("/*",'Allprides '!C102,"*/ ",'Allprides '!F102,'Allprides '!G102,'Allprides '!H102,'Allprides '!L102,'Allprides '!M102,'Allprides '!N102," 1;")</f>
        <v>/*ELI-737*/ 001100 1;</v>
      </c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</row>
    <row r="102" spans="1:23" x14ac:dyDescent="0.25">
      <c r="A102" t="str">
        <f>CONCATENATE("/*",'Allprides '!C103,"*/ ",'Allprides '!F103,'Allprides '!G103,'Allprides '!H103,'Allprides '!L103,'Allprides '!M103,'Allprides '!N103," 1;")</f>
        <v>/*ELI-736*/ 001100 1;</v>
      </c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</row>
    <row r="103" spans="1:23" x14ac:dyDescent="0.25">
      <c r="A103" t="str">
        <f>CONCATENATE("/*",'Allprides '!C104,"*/ ",'Allprides '!F104,'Allprides '!G104,'Allprides '!H104,'Allprides '!L104,'Allprides '!M104,'Allprides '!N104," 1;")</f>
        <v>/*ELI-735*/ 000100 1;</v>
      </c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</row>
    <row r="104" spans="1:23" x14ac:dyDescent="0.25">
      <c r="A104" t="str">
        <f>CONCATENATE("/*",'Allprides '!C105,"*/ ",'Allprides '!F105,'Allprides '!G105,'Allprides '!H105,'Allprides '!L105,'Allprides '!M105,'Allprides '!N105," 1;")</f>
        <v>/*ELI-991*/ 000110 1;</v>
      </c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</row>
    <row r="105" spans="1:23" x14ac:dyDescent="0.25">
      <c r="A105" t="str">
        <f>CONCATENATE("/*",'Allprides '!C106,"*/ ",'Allprides '!F106,'Allprides '!G106,'Allprides '!H106,'Allprides '!L106,'Allprides '!M106,'Allprides '!N106," 1;")</f>
        <v>/*ELI-155*/ 000111 1;</v>
      </c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</row>
    <row r="106" spans="1:23" x14ac:dyDescent="0.25">
      <c r="A106" t="str">
        <f>CONCATENATE("/*",'Allprides '!C107,"*/ ",'Allprides '!F107,'Allprides '!G107,'Allprides '!H107,'Allprides '!L107,'Allprides '!M107,'Allprides '!N107," 1;")</f>
        <v>/*ELI-369*/ 000111 1;</v>
      </c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</row>
    <row r="107" spans="1:23" x14ac:dyDescent="0.25">
      <c r="A107" t="str">
        <f>CONCATENATE("/*",'Allprides '!C108,"*/ ",'Allprides '!F108,'Allprides '!G108,'Allprides '!H108,'Allprides '!L108,'Allprides '!M108,'Allprides '!N108," 1;")</f>
        <v>/*ELI-370*/ 000111 1;</v>
      </c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</row>
    <row r="108" spans="1:23" x14ac:dyDescent="0.25">
      <c r="A108" t="str">
        <f>CONCATENATE("/*",'Allprides '!C109,"*/ ",'Allprides '!F109,'Allprides '!G109,'Allprides '!H109,'Allprides '!L109,'Allprides '!M109,'Allprides '!N109," 1;")</f>
        <v>/*ELI-159*/ 010111 1;</v>
      </c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</row>
    <row r="109" spans="1:23" x14ac:dyDescent="0.25">
      <c r="A109" t="str">
        <f>CONCATENATE("/*",'Allprides '!C110,"*/ ",'Allprides '!F110,'Allprides '!G110,'Allprides '!H110,'Allprides '!L110,'Allprides '!M110,'Allprides '!N110," 1;")</f>
        <v>/*ELI-162*/ 000111 1;</v>
      </c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</row>
    <row r="110" spans="1:23" x14ac:dyDescent="0.25">
      <c r="A110" t="str">
        <f>CONCATENATE("/*",'Allprides '!C111,"*/ ",'Allprides '!F111,'Allprides '!G111,'Allprides '!H111,'Allprides '!L111,'Allprides '!M111,'Allprides '!N111," 1;")</f>
        <v>/*ELI-810*/ 000111 1;</v>
      </c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</row>
    <row r="111" spans="1:23" x14ac:dyDescent="0.25">
      <c r="A111" t="str">
        <f>CONCATENATE("/*",'Allprides '!C112,"*/ ",'Allprides '!F112,'Allprides '!G112,'Allprides '!H112,'Allprides '!L112,'Allprides '!M112,'Allprides '!N112," 1;")</f>
        <v>/*ELI-811*/ 000111 1;</v>
      </c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</row>
    <row r="112" spans="1:23" x14ac:dyDescent="0.25">
      <c r="A112" t="str">
        <f>CONCATENATE("/*",'Allprides '!C113,"*/ ",'Allprides '!F113,'Allprides '!G113,'Allprides '!H113,'Allprides '!L113,'Allprides '!M113,'Allprides '!N113," 1;")</f>
        <v>/*ELI-812*/ 000111 1;</v>
      </c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</row>
    <row r="113" spans="1:23" x14ac:dyDescent="0.25">
      <c r="A113" t="str">
        <f>CONCATENATE("/*",'Allprides '!C114,"*/ ",'Allprides '!F114,'Allprides '!G114,'Allprides '!H114,'Allprides '!L114,'Allprides '!M114,'Allprides '!N114," 1;")</f>
        <v>/*ELI-813*/ 000111 1;</v>
      </c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</row>
    <row r="114" spans="1:23" x14ac:dyDescent="0.25">
      <c r="A114" t="str">
        <f>CONCATENATE("/*",'Allprides '!C115,"*/ ",'Allprides '!F115,'Allprides '!G115,'Allprides '!H115,'Allprides '!L115,'Allprides '!M115,'Allprides '!N115," 1;")</f>
        <v>/*ELI-814*/ 000111 1;</v>
      </c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</row>
    <row r="115" spans="1:23" x14ac:dyDescent="0.25">
      <c r="A115" t="str">
        <f>CONCATENATE("/*",'Allprides '!C116,"*/ ",'Allprides '!F116,'Allprides '!G116,'Allprides '!H116,'Allprides '!L116,'Allprides '!M116,'Allprides '!N116," 1;")</f>
        <v>/*ELI-124*/ 000100 1;</v>
      </c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</row>
    <row r="116" spans="1:23" x14ac:dyDescent="0.25">
      <c r="A116" t="str">
        <f>CONCATENATE("/*",'Allprides '!C117,"*/ ",'Allprides '!F117,'Allprides '!G117,'Allprides '!H117,'Allprides '!L117,'Allprides '!M117,'Allprides '!N117," 1;")</f>
        <v>/*ELI-125*/ 000000 1;</v>
      </c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</row>
    <row r="117" spans="1:23" x14ac:dyDescent="0.25">
      <c r="A117" t="str">
        <f>CONCATENATE("/*",'Allprides '!C118,"*/ ",'Allprides '!F118,'Allprides '!G118,'Allprides '!H118,'Allprides '!L118,'Allprides '!M118,'Allprides '!N118," 1;")</f>
        <v>/*ELI-126*/ 010110 1;</v>
      </c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</row>
    <row r="118" spans="1:23" x14ac:dyDescent="0.25">
      <c r="A118" t="str">
        <f>CONCATENATE("/*",'Allprides '!C119,"*/ ",'Allprides '!F119,'Allprides '!G119,'Allprides '!H119,'Allprides '!L119,'Allprides '!M119,'Allprides '!N119," 1;")</f>
        <v>/*ELI-127*/ 000110 1;</v>
      </c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</row>
    <row r="119" spans="1:23" x14ac:dyDescent="0.25">
      <c r="A119" t="str">
        <f>CONCATENATE("/*",'Allprides '!C120,"*/ ",'Allprides '!F120,'Allprides '!G120,'Allprides '!H120,'Allprides '!L120,'Allprides '!M120,'Allprides '!N120," 1;")</f>
        <v>/*ELI-138*/ 001110 1;</v>
      </c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</row>
    <row r="120" spans="1:23" x14ac:dyDescent="0.25">
      <c r="A120" t="str">
        <f>CONCATENATE("/*",'Allprides '!C121,"*/ ",'Allprides '!F121,'Allprides '!G121,'Allprides '!H121,'Allprides '!L121,'Allprides '!M121,'Allprides '!N121," 1;")</f>
        <v>/*ELI-657*/ 000110 1;</v>
      </c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</row>
    <row r="121" spans="1:23" x14ac:dyDescent="0.25">
      <c r="A121" t="str">
        <f>CONCATENATE("/*",'Allprides '!C122,"*/ ",'Allprides '!F122,'Allprides '!G122,'Allprides '!H122,'Allprides '!L122,'Allprides '!M122,'Allprides '!N122," 1;")</f>
        <v>/*ELI-658*/ 000110 1;</v>
      </c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</row>
    <row r="122" spans="1:23" x14ac:dyDescent="0.25">
      <c r="A122" t="str">
        <f>CONCATENATE("/*",'Allprides '!C123,"*/ ",'Allprides '!F123,'Allprides '!G123,'Allprides '!H123,'Allprides '!L123,'Allprides '!M123,'Allprides '!N123," 1;")</f>
        <v>/*ELI-659*/ 000100 1;</v>
      </c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</row>
    <row r="123" spans="1:23" x14ac:dyDescent="0.25">
      <c r="A123" t="str">
        <f>CONCATENATE("/*",'Allprides '!C124,"*/ ",'Allprides '!F124,'Allprides '!G124,'Allprides '!H124,'Allprides '!L124,'Allprides '!M124,'Allprides '!N124," 1;")</f>
        <v>/*ELI-660*/ 000100 1;</v>
      </c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</row>
    <row r="124" spans="1:23" x14ac:dyDescent="0.25">
      <c r="A124" t="str">
        <f>CONCATENATE("/*",'Allprides '!C125,"*/ ",'Allprides '!F125,'Allprides '!G125,'Allprides '!H125,'Allprides '!L125,'Allprides '!M125,'Allprides '!N125," 1;")</f>
        <v>/*ELI-661*/ 000100 1;</v>
      </c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</row>
    <row r="125" spans="1:23" x14ac:dyDescent="0.25">
      <c r="A125" t="str">
        <f>CONCATENATE("/*",'Allprides '!C126,"*/ ",'Allprides '!F126,'Allprides '!G126,'Allprides '!H126,'Allprides '!L126,'Allprides '!M126,'Allprides '!N126," 1;")</f>
        <v>/*ELI-662*/ 001100 1;</v>
      </c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</row>
    <row r="126" spans="1:23" x14ac:dyDescent="0.25">
      <c r="A126" t="str">
        <f>CONCATENATE("/*",'Allprides '!C127,"*/ ",'Allprides '!F127,'Allprides '!G127,'Allprides '!H127,'Allprides '!L127,'Allprides '!M127,'Allprides '!N127," 1;")</f>
        <v>/*ELI-663*/ 000100 1;</v>
      </c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</row>
    <row r="127" spans="1:23" x14ac:dyDescent="0.25">
      <c r="A127" t="str">
        <f>CONCATENATE("/*",'Allprides '!C128,"*/ ",'Allprides '!F128,'Allprides '!G128,'Allprides '!H128,'Allprides '!L128,'Allprides '!M128,'Allprides '!N128," 1;")</f>
        <v>/*ELI-664*/ 001000 1;</v>
      </c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</row>
    <row r="128" spans="1:23" x14ac:dyDescent="0.25">
      <c r="A128" t="str">
        <f>CONCATENATE("/*",'Allprides '!C129,"*/ ",'Allprides '!F129,'Allprides '!G129,'Allprides '!H129,'Allprides '!L129,'Allprides '!M129,'Allprides '!N129," 1;")</f>
        <v>/*ELI-665*/ 001000 1;</v>
      </c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</row>
    <row r="129" spans="1:23" x14ac:dyDescent="0.25">
      <c r="A129" t="str">
        <f>CONCATENATE("/*",'Allprides '!C130,"*/ ",'Allprides '!F130,'Allprides '!G130,'Allprides '!H130,'Allprides '!L130,'Allprides '!M130,'Allprides '!N130," 1;")</f>
        <v>/*ELI-666*/ 001100 1;</v>
      </c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</row>
    <row r="130" spans="1:23" x14ac:dyDescent="0.25">
      <c r="A130" t="str">
        <f>CONCATENATE("/*",'Allprides '!C131,"*/ ",'Allprides '!F131,'Allprides '!G131,'Allprides '!H131,'Allprides '!L131,'Allprides '!M131,'Allprides '!N131," 1;")</f>
        <v>/*ELI-469*/ 000110 1;</v>
      </c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</row>
    <row r="131" spans="1:23" x14ac:dyDescent="0.25">
      <c r="A131" t="str">
        <f>CONCATENATE("/*",'Allprides '!C132,"*/ ",'Allprides '!F132,'Allprides '!G132,'Allprides '!H132,'Allprides '!L132,'Allprides '!M132,'Allprides '!N132," 1;")</f>
        <v>/*ELI-801*/ 000110 1;</v>
      </c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</row>
    <row r="132" spans="1:23" x14ac:dyDescent="0.25">
      <c r="A132" t="str">
        <f>CONCATENATE("/*",'Allprides '!C133,"*/ ",'Allprides '!F133,'Allprides '!G133,'Allprides '!H133,'Allprides '!L133,'Allprides '!M133,'Allprides '!N133," 1;")</f>
        <v>/*ELI-802*/ 000110 1;</v>
      </c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</row>
    <row r="133" spans="1:23" x14ac:dyDescent="0.25">
      <c r="A133" t="str">
        <f>CONCATENATE("/*",'Allprides '!C134,"*/ ",'Allprides '!F134,'Allprides '!G134,'Allprides '!H134,'Allprides '!L134,'Allprides '!M134,'Allprides '!N134," 1;")</f>
        <v>/*ELI-803*/ 000110 1;</v>
      </c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</row>
    <row r="134" spans="1:23" x14ac:dyDescent="0.25">
      <c r="A134" t="str">
        <f>CONCATENATE("/*",'Allprides '!C135,"*/ ",'Allprides '!F135,'Allprides '!G135,'Allprides '!H135,'Allprides '!L135,'Allprides '!M135,'Allprides '!N135," 1;")</f>
        <v>/*ELI-804*/ 000110 1;</v>
      </c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</row>
    <row r="135" spans="1:23" x14ac:dyDescent="0.25">
      <c r="A135" t="str">
        <f>CONCATENATE("/*",'Allprides '!C136,"*/ ",'Allprides '!F136,'Allprides '!G136,'Allprides '!H136,'Allprides '!L136,'Allprides '!M136,'Allprides '!N136," 1;")</f>
        <v>/*ELI-134*/ 000010 1;</v>
      </c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</row>
    <row r="136" spans="1:23" x14ac:dyDescent="0.25">
      <c r="A136" t="str">
        <f>CONCATENATE("/*",'Allprides '!C137,"*/ ",'Allprides '!F137,'Allprides '!G137,'Allprides '!H137,'Allprides '!L137,'Allprides '!M137,'Allprides '!N137," 1;")</f>
        <v>/*ELI-135*/ 000010 1;</v>
      </c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</row>
    <row r="137" spans="1:23" x14ac:dyDescent="0.25">
      <c r="A137" t="str">
        <f>CONCATENATE("/*",'Allprides '!C138,"*/ ",'Allprides '!F138,'Allprides '!G138,'Allprides '!H138,'Allprides '!L138,'Allprides '!M138,'Allprides '!N138," 1;")</f>
        <v>/*ELI-136*/ 000010 1;</v>
      </c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</row>
    <row r="138" spans="1:23" x14ac:dyDescent="0.25">
      <c r="A138" t="str">
        <f>CONCATENATE("/*",'Allprides '!C139,"*/ ",'Allprides '!F139,'Allprides '!G139,'Allprides '!H139,'Allprides '!L139,'Allprides '!M139,'Allprides '!N139," 1;")</f>
        <v>/*ELI-137*/ 000010 1;</v>
      </c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</row>
    <row r="139" spans="1:23" x14ac:dyDescent="0.25">
      <c r="A139" t="str">
        <f>CONCATENATE("/*",'Allprides '!C140,"*/ ",'Allprides '!F140,'Allprides '!G140,'Allprides '!H140,'Allprides '!L140,'Allprides '!M140,'Allprides '!N140," 1;")</f>
        <v>/*ELI-989*/ 000010 1;</v>
      </c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</row>
    <row r="140" spans="1:23" x14ac:dyDescent="0.25">
      <c r="A140" t="str">
        <f>CONCATENATE("/*",'Allprides '!C141,"*/ ",'Allprides '!F141,'Allprides '!G141,'Allprides '!H141,'Allprides '!L141,'Allprides '!M141,'Allprides '!N141," 1;")</f>
        <v>/*ELI-961*/ 000010 1;</v>
      </c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</row>
    <row r="141" spans="1:23" x14ac:dyDescent="0.25">
      <c r="A141" t="str">
        <f>CONCATENATE("/*",'Allprides '!C142,"*/ ",'Allprides '!F142,'Allprides '!G142,'Allprides '!H142,'Allprides '!L142,'Allprides '!M142,'Allprides '!N142," 1;")</f>
        <v>/*ELI-962*/ 000010 1;</v>
      </c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</row>
    <row r="142" spans="1:23" x14ac:dyDescent="0.25">
      <c r="A142" t="str">
        <f>CONCATENATE("/*",'Allprides '!C143,"*/ ",'Allprides '!F143,'Allprides '!G143,'Allprides '!H143,'Allprides '!L143,'Allprides '!M143,'Allprides '!N143," 1;")</f>
        <v>/*ELI-963*/ 000010 1;</v>
      </c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</row>
    <row r="143" spans="1:23" x14ac:dyDescent="0.25">
      <c r="A143" t="str">
        <f>CONCATENATE("/*",'Allprides '!C144,"*/ ",'Allprides '!F144,'Allprides '!G144,'Allprides '!H144,'Allprides '!L144,'Allprides '!M144,'Allprides '!N144," 1;")</f>
        <v>/*ELI-647*/ 000010 1;</v>
      </c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</row>
    <row r="144" spans="1:23" x14ac:dyDescent="0.25">
      <c r="A144" t="str">
        <f>CONCATENATE("/*",'Allprides '!C145,"*/ ",'Allprides '!F145,'Allprides '!G145,'Allprides '!H145,'Allprides '!L145,'Allprides '!M145,'Allprides '!N145," 1;")</f>
        <v>/*ELI-965*/ 000010 1;</v>
      </c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</row>
    <row r="145" spans="1:23" x14ac:dyDescent="0.25">
      <c r="A145" t="str">
        <f>CONCATENATE("/*",'Allprides '!C146,"*/ ",'Allprides '!F146,'Allprides '!G146,'Allprides '!H146,'Allprides '!L146,'Allprides '!M146,'Allprides '!N146," 1;")</f>
        <v>/*ELI-966*/ 000010 1;</v>
      </c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</row>
    <row r="146" spans="1:23" x14ac:dyDescent="0.25">
      <c r="A146" t="str">
        <f>CONCATENATE("/*",'Allprides '!C147,"*/ ",'Allprides '!F147,'Allprides '!G147,'Allprides '!H147,'Allprides '!L147,'Allprides '!M147,'Allprides '!N147," 1;")</f>
        <v>/*ELI-967*/ 000010 1;</v>
      </c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</row>
    <row r="147" spans="1:23" x14ac:dyDescent="0.25">
      <c r="A147" t="str">
        <f>CONCATENATE("/*",'Allprides '!C148,"*/ ",'Allprides '!F148,'Allprides '!G148,'Allprides '!H148,'Allprides '!L148,'Allprides '!M148,'Allprides '!N148," 1;")</f>
        <v>/*ELI-968*/ 000010 1;</v>
      </c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</row>
    <row r="148" spans="1:23" x14ac:dyDescent="0.25">
      <c r="A148" t="str">
        <f>CONCATENATE("/*",'Allprides '!C149,"*/ ",'Allprides '!F149,'Allprides '!G149,'Allprides '!H149,'Allprides '!L149,'Allprides '!M149,'Allprides '!N149," 1;")</f>
        <v>/*ELI-992*/ 000010 1;</v>
      </c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</row>
    <row r="149" spans="1:23" x14ac:dyDescent="0.25">
      <c r="A149" t="str">
        <f>CONCATENATE("/*",'Allprides '!C150,"*/ ",'Allprides '!F150,'Allprides '!G150,'Allprides '!H150,'Allprides '!L150,'Allprides '!M150,'Allprides '!N150," 1;")</f>
        <v>/*ELI-969*/ 000010 1;</v>
      </c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</row>
    <row r="150" spans="1:23" x14ac:dyDescent="0.25">
      <c r="A150" t="str">
        <f>CONCATENATE("/*",'Allprides '!C151,"*/ ",'Allprides '!F151,'Allprides '!G151,'Allprides '!H151,'Allprides '!L151,'Allprides '!M151,'Allprides '!N151," 1;")</f>
        <v>/*ELI-970*/ 000010 1;</v>
      </c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</row>
    <row r="151" spans="1:23" x14ac:dyDescent="0.25">
      <c r="A151" t="str">
        <f>CONCATENATE("/*",'Allprides '!C152,"*/ ",'Allprides '!F152,'Allprides '!G152,'Allprides '!H152,'Allprides '!L152,'Allprides '!M152,'Allprides '!N152," 1;")</f>
        <v>/*ELI-971*/ 000010 1;</v>
      </c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</row>
    <row r="152" spans="1:23" x14ac:dyDescent="0.25">
      <c r="A152" t="str">
        <f>CONCATENATE("/*",'Allprides '!C153,"*/ ",'Allprides '!F153,'Allprides '!G153,'Allprides '!H153,'Allprides '!L153,'Allprides '!M153,'Allprides '!N153," 1;")</f>
        <v>/*ELI-700*/ 011110 1;</v>
      </c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</row>
    <row r="153" spans="1:23" x14ac:dyDescent="0.25">
      <c r="A153" t="str">
        <f>CONCATENATE("/*",'Allprides '!C154,"*/ ",'Allprides '!F154,'Allprides '!G154,'Allprides '!H154,'Allprides '!L154,'Allprides '!M154,'Allprides '!N154," 1;")</f>
        <v>/*ELI-701*/ 011110 1;</v>
      </c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</row>
    <row r="154" spans="1:23" x14ac:dyDescent="0.25">
      <c r="A154" t="str">
        <f>CONCATENATE("/*",'Allprides '!C155,"*/ ",'Allprides '!F155,'Allprides '!G155,'Allprides '!H155,'Allprides '!L155,'Allprides '!M155,'Allprides '!N155," 1;")</f>
        <v>/*ELI-702*/ 011110 1;</v>
      </c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</row>
    <row r="155" spans="1:23" x14ac:dyDescent="0.25">
      <c r="A155" t="str">
        <f>CONCATENATE("/*",'Allprides '!C156,"*/ ",'Allprides '!F156,'Allprides '!G156,'Allprides '!H156,'Allprides '!L156,'Allprides '!M156,'Allprides '!N156," 1;")</f>
        <v>/*ELI-708*/ 001110 1;</v>
      </c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</row>
    <row r="156" spans="1:23" x14ac:dyDescent="0.25">
      <c r="A156" t="str">
        <f>CONCATENATE("/*",'Allprides '!C157,"*/ ",'Allprides '!F157,'Allprides '!G157,'Allprides '!H157,'Allprides '!L157,'Allprides '!M157,'Allprides '!N157," 1;")</f>
        <v>/*ELI-709*/ 001110 1;</v>
      </c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</row>
    <row r="157" spans="1:23" x14ac:dyDescent="0.25">
      <c r="A157" t="str">
        <f>CONCATENATE("/*",'Allprides '!C158,"*/ ",'Allprides '!F158,'Allprides '!G158,'Allprides '!H158,'Allprides '!L158,'Allprides '!M158,'Allprides '!N158," 1;")</f>
        <v>/*ELI-710*/ 001110 1;</v>
      </c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</row>
    <row r="158" spans="1:23" x14ac:dyDescent="0.25">
      <c r="A158" t="str">
        <f>CONCATENATE("/*",'Allprides '!C159,"*/ ",'Allprides '!F159,'Allprides '!G159,'Allprides '!H159,'Allprides '!L159,'Allprides '!M159,'Allprides '!N159," 1;")</f>
        <v>/*ELI-711*/ 001110 1;</v>
      </c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</row>
    <row r="159" spans="1:23" x14ac:dyDescent="0.25">
      <c r="A159" t="str">
        <f>CONCATENATE("/*",'Allprides '!C160,"*/ ",'Allprides '!F160,'Allprides '!G160,'Allprides '!H160,'Allprides '!L160,'Allprides '!M160,'Allprides '!N160," 1;")</f>
        <v>/*ELI-832*/ 000110 1;</v>
      </c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</row>
    <row r="160" spans="1:23" x14ac:dyDescent="0.25">
      <c r="A160" t="str">
        <f>CONCATENATE("/*",'Allprides '!C161,"*/ ",'Allprides '!F161,'Allprides '!G161,'Allprides '!H161,'Allprides '!L161,'Allprides '!M161,'Allprides '!N161," 1;")</f>
        <v>/*ELI-833*/ 000110 1;</v>
      </c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</row>
    <row r="161" spans="1:23" x14ac:dyDescent="0.25">
      <c r="A161" t="str">
        <f>CONCATENATE("/*",'Allprides '!C162,"*/ ",'Allprides '!F162,'Allprides '!G162,'Allprides '!H162,'Allprides '!L162,'Allprides '!M162,'Allprides '!N162," 1;")</f>
        <v>/*ELI-468*/ 000100 1;</v>
      </c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</row>
    <row r="162" spans="1:23" x14ac:dyDescent="0.25">
      <c r="A162" t="str">
        <f>CONCATENATE("/*",'Allprides '!C163,"*/ ",'Allprides '!F163,'Allprides '!G163,'Allprides '!H163,'Allprides '!L163,'Allprides '!M163,'Allprides '!N163," 1;")</f>
        <v>/*ELI-257*/ 000100 1;</v>
      </c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</row>
    <row r="163" spans="1:23" x14ac:dyDescent="0.25">
      <c r="A163" t="str">
        <f>CONCATENATE("/*",'Allprides '!C164,"*/ ",'Allprides '!F164,'Allprides '!G164,'Allprides '!H164,'Allprides '!L164,'Allprides '!M164,'Allprides '!N164," 1;")</f>
        <v>/*ELI-183*/ 000100 1;</v>
      </c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</row>
    <row r="164" spans="1:23" x14ac:dyDescent="0.25">
      <c r="A164" t="str">
        <f>CONCATENATE("/*",'Allprides '!C165,"*/ ",'Allprides '!F165,'Allprides '!G165,'Allprides '!H165,'Allprides '!L165,'Allprides '!M165,'Allprides '!N165," 1;")</f>
        <v>/*ELI-189*/ 000111 1;</v>
      </c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</row>
    <row r="165" spans="1:23" x14ac:dyDescent="0.25">
      <c r="A165" t="str">
        <f>CONCATENATE("/*",'Allprides '!C166,"*/ ",'Allprides '!F166,'Allprides '!G166,'Allprides '!H166,'Allprides '!L166,'Allprides '!M166,'Allprides '!N166," 1;")</f>
        <v>/*ELI-467*/ 000100 1;</v>
      </c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</row>
    <row r="166" spans="1:23" x14ac:dyDescent="0.25">
      <c r="A166" t="str">
        <f>CONCATENATE("/*",'Allprides '!C167,"*/ ",'Allprides '!F167,'Allprides '!G167,'Allprides '!H167,'Allprides '!L167,'Allprides '!M167,'Allprides '!N167," 1;")</f>
        <v>/*ELI-770*/ 000100 1;</v>
      </c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</row>
    <row r="167" spans="1:23" x14ac:dyDescent="0.25">
      <c r="A167" t="str">
        <f>CONCATENATE("/*",'Allprides '!C168,"*/ ",'Allprides '!F168,'Allprides '!G168,'Allprides '!H168,'Allprides '!L168,'Allprides '!M168,'Allprides '!N168," 1;")</f>
        <v>/*ELI-771*/ 000100 1;</v>
      </c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</row>
    <row r="168" spans="1:23" x14ac:dyDescent="0.25">
      <c r="A168" t="str">
        <f>CONCATENATE("/*",'Allprides '!C169,"*/ ",'Allprides '!F169,'Allprides '!G169,'Allprides '!H169,'Allprides '!L169,'Allprides '!M169,'Allprides '!N169," 1;")</f>
        <v>/*ELI-772*/ 000100 1;</v>
      </c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</row>
    <row r="169" spans="1:23" x14ac:dyDescent="0.25">
      <c r="A169" t="str">
        <f>CONCATENATE("/*",'Allprides '!C170,"*/ ",'Allprides '!F170,'Allprides '!G170,'Allprides '!H170,'Allprides '!L170,'Allprides '!M170,'Allprides '!N170," 1;")</f>
        <v>/*ELI-773*/ 000100 1;</v>
      </c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</row>
    <row r="170" spans="1:23" x14ac:dyDescent="0.25">
      <c r="A170" t="str">
        <f>CONCATENATE("/*",'Allprides '!C171,"*/ ",'Allprides '!F171,'Allprides '!G171,'Allprides '!H171,'Allprides '!L171,'Allprides '!M171,'Allprides '!N171," 1;")</f>
        <v>/*ELI-774*/ 000100 1;</v>
      </c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</row>
    <row r="171" spans="1:23" x14ac:dyDescent="0.25">
      <c r="A171" t="str">
        <f>CONCATENATE("/*",'Allprides '!C172,"*/ ",'Allprides '!F172,'Allprides '!G172,'Allprides '!H172,'Allprides '!L172,'Allprides '!M172,'Allprides '!N172," 1;")</f>
        <v>/*ELI-775*/ 001100 1;</v>
      </c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</row>
    <row r="172" spans="1:23" x14ac:dyDescent="0.25">
      <c r="A172" t="str">
        <f>CONCATENATE("/*",'Allprides '!C173,"*/ ",'Allprides '!F173,'Allprides '!G173,'Allprides '!H173,'Allprides '!L173,'Allprides '!M173,'Allprides '!N173," 1;")</f>
        <v>/*ELI-776*/ 001101 1;</v>
      </c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</row>
    <row r="173" spans="1:23" x14ac:dyDescent="0.25">
      <c r="A173" t="str">
        <f>CONCATENATE("/*",'Allprides '!C174,"*/ ",'Allprides '!F174,'Allprides '!G174,'Allprides '!H174,'Allprides '!L174,'Allprides '!M174,'Allprides '!N174," 1;")</f>
        <v>/*ELI-777*/ 001101 1;</v>
      </c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</row>
    <row r="174" spans="1:23" x14ac:dyDescent="0.25">
      <c r="A174" t="str">
        <f>CONCATENATE("/*",'Allprides '!C175,"*/ ",'Allprides '!F175,'Allprides '!G175,'Allprides '!H175,'Allprides '!L175,'Allprides '!M175,'Allprides '!N175," 1;")</f>
        <v>/*ELI-778*/ 001101 1;</v>
      </c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</row>
    <row r="175" spans="1:23" x14ac:dyDescent="0.25">
      <c r="A175" t="str">
        <f>CONCATENATE("/*",'Allprides '!C176,"*/ ",'Allprides '!F176,'Allprides '!G176,'Allprides '!H176,'Allprides '!L176,'Allprides '!M176,'Allprides '!N176," 1;")</f>
        <v>/*ELI-786*/ 001111 1;</v>
      </c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</row>
    <row r="176" spans="1:23" x14ac:dyDescent="0.25">
      <c r="A176" t="str">
        <f>CONCATENATE("/*",'Allprides '!C177,"*/ ",'Allprides '!F177,'Allprides '!G177,'Allprides '!H177,'Allprides '!L177,'Allprides '!M177,'Allprides '!N177," 1;")</f>
        <v>/*ELI-990*/ 001101 1;</v>
      </c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</row>
    <row r="177" spans="1:23" x14ac:dyDescent="0.25">
      <c r="A177" t="str">
        <f>CONCATENATE("/*",'Allprides '!C178,"*/ ",'Allprides '!F178,'Allprides '!G178,'Allprides '!H178,'Allprides '!L178,'Allprides '!M178,'Allprides '!N178," 1;")</f>
        <v>/*ELI-564*/ 000010 1;</v>
      </c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</row>
    <row r="178" spans="1:23" x14ac:dyDescent="0.25">
      <c r="A178" t="str">
        <f>CONCATENATE("/*",'Allprides '!C179,"*/ ",'Allprides '!F179,'Allprides '!G179,'Allprides '!H179,'Allprides '!L179,'Allprides '!M179,'Allprides '!N179," 1;")</f>
        <v>/*ELI-565*/ 000011 1;</v>
      </c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</row>
    <row r="179" spans="1:23" x14ac:dyDescent="0.25">
      <c r="A179" t="str">
        <f>CONCATENATE("/*",'Allprides '!C180,"*/ ",'Allprides '!F180,'Allprides '!G180,'Allprides '!H180,'Allprides '!L180,'Allprides '!M180,'Allprides '!N180," 1;")</f>
        <v>/*ELI-213*/ 000110 1;</v>
      </c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</row>
    <row r="180" spans="1:23" x14ac:dyDescent="0.25">
      <c r="A180" t="str">
        <f>CONCATENATE("/*",'Allprides '!C181,"*/ ",'Allprides '!F181,'Allprides '!G181,'Allprides '!H181,'Allprides '!L181,'Allprides '!M181,'Allprides '!N181," 1;")</f>
        <v>/*ELI-214*/ 000110 1;</v>
      </c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</row>
    <row r="181" spans="1:23" x14ac:dyDescent="0.25">
      <c r="A181" t="str">
        <f>CONCATENATE("/*",'Allprides '!C182,"*/ ",'Allprides '!F182,'Allprides '!G182,'Allprides '!H182,'Allprides '!L182,'Allprides '!M182,'Allprides '!N182," 1;")</f>
        <v>/*ELI-216*/ 000110 1;</v>
      </c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</row>
    <row r="182" spans="1:23" x14ac:dyDescent="0.25">
      <c r="A182" t="str">
        <f>CONCATENATE("/*",'Allprides '!C183,"*/ ",'Allprides '!F183,'Allprides '!G183,'Allprides '!H183,'Allprides '!L183,'Allprides '!M183,'Allprides '!N183," 1;")</f>
        <v>/*ELI-421*/ 000110 1;</v>
      </c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</row>
    <row r="183" spans="1:23" x14ac:dyDescent="0.25">
      <c r="A183" t="str">
        <f>CONCATENATE("/*",'Allprides '!C184,"*/ ",'Allprides '!F184,'Allprides '!G184,'Allprides '!H184,'Allprides '!L184,'Allprides '!M184,'Allprides '!N184," 1;")</f>
        <v>/*ELI-474*/ 000000 1;</v>
      </c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</row>
    <row r="184" spans="1:23" x14ac:dyDescent="0.25">
      <c r="A184" t="str">
        <f>CONCATENATE("/*",'Allprides '!C185,"*/ ",'Allprides '!F185,'Allprides '!G185,'Allprides '!H185,'Allprides '!L185,'Allprides '!M185,'Allprides '!N185," 1;")</f>
        <v>/*ELI-628*/ 000111 1;</v>
      </c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</row>
    <row r="185" spans="1:23" x14ac:dyDescent="0.25">
      <c r="A185" t="str">
        <f>CONCATENATE("/*",'Allprides '!C186,"*/ ",'Allprides '!F186,'Allprides '!G186,'Allprides '!H186,'Allprides '!L186,'Allprides '!M186,'Allprides '!N186," 1;")</f>
        <v>/*ELI-629*/ 000111 1;</v>
      </c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</row>
    <row r="186" spans="1:23" x14ac:dyDescent="0.25">
      <c r="A186" t="str">
        <f>CONCATENATE("/*",'Allprides '!C187,"*/ ",'Allprides '!F187,'Allprides '!G187,'Allprides '!H187,'Allprides '!L187,'Allprides '!M187,'Allprides '!N187," 1;")</f>
        <v>/*ELI-130*/ 000000 1;</v>
      </c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</row>
    <row r="187" spans="1:23" x14ac:dyDescent="0.25">
      <c r="A187" t="str">
        <f>CONCATENATE("/*",'Allprides '!C188,"*/ ",'Allprides '!F188,'Allprides '!G188,'Allprides '!H188,'Allprides '!L188,'Allprides '!M188,'Allprides '!N188," 1;")</f>
        <v>/*ELI-699*/ 000000 1;</v>
      </c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</row>
    <row r="188" spans="1:23" x14ac:dyDescent="0.25">
      <c r="A188" t="str">
        <f>CONCATENATE("/*",'Allprides '!C189,"*/ ",'Allprides '!F189,'Allprides '!G189,'Allprides '!H189,'Allprides '!L189,'Allprides '!M189,'Allprides '!N189," 1;")</f>
        <v>/*ELI-373*/ 000001 1;</v>
      </c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</row>
    <row r="189" spans="1:23" x14ac:dyDescent="0.25">
      <c r="A189" t="str">
        <f>CONCATENATE("/*",'Allprides '!C190,"*/ ",'Allprides '!F190,'Allprides '!G190,'Allprides '!H190,'Allprides '!L190,'Allprides '!M190,'Allprides '!N190," 1;")</f>
        <v>/*ELI-375*/ 000000 1;</v>
      </c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</row>
    <row r="190" spans="1:23" x14ac:dyDescent="0.25">
      <c r="A190" t="str">
        <f>CONCATENATE("/*",'Allprides '!C191,"*/ ",'Allprides '!F191,'Allprides '!G191,'Allprides '!H191,'Allprides '!L191,'Allprides '!M191,'Allprides '!N191," 1;")</f>
        <v>/*ELI-376*/ 000001 1;</v>
      </c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</row>
    <row r="191" spans="1:23" x14ac:dyDescent="0.25">
      <c r="A191" t="str">
        <f>CONCATENATE("/*",'Allprides '!C192,"*/ ",'Allprides '!F192,'Allprides '!G192,'Allprides '!H192,'Allprides '!L192,'Allprides '!M192,'Allprides '!N192," 1;")</f>
        <v>/*ELI-377*/ 000001 1;</v>
      </c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</row>
    <row r="192" spans="1:23" x14ac:dyDescent="0.25">
      <c r="A192" t="str">
        <f>CONCATENATE("/*",'Allprides '!C193,"*/ ",'Allprides '!F193,'Allprides '!G193,'Allprides '!H193,'Allprides '!L193,'Allprides '!M193,'Allprides '!N193," 1;")</f>
        <v>/*ELI-972*/ 000000 1;</v>
      </c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</row>
    <row r="193" spans="1:23" x14ac:dyDescent="0.25">
      <c r="A193" t="str">
        <f>CONCATENATE("/*",'Allprides '!C194,"*/ ",'Allprides '!F194,'Allprides '!G194,'Allprides '!H194,'Allprides '!L194,'Allprides '!M194,'Allprides '!N194," 1;")</f>
        <v>/*ELI-982*/ 000100 1;</v>
      </c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</row>
    <row r="194" spans="1:23" x14ac:dyDescent="0.25">
      <c r="A194" t="str">
        <f>CONCATENATE("/*",'Allprides '!C195,"*/ ",'Allprides '!F195,'Allprides '!G195,'Allprides '!H195,'Allprides '!L195,'Allprides '!M195,'Allprides '!N195," 1;")</f>
        <v>/*ELI-983*/ 000100 1;</v>
      </c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</row>
    <row r="195" spans="1:23" x14ac:dyDescent="0.25">
      <c r="A195" t="str">
        <f>CONCATENATE("/*",'Allprides '!C196,"*/ ",'Allprides '!F196,'Allprides '!G196,'Allprides '!H196,'Allprides '!L196,'Allprides '!M196,'Allprides '!N196," 1;")</f>
        <v>/*ELI-984*/ 000100 1;</v>
      </c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</row>
    <row r="196" spans="1:23" x14ac:dyDescent="0.25">
      <c r="A196" t="str">
        <f>CONCATENATE("/*",'Allprides '!C197,"*/ ",'Allprides '!F197,'Allprides '!G197,'Allprides '!H197,'Allprides '!L197,'Allprides '!M197,'Allprides '!N197," 1;")</f>
        <v>/*ELI-976*/ 000010 1;</v>
      </c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</row>
    <row r="197" spans="1:23" x14ac:dyDescent="0.25">
      <c r="A197" t="str">
        <f>CONCATENATE("/*",'Allprides '!C198,"*/ ",'Allprides '!F198,'Allprides '!G198,'Allprides '!H198,'Allprides '!L198,'Allprides '!M198,'Allprides '!N198," 1;")</f>
        <v>/*ELI-985*/ 000100 1;</v>
      </c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</row>
    <row r="198" spans="1:23" x14ac:dyDescent="0.25">
      <c r="A198" t="str">
        <f>CONCATENATE("/*",'Allprides '!C199,"*/ ",'Allprides '!F199,'Allprides '!G199,'Allprides '!H199,'Allprides '!L199,'Allprides '!M199,'Allprides '!N199," 1;")</f>
        <v>/*ELI-986*/ 001010 1;</v>
      </c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</row>
    <row r="199" spans="1:23" x14ac:dyDescent="0.25">
      <c r="A199" t="str">
        <f>CONCATENATE("/*",'Allprides '!C200,"*/ ",'Allprides '!F200,'Allprides '!G200,'Allprides '!H200,'Allprides '!L200,'Allprides '!M200,'Allprides '!N200," 1;")</f>
        <v>/*ELI-987*/ 001010 1;</v>
      </c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</row>
    <row r="200" spans="1:23" x14ac:dyDescent="0.25">
      <c r="A200" t="str">
        <f>CONCATENATE("/*",'Allprides '!C201,"*/ ",'Allprides '!F201,'Allprides '!G201,'Allprides '!H201,'Allprides '!L201,'Allprides '!M201,'Allprides '!N201," 1;")</f>
        <v>/*ELI-779*/ 000000 1;</v>
      </c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</row>
    <row r="201" spans="1:23" x14ac:dyDescent="0.25"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</row>
    <row r="202" spans="1:23" x14ac:dyDescent="0.25"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</row>
    <row r="203" spans="1:23" x14ac:dyDescent="0.25"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</row>
    <row r="204" spans="1:23" x14ac:dyDescent="0.25"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</row>
    <row r="205" spans="1:23" x14ac:dyDescent="0.25"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</row>
    <row r="206" spans="1:23" x14ac:dyDescent="0.25"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</row>
    <row r="207" spans="1:23" x14ac:dyDescent="0.25"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</row>
    <row r="208" spans="1:23" x14ac:dyDescent="0.25"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</row>
    <row r="209" spans="4:23" x14ac:dyDescent="0.25"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</row>
    <row r="210" spans="4:23" x14ac:dyDescent="0.25"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</row>
    <row r="211" spans="4:23" x14ac:dyDescent="0.25"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</row>
    <row r="212" spans="4:23" x14ac:dyDescent="0.25"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</row>
    <row r="213" spans="4:23" x14ac:dyDescent="0.25"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</row>
    <row r="214" spans="4:23" x14ac:dyDescent="0.25"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</row>
    <row r="215" spans="4:23" x14ac:dyDescent="0.25"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</row>
    <row r="216" spans="4:23" x14ac:dyDescent="0.25"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</row>
    <row r="217" spans="4:23" x14ac:dyDescent="0.25"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</row>
    <row r="218" spans="4:23" x14ac:dyDescent="0.25"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</row>
    <row r="219" spans="4:23" x14ac:dyDescent="0.25"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</row>
    <row r="220" spans="4:23" x14ac:dyDescent="0.25"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</row>
    <row r="221" spans="4:23" x14ac:dyDescent="0.25"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</row>
    <row r="222" spans="4:23" x14ac:dyDescent="0.25"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</row>
    <row r="223" spans="4:23" x14ac:dyDescent="0.25"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</row>
    <row r="224" spans="4:23" x14ac:dyDescent="0.25"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</row>
    <row r="225" spans="4:23" x14ac:dyDescent="0.25"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</row>
    <row r="226" spans="4:23" x14ac:dyDescent="0.25"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</row>
    <row r="227" spans="4:23" x14ac:dyDescent="0.25"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</row>
    <row r="228" spans="4:23" x14ac:dyDescent="0.25"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</row>
    <row r="229" spans="4:23" x14ac:dyDescent="0.25"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</row>
    <row r="230" spans="4:23" x14ac:dyDescent="0.25"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</row>
    <row r="231" spans="4:23" x14ac:dyDescent="0.25"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</row>
    <row r="232" spans="4:23" x14ac:dyDescent="0.25"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</row>
    <row r="233" spans="4:23" x14ac:dyDescent="0.25"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</row>
    <row r="234" spans="4:23" x14ac:dyDescent="0.25"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</row>
    <row r="235" spans="4:23" x14ac:dyDescent="0.25"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</row>
    <row r="236" spans="4:23" x14ac:dyDescent="0.25"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</row>
    <row r="237" spans="4:23" x14ac:dyDescent="0.25"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</row>
    <row r="238" spans="4:23" x14ac:dyDescent="0.25"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</row>
    <row r="239" spans="4:23" x14ac:dyDescent="0.25"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</row>
    <row r="240" spans="4:23" x14ac:dyDescent="0.25"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</row>
    <row r="241" spans="4:23" x14ac:dyDescent="0.25"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</row>
    <row r="242" spans="4:23" x14ac:dyDescent="0.25"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</row>
    <row r="243" spans="4:23" x14ac:dyDescent="0.25"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</row>
    <row r="244" spans="4:23" x14ac:dyDescent="0.25"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</row>
    <row r="245" spans="4:23" x14ac:dyDescent="0.25"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</row>
    <row r="246" spans="4:23" x14ac:dyDescent="0.25"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</row>
    <row r="247" spans="4:23" x14ac:dyDescent="0.25"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</row>
    <row r="248" spans="4:23" x14ac:dyDescent="0.25"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</row>
    <row r="249" spans="4:23" x14ac:dyDescent="0.25"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</row>
    <row r="250" spans="4:23" x14ac:dyDescent="0.25"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</row>
    <row r="251" spans="4:23" x14ac:dyDescent="0.25"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</row>
    <row r="252" spans="4:23" x14ac:dyDescent="0.25"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</row>
    <row r="253" spans="4:23" x14ac:dyDescent="0.25"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</row>
    <row r="254" spans="4:23" x14ac:dyDescent="0.25"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</row>
    <row r="255" spans="4:23" x14ac:dyDescent="0.25"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</row>
    <row r="256" spans="4:23" x14ac:dyDescent="0.25"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</row>
    <row r="257" spans="4:23" x14ac:dyDescent="0.25"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</row>
    <row r="258" spans="4:23" x14ac:dyDescent="0.25"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</row>
    <row r="259" spans="4:23" x14ac:dyDescent="0.25"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</row>
    <row r="260" spans="4:23" x14ac:dyDescent="0.25"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</row>
    <row r="261" spans="4:23" x14ac:dyDescent="0.25"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</row>
    <row r="262" spans="4:23" x14ac:dyDescent="0.25"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</row>
    <row r="263" spans="4:23" x14ac:dyDescent="0.25"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</row>
    <row r="264" spans="4:23" x14ac:dyDescent="0.25"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</row>
    <row r="265" spans="4:23" x14ac:dyDescent="0.25"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</row>
    <row r="266" spans="4:23" x14ac:dyDescent="0.25"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</row>
    <row r="267" spans="4:23" x14ac:dyDescent="0.25"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</row>
    <row r="268" spans="4:23" x14ac:dyDescent="0.25"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</row>
    <row r="269" spans="4:23" x14ac:dyDescent="0.25"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</row>
    <row r="270" spans="4:23" x14ac:dyDescent="0.25"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</row>
    <row r="271" spans="4:23" x14ac:dyDescent="0.25"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</row>
    <row r="272" spans="4:23" x14ac:dyDescent="0.25"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</row>
    <row r="273" spans="4:23" x14ac:dyDescent="0.25"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</row>
    <row r="274" spans="4:23" x14ac:dyDescent="0.25"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</row>
    <row r="275" spans="4:23" x14ac:dyDescent="0.25"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</row>
    <row r="276" spans="4:23" x14ac:dyDescent="0.25"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</row>
    <row r="277" spans="4:23" x14ac:dyDescent="0.25"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</row>
    <row r="278" spans="4:23" x14ac:dyDescent="0.25"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</row>
    <row r="279" spans="4:23" x14ac:dyDescent="0.25"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</row>
    <row r="280" spans="4:23" x14ac:dyDescent="0.25"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</row>
    <row r="281" spans="4:23" x14ac:dyDescent="0.25"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</row>
    <row r="282" spans="4:23" x14ac:dyDescent="0.25"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</row>
    <row r="283" spans="4:23" x14ac:dyDescent="0.25"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</row>
    <row r="284" spans="4:23" x14ac:dyDescent="0.25"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</row>
    <row r="285" spans="4:23" x14ac:dyDescent="0.25"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</row>
    <row r="286" spans="4:23" x14ac:dyDescent="0.25"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</row>
    <row r="287" spans="4:23" x14ac:dyDescent="0.25"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</row>
    <row r="288" spans="4:23" x14ac:dyDescent="0.25"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</row>
    <row r="289" spans="4:23" x14ac:dyDescent="0.25"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</row>
    <row r="290" spans="4:23" x14ac:dyDescent="0.25"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</row>
    <row r="291" spans="4:23" x14ac:dyDescent="0.25"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</row>
    <row r="292" spans="4:23" x14ac:dyDescent="0.25"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</row>
    <row r="293" spans="4:23" x14ac:dyDescent="0.25"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</row>
    <row r="294" spans="4:23" x14ac:dyDescent="0.25"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</row>
    <row r="295" spans="4:23" x14ac:dyDescent="0.25"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</row>
    <row r="296" spans="4:23" x14ac:dyDescent="0.25"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</row>
    <row r="297" spans="4:23" x14ac:dyDescent="0.25"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</row>
    <row r="298" spans="4:23" x14ac:dyDescent="0.25"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</row>
    <row r="299" spans="4:23" x14ac:dyDescent="0.25"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</row>
    <row r="300" spans="4:23" x14ac:dyDescent="0.25"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</row>
    <row r="301" spans="4:23" x14ac:dyDescent="0.25"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</row>
    <row r="302" spans="4:23" x14ac:dyDescent="0.25"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</row>
    <row r="303" spans="4:23" x14ac:dyDescent="0.25"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</row>
    <row r="304" spans="4:23" x14ac:dyDescent="0.25"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</row>
    <row r="305" spans="4:23" x14ac:dyDescent="0.25"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</row>
    <row r="306" spans="4:23" x14ac:dyDescent="0.25"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</row>
    <row r="307" spans="4:23" x14ac:dyDescent="0.25"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</row>
    <row r="308" spans="4:23" x14ac:dyDescent="0.25"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</row>
    <row r="309" spans="4:23" x14ac:dyDescent="0.25"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</row>
    <row r="310" spans="4:23" x14ac:dyDescent="0.25"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</row>
    <row r="311" spans="4:23" x14ac:dyDescent="0.25"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</row>
    <row r="312" spans="4:23" x14ac:dyDescent="0.25"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</row>
    <row r="313" spans="4:23" x14ac:dyDescent="0.25"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</row>
    <row r="314" spans="4:23" x14ac:dyDescent="0.25"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</row>
    <row r="315" spans="4:23" x14ac:dyDescent="0.25"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</row>
    <row r="316" spans="4:23" x14ac:dyDescent="0.25"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</row>
    <row r="317" spans="4:23" x14ac:dyDescent="0.25"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</row>
    <row r="318" spans="4:23" x14ac:dyDescent="0.25"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</row>
    <row r="319" spans="4:23" x14ac:dyDescent="0.25"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</row>
    <row r="320" spans="4:23" x14ac:dyDescent="0.25"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</row>
    <row r="321" spans="4:23" x14ac:dyDescent="0.25"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</row>
    <row r="322" spans="4:23" x14ac:dyDescent="0.25"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</row>
    <row r="323" spans="4:23" x14ac:dyDescent="0.25"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</row>
    <row r="324" spans="4:23" x14ac:dyDescent="0.25"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</row>
    <row r="325" spans="4:23" x14ac:dyDescent="0.25"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</row>
    <row r="326" spans="4:23" x14ac:dyDescent="0.25"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</row>
    <row r="327" spans="4:23" x14ac:dyDescent="0.25"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</row>
    <row r="328" spans="4:23" x14ac:dyDescent="0.25"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</row>
    <row r="329" spans="4:23" x14ac:dyDescent="0.25"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</row>
    <row r="330" spans="4:23" x14ac:dyDescent="0.25"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</row>
    <row r="331" spans="4:23" x14ac:dyDescent="0.25"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</row>
    <row r="332" spans="4:23" x14ac:dyDescent="0.25"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</row>
    <row r="333" spans="4:23" x14ac:dyDescent="0.25"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</row>
    <row r="334" spans="4:23" x14ac:dyDescent="0.25"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</row>
    <row r="335" spans="4:23" x14ac:dyDescent="0.25"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</row>
    <row r="336" spans="4:23" x14ac:dyDescent="0.25"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</row>
    <row r="337" spans="4:23" x14ac:dyDescent="0.25"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</row>
    <row r="338" spans="4:23" x14ac:dyDescent="0.25"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</row>
    <row r="339" spans="4:23" x14ac:dyDescent="0.25"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</row>
    <row r="340" spans="4:23" x14ac:dyDescent="0.25"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</row>
    <row r="341" spans="4:23" x14ac:dyDescent="0.25"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</row>
    <row r="342" spans="4:23" x14ac:dyDescent="0.25"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</row>
    <row r="343" spans="4:23" x14ac:dyDescent="0.25"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</row>
    <row r="344" spans="4:23" x14ac:dyDescent="0.25"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</row>
    <row r="345" spans="4:23" x14ac:dyDescent="0.25"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</row>
    <row r="346" spans="4:23" x14ac:dyDescent="0.25"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</row>
    <row r="347" spans="4:23" x14ac:dyDescent="0.25"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</row>
    <row r="348" spans="4:23" x14ac:dyDescent="0.25"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</row>
    <row r="349" spans="4:23" x14ac:dyDescent="0.25"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</row>
    <row r="350" spans="4:23" x14ac:dyDescent="0.25"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</row>
    <row r="351" spans="4:23" x14ac:dyDescent="0.25"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</row>
    <row r="352" spans="4:23" x14ac:dyDescent="0.25"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</row>
    <row r="353" spans="4:23" x14ac:dyDescent="0.25"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</row>
    <row r="354" spans="4:23" x14ac:dyDescent="0.25"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</row>
    <row r="355" spans="4:23" x14ac:dyDescent="0.25"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</row>
    <row r="356" spans="4:23" x14ac:dyDescent="0.25"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</row>
    <row r="357" spans="4:23" x14ac:dyDescent="0.25"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</row>
    <row r="358" spans="4:23" x14ac:dyDescent="0.25"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</row>
    <row r="359" spans="4:23" x14ac:dyDescent="0.25"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</row>
    <row r="360" spans="4:23" x14ac:dyDescent="0.25"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</row>
    <row r="361" spans="4:23" x14ac:dyDescent="0.25"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</row>
    <row r="362" spans="4:23" x14ac:dyDescent="0.25"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</row>
    <row r="363" spans="4:23" x14ac:dyDescent="0.25"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</row>
    <row r="364" spans="4:23" x14ac:dyDescent="0.25"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</row>
    <row r="365" spans="4:23" x14ac:dyDescent="0.25"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</row>
    <row r="366" spans="4:23" x14ac:dyDescent="0.25"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</row>
    <row r="367" spans="4:23" x14ac:dyDescent="0.25"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</row>
    <row r="368" spans="4:23" x14ac:dyDescent="0.25"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</row>
    <row r="369" spans="4:23" x14ac:dyDescent="0.25"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</row>
    <row r="370" spans="4:23" x14ac:dyDescent="0.25"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</row>
    <row r="371" spans="4:23" x14ac:dyDescent="0.25"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</row>
    <row r="372" spans="4:23" x14ac:dyDescent="0.25"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</row>
    <row r="373" spans="4:23" x14ac:dyDescent="0.25"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</row>
    <row r="374" spans="4:23" x14ac:dyDescent="0.25"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</row>
    <row r="375" spans="4:23" x14ac:dyDescent="0.25"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</row>
    <row r="376" spans="4:23" x14ac:dyDescent="0.25"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</row>
    <row r="377" spans="4:23" x14ac:dyDescent="0.25"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</row>
    <row r="378" spans="4:23" x14ac:dyDescent="0.25"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</row>
    <row r="379" spans="4:23" x14ac:dyDescent="0.25"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</row>
    <row r="380" spans="4:23" x14ac:dyDescent="0.25"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</row>
    <row r="381" spans="4:23" x14ac:dyDescent="0.25"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</row>
    <row r="382" spans="4:23" x14ac:dyDescent="0.25"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</row>
    <row r="383" spans="4:23" x14ac:dyDescent="0.25"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</row>
    <row r="384" spans="4:23" x14ac:dyDescent="0.25"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</row>
    <row r="385" spans="4:23" x14ac:dyDescent="0.25"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</row>
    <row r="386" spans="4:23" x14ac:dyDescent="0.25"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</row>
    <row r="387" spans="4:23" x14ac:dyDescent="0.25"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</row>
    <row r="388" spans="4:23" x14ac:dyDescent="0.25"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</row>
    <row r="389" spans="4:23" x14ac:dyDescent="0.25"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</row>
    <row r="390" spans="4:23" x14ac:dyDescent="0.25"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</row>
    <row r="391" spans="4:23" x14ac:dyDescent="0.25"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</row>
    <row r="392" spans="4:23" x14ac:dyDescent="0.25"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</row>
    <row r="393" spans="4:23" x14ac:dyDescent="0.25"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</row>
    <row r="394" spans="4:23" x14ac:dyDescent="0.25"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</row>
    <row r="395" spans="4:23" x14ac:dyDescent="0.25"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</row>
    <row r="396" spans="4:23" x14ac:dyDescent="0.25"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</row>
    <row r="397" spans="4:23" x14ac:dyDescent="0.25"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</row>
    <row r="398" spans="4:23" x14ac:dyDescent="0.25"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</row>
    <row r="399" spans="4:23" x14ac:dyDescent="0.25"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</row>
    <row r="400" spans="4:23" x14ac:dyDescent="0.25"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</row>
    <row r="401" spans="4:23" x14ac:dyDescent="0.25"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</row>
    <row r="402" spans="4:23" x14ac:dyDescent="0.25"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</row>
    <row r="403" spans="4:23" x14ac:dyDescent="0.25"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</row>
    <row r="404" spans="4:23" x14ac:dyDescent="0.25"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</row>
    <row r="405" spans="4:23" x14ac:dyDescent="0.25"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</row>
    <row r="406" spans="4:23" x14ac:dyDescent="0.25"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</row>
    <row r="407" spans="4:23" x14ac:dyDescent="0.25"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</row>
    <row r="408" spans="4:23" x14ac:dyDescent="0.25"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</row>
    <row r="409" spans="4:23" x14ac:dyDescent="0.25"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</row>
    <row r="410" spans="4:23" x14ac:dyDescent="0.25"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</row>
    <row r="411" spans="4:23" x14ac:dyDescent="0.25"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</row>
    <row r="412" spans="4:23" x14ac:dyDescent="0.25"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</row>
    <row r="413" spans="4:23" x14ac:dyDescent="0.25"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</row>
    <row r="414" spans="4:23" x14ac:dyDescent="0.25"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</row>
    <row r="415" spans="4:23" x14ac:dyDescent="0.25"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</row>
    <row r="416" spans="4:23" x14ac:dyDescent="0.25"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</row>
    <row r="417" spans="4:23" x14ac:dyDescent="0.25"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</row>
    <row r="418" spans="4:23" x14ac:dyDescent="0.25"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</row>
    <row r="419" spans="4:23" x14ac:dyDescent="0.25"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</row>
    <row r="420" spans="4:23" x14ac:dyDescent="0.25"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</row>
    <row r="421" spans="4:23" x14ac:dyDescent="0.25"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</row>
    <row r="422" spans="4:23" x14ac:dyDescent="0.25"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</row>
    <row r="423" spans="4:23" x14ac:dyDescent="0.25"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</row>
    <row r="424" spans="4:23" x14ac:dyDescent="0.25"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</row>
    <row r="425" spans="4:23" x14ac:dyDescent="0.25"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</row>
    <row r="426" spans="4:23" x14ac:dyDescent="0.25"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</row>
    <row r="427" spans="4:23" x14ac:dyDescent="0.25"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</row>
    <row r="428" spans="4:23" x14ac:dyDescent="0.25"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</row>
    <row r="429" spans="4:23" x14ac:dyDescent="0.25"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</row>
    <row r="430" spans="4:23" x14ac:dyDescent="0.25"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</row>
    <row r="431" spans="4:23" x14ac:dyDescent="0.25"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</row>
    <row r="432" spans="4:23" x14ac:dyDescent="0.25"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</row>
    <row r="433" spans="4:23" x14ac:dyDescent="0.25"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</row>
    <row r="434" spans="4:23" x14ac:dyDescent="0.25"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</row>
    <row r="435" spans="4:23" x14ac:dyDescent="0.25"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</row>
    <row r="436" spans="4:23" x14ac:dyDescent="0.25"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</row>
    <row r="437" spans="4:23" x14ac:dyDescent="0.25"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</row>
    <row r="438" spans="4:23" x14ac:dyDescent="0.25"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</row>
    <row r="439" spans="4:23" x14ac:dyDescent="0.25"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</row>
    <row r="440" spans="4:23" x14ac:dyDescent="0.25"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</row>
    <row r="441" spans="4:23" x14ac:dyDescent="0.25"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</row>
    <row r="442" spans="4:23" x14ac:dyDescent="0.25"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</row>
    <row r="443" spans="4:23" x14ac:dyDescent="0.25"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</row>
    <row r="444" spans="4:23" x14ac:dyDescent="0.25"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</row>
    <row r="445" spans="4:23" x14ac:dyDescent="0.25"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</row>
    <row r="446" spans="4:23" x14ac:dyDescent="0.25"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</row>
    <row r="447" spans="4:23" x14ac:dyDescent="0.25"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</row>
    <row r="448" spans="4:23" x14ac:dyDescent="0.25"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</row>
    <row r="449" spans="4:23" x14ac:dyDescent="0.25"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</row>
    <row r="450" spans="4:23" x14ac:dyDescent="0.25"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</row>
    <row r="451" spans="4:23" x14ac:dyDescent="0.25"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</row>
    <row r="452" spans="4:23" x14ac:dyDescent="0.25"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</row>
    <row r="453" spans="4:23" x14ac:dyDescent="0.25"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</row>
    <row r="454" spans="4:23" x14ac:dyDescent="0.25"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</row>
    <row r="455" spans="4:23" x14ac:dyDescent="0.25"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</row>
    <row r="456" spans="4:23" x14ac:dyDescent="0.25"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</row>
    <row r="457" spans="4:23" x14ac:dyDescent="0.25"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</row>
    <row r="458" spans="4:23" x14ac:dyDescent="0.25"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</row>
    <row r="459" spans="4:23" x14ac:dyDescent="0.25"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</row>
    <row r="460" spans="4:23" x14ac:dyDescent="0.25"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</row>
    <row r="461" spans="4:23" x14ac:dyDescent="0.25"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</row>
    <row r="462" spans="4:23" x14ac:dyDescent="0.25"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</row>
    <row r="463" spans="4:23" x14ac:dyDescent="0.25"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</row>
    <row r="464" spans="4:23" x14ac:dyDescent="0.25"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</row>
    <row r="465" spans="4:23" x14ac:dyDescent="0.25"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</row>
    <row r="466" spans="4:23" x14ac:dyDescent="0.25"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</row>
    <row r="467" spans="4:23" x14ac:dyDescent="0.25"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</row>
    <row r="468" spans="4:23" x14ac:dyDescent="0.25"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</row>
    <row r="469" spans="4:23" x14ac:dyDescent="0.25"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</row>
    <row r="470" spans="4:23" x14ac:dyDescent="0.25"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</row>
    <row r="471" spans="4:23" x14ac:dyDescent="0.25"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</row>
    <row r="472" spans="4:23" x14ac:dyDescent="0.25"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</row>
    <row r="473" spans="4:23" x14ac:dyDescent="0.25"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</row>
    <row r="474" spans="4:23" x14ac:dyDescent="0.25"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</row>
    <row r="475" spans="4:23" x14ac:dyDescent="0.25"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</row>
    <row r="476" spans="4:23" x14ac:dyDescent="0.25"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</row>
    <row r="477" spans="4:23" x14ac:dyDescent="0.25"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BCC</vt:lpstr>
      <vt:lpstr>Allprides </vt:lpstr>
      <vt:lpstr>NHK</vt:lpstr>
      <vt:lpstr>CHM</vt:lpstr>
      <vt:lpstr>LM</vt:lpstr>
      <vt:lpstr>NSN</vt:lpstr>
      <vt:lpstr>Coa</vt:lpstr>
      <vt:lpstr>input_format</vt:lpstr>
      <vt:lpstr>2015_slnp_lion_ch</vt:lpstr>
      <vt:lpstr>2015_slnp_lion_3monRD</vt:lpstr>
      <vt:lpstr>BCC!Print_Area</vt:lpstr>
      <vt:lpstr>NHK!Print_Area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Egil</dc:creator>
  <cp:lastModifiedBy>David</cp:lastModifiedBy>
  <cp:lastPrinted>2013-07-01T12:32:28Z</cp:lastPrinted>
  <dcterms:created xsi:type="dcterms:W3CDTF">2011-04-01T14:46:56Z</dcterms:created>
  <dcterms:modified xsi:type="dcterms:W3CDTF">2017-04-15T20:48:31Z</dcterms:modified>
</cp:coreProperties>
</file>