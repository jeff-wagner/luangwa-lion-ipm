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1770" windowHeight="9050" tabRatio="589" activeTab="9"/>
  </bookViews>
  <sheets>
    <sheet name="BCC" sheetId="1" r:id="rId1"/>
    <sheet name="NHK" sheetId="6" r:id="rId2"/>
    <sheet name="CH" sheetId="7" r:id="rId3"/>
    <sheet name="LM" sheetId="8" r:id="rId4"/>
    <sheet name="NS" sheetId="9" r:id="rId5"/>
    <sheet name="Coa" sheetId="10" r:id="rId6"/>
    <sheet name="pride covariates" sheetId="11" r:id="rId7"/>
    <sheet name="allpride" sheetId="12" r:id="rId8"/>
    <sheet name="input_format" sheetId="13" r:id="rId9"/>
    <sheet name="2013_slnp_lion_ch" sheetId="14" r:id="rId10"/>
    <sheet name="2013_slnp_lion_3monRD" sheetId="15" r:id="rId11"/>
  </sheets>
  <definedNames>
    <definedName name="_xlnm.Print_Area" localSheetId="0">BCC!$A$1:$N$54</definedName>
    <definedName name="_xlnm.Print_Area" localSheetId="1">NHK!$A$1:$P$62</definedName>
  </definedNames>
  <calcPr calcId="162913"/>
</workbook>
</file>

<file path=xl/calcChain.xml><?xml version="1.0" encoding="utf-8"?>
<calcChain xmlns="http://schemas.openxmlformats.org/spreadsheetml/2006/main">
  <c r="A2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" i="13"/>
  <c r="A147" i="15" l="1"/>
  <c r="A148" i="15"/>
  <c r="A138" i="15"/>
  <c r="A139" i="15"/>
  <c r="A140" i="15"/>
  <c r="A141" i="15"/>
  <c r="A142" i="15"/>
  <c r="A143" i="15"/>
  <c r="A144" i="15"/>
  <c r="A145" i="15"/>
  <c r="A146" i="15"/>
  <c r="A128" i="15"/>
  <c r="A129" i="15"/>
  <c r="A130" i="15"/>
  <c r="A131" i="15"/>
  <c r="A132" i="15"/>
  <c r="A133" i="15"/>
  <c r="A134" i="15"/>
  <c r="A135" i="15"/>
  <c r="A136" i="15"/>
  <c r="A137" i="15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" i="15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2" i="12"/>
  <c r="W2" i="12"/>
  <c r="Y2" i="12" s="1"/>
  <c r="Z2" i="12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W148" i="12"/>
  <c r="Y148" i="12" s="1"/>
  <c r="W147" i="12"/>
  <c r="Y147" i="12" s="1"/>
  <c r="W146" i="12"/>
  <c r="Y146" i="12" s="1"/>
  <c r="W145" i="12"/>
  <c r="Y145" i="12" s="1"/>
  <c r="W144" i="12"/>
  <c r="Y144" i="12" s="1"/>
  <c r="W143" i="12"/>
  <c r="Y143" i="12" s="1"/>
  <c r="W142" i="12"/>
  <c r="Y142" i="12" s="1"/>
  <c r="W141" i="12"/>
  <c r="Y141" i="12" s="1"/>
  <c r="W140" i="12"/>
  <c r="Y140" i="12" s="1"/>
  <c r="W139" i="12"/>
  <c r="Y139" i="12" s="1"/>
  <c r="W138" i="12"/>
  <c r="Y138" i="12" s="1"/>
  <c r="W137" i="12"/>
  <c r="Y137" i="12" s="1"/>
  <c r="W136" i="12"/>
  <c r="Y136" i="12" s="1"/>
  <c r="W135" i="12"/>
  <c r="Y135" i="12" s="1"/>
  <c r="W134" i="12"/>
  <c r="Y134" i="12" s="1"/>
  <c r="W133" i="12"/>
  <c r="Y133" i="12" s="1"/>
  <c r="W132" i="12"/>
  <c r="Y132" i="12" s="1"/>
  <c r="W131" i="12"/>
  <c r="Y131" i="12" s="1"/>
  <c r="W130" i="12"/>
  <c r="Y130" i="12" s="1"/>
  <c r="W129" i="12"/>
  <c r="Y129" i="12" s="1"/>
  <c r="W128" i="12"/>
  <c r="Y128" i="12" s="1"/>
  <c r="W127" i="12"/>
  <c r="Y127" i="12" s="1"/>
  <c r="W126" i="12"/>
  <c r="Y126" i="12" s="1"/>
  <c r="W125" i="12"/>
  <c r="Y125" i="12" s="1"/>
  <c r="W124" i="12"/>
  <c r="Y124" i="12" s="1"/>
  <c r="W123" i="12"/>
  <c r="Y123" i="12" s="1"/>
  <c r="W122" i="12"/>
  <c r="Y122" i="12" s="1"/>
  <c r="W121" i="12"/>
  <c r="Y121" i="12" s="1"/>
  <c r="W120" i="12"/>
  <c r="Y120" i="12" s="1"/>
  <c r="W119" i="12"/>
  <c r="Y119" i="12" s="1"/>
  <c r="W118" i="12"/>
  <c r="Y118" i="12" s="1"/>
  <c r="W117" i="12"/>
  <c r="Y117" i="12" s="1"/>
  <c r="W116" i="12"/>
  <c r="Y116" i="12" s="1"/>
  <c r="W115" i="12"/>
  <c r="Y115" i="12" s="1"/>
  <c r="W114" i="12"/>
  <c r="Y114" i="12" s="1"/>
  <c r="W113" i="12"/>
  <c r="Y113" i="12" s="1"/>
  <c r="W112" i="12"/>
  <c r="Y112" i="12" s="1"/>
  <c r="W111" i="12"/>
  <c r="Y111" i="12" s="1"/>
  <c r="W110" i="12"/>
  <c r="Y110" i="12" s="1"/>
  <c r="W109" i="12"/>
  <c r="Y109" i="12" s="1"/>
  <c r="W108" i="12"/>
  <c r="Y108" i="12" s="1"/>
  <c r="W107" i="12"/>
  <c r="Y107" i="12" s="1"/>
  <c r="W106" i="12"/>
  <c r="Y106" i="12" s="1"/>
  <c r="W105" i="12"/>
  <c r="Y105" i="12" s="1"/>
  <c r="W104" i="12"/>
  <c r="Y104" i="12" s="1"/>
  <c r="W103" i="12"/>
  <c r="Y103" i="12" s="1"/>
  <c r="W102" i="12"/>
  <c r="Y102" i="12" s="1"/>
  <c r="W101" i="12"/>
  <c r="Y101" i="12" s="1"/>
  <c r="W100" i="12"/>
  <c r="Y100" i="12" s="1"/>
  <c r="W99" i="12"/>
  <c r="Y99" i="12" s="1"/>
  <c r="W98" i="12"/>
  <c r="Y98" i="12" s="1"/>
  <c r="W97" i="12"/>
  <c r="Y97" i="12" s="1"/>
  <c r="W96" i="12"/>
  <c r="Y96" i="12" s="1"/>
  <c r="W95" i="12"/>
  <c r="Y95" i="12" s="1"/>
  <c r="W94" i="12"/>
  <c r="Y94" i="12" s="1"/>
  <c r="W93" i="12"/>
  <c r="Y93" i="12" s="1"/>
  <c r="W92" i="12"/>
  <c r="Y92" i="12" s="1"/>
  <c r="W91" i="12"/>
  <c r="Y91" i="12" s="1"/>
  <c r="W90" i="12"/>
  <c r="Y90" i="12" s="1"/>
  <c r="W89" i="12"/>
  <c r="Y89" i="12" s="1"/>
  <c r="W88" i="12"/>
  <c r="Y88" i="12" s="1"/>
  <c r="W87" i="12"/>
  <c r="Y87" i="12" s="1"/>
  <c r="W86" i="12"/>
  <c r="Y86" i="12" s="1"/>
  <c r="W85" i="12"/>
  <c r="Y85" i="12" s="1"/>
  <c r="W84" i="12"/>
  <c r="Y84" i="12" s="1"/>
  <c r="W83" i="12"/>
  <c r="Y83" i="12" s="1"/>
  <c r="W82" i="12"/>
  <c r="Y82" i="12" s="1"/>
  <c r="W81" i="12"/>
  <c r="Y81" i="12" s="1"/>
  <c r="W80" i="12"/>
  <c r="Y80" i="12" s="1"/>
  <c r="W79" i="12"/>
  <c r="Y79" i="12" s="1"/>
  <c r="W78" i="12"/>
  <c r="Y78" i="12" s="1"/>
  <c r="W77" i="12"/>
  <c r="Y77" i="12" s="1"/>
  <c r="W76" i="12"/>
  <c r="Y76" i="12" s="1"/>
  <c r="W68" i="12"/>
  <c r="Y68" i="12" s="1"/>
  <c r="W67" i="12"/>
  <c r="Y67" i="12" s="1"/>
  <c r="W66" i="12"/>
  <c r="Y66" i="12" s="1"/>
  <c r="W65" i="12"/>
  <c r="Y65" i="12" s="1"/>
  <c r="W64" i="12"/>
  <c r="Y64" i="12" s="1"/>
  <c r="W63" i="12"/>
  <c r="Y63" i="12" s="1"/>
  <c r="W62" i="12"/>
  <c r="Y62" i="12" s="1"/>
  <c r="W61" i="12"/>
  <c r="Y61" i="12" s="1"/>
  <c r="W60" i="12"/>
  <c r="Y60" i="12" s="1"/>
  <c r="W59" i="12"/>
  <c r="Y59" i="12" s="1"/>
  <c r="W58" i="12"/>
  <c r="Y58" i="12" s="1"/>
  <c r="W57" i="12"/>
  <c r="Y57" i="12" s="1"/>
  <c r="W56" i="12"/>
  <c r="Y56" i="12" s="1"/>
  <c r="W55" i="12"/>
  <c r="Y55" i="12" s="1"/>
  <c r="W54" i="12"/>
  <c r="Y54" i="12" s="1"/>
  <c r="W53" i="12"/>
  <c r="Y53" i="12" s="1"/>
  <c r="W52" i="12"/>
  <c r="Y52" i="12" s="1"/>
  <c r="W51" i="12"/>
  <c r="Y51" i="12" s="1"/>
  <c r="W50" i="12"/>
  <c r="Y50" i="12" s="1"/>
  <c r="W49" i="12"/>
  <c r="Y49" i="12" s="1"/>
  <c r="W48" i="12"/>
  <c r="Y48" i="12" s="1"/>
  <c r="W47" i="12"/>
  <c r="Y47" i="12" s="1"/>
  <c r="W46" i="12"/>
  <c r="Y46" i="12" s="1"/>
  <c r="W45" i="12"/>
  <c r="Y45" i="12" s="1"/>
  <c r="W44" i="12"/>
  <c r="Y44" i="12" s="1"/>
  <c r="W43" i="12"/>
  <c r="Y43" i="12" s="1"/>
  <c r="W42" i="12"/>
  <c r="Y42" i="12" s="1"/>
  <c r="W41" i="12"/>
  <c r="Y41" i="12" s="1"/>
  <c r="W40" i="12"/>
  <c r="Y40" i="12" s="1"/>
  <c r="W39" i="12"/>
  <c r="Y39" i="12" s="1"/>
  <c r="W38" i="12"/>
  <c r="Y38" i="12" s="1"/>
  <c r="W37" i="12"/>
  <c r="Y37" i="12" s="1"/>
  <c r="W36" i="12"/>
  <c r="Y36" i="12" s="1"/>
  <c r="W35" i="12"/>
  <c r="Y35" i="12" s="1"/>
  <c r="W34" i="12"/>
  <c r="Y34" i="12" s="1"/>
  <c r="W33" i="12"/>
  <c r="Y33" i="12" s="1"/>
  <c r="W32" i="12"/>
  <c r="Y32" i="12" s="1"/>
  <c r="W31" i="12"/>
  <c r="Y31" i="12" s="1"/>
  <c r="W30" i="12"/>
  <c r="Y30" i="12" s="1"/>
  <c r="W29" i="12"/>
  <c r="Y29" i="12" s="1"/>
  <c r="W28" i="12"/>
  <c r="Y28" i="12" s="1"/>
  <c r="W27" i="12"/>
  <c r="Y27" i="12" s="1"/>
  <c r="W26" i="12"/>
  <c r="Y26" i="12" s="1"/>
  <c r="W25" i="12"/>
  <c r="Y25" i="12" s="1"/>
  <c r="W24" i="12"/>
  <c r="Y24" i="12" s="1"/>
  <c r="W23" i="12"/>
  <c r="Y23" i="12" s="1"/>
  <c r="W22" i="12"/>
  <c r="Y22" i="12" s="1"/>
  <c r="W21" i="12"/>
  <c r="Y21" i="12" s="1"/>
  <c r="W20" i="12"/>
  <c r="Y20" i="12" s="1"/>
  <c r="W19" i="12"/>
  <c r="Y19" i="12" s="1"/>
  <c r="W18" i="12"/>
  <c r="Y18" i="12" s="1"/>
  <c r="W17" i="12"/>
  <c r="Y17" i="12" s="1"/>
  <c r="W16" i="12"/>
  <c r="Y16" i="12" s="1"/>
  <c r="W15" i="12"/>
  <c r="Y15" i="12" s="1"/>
  <c r="W14" i="12"/>
  <c r="Y14" i="12" s="1"/>
  <c r="W13" i="12"/>
  <c r="Y13" i="12" s="1"/>
  <c r="W12" i="12"/>
  <c r="Y12" i="12" s="1"/>
  <c r="W11" i="12"/>
  <c r="Y11" i="12" s="1"/>
  <c r="W10" i="12"/>
  <c r="Y10" i="12" s="1"/>
  <c r="W9" i="12"/>
  <c r="Y9" i="12" s="1"/>
  <c r="W8" i="12"/>
  <c r="Y8" i="12" s="1"/>
  <c r="W7" i="12"/>
  <c r="Y7" i="12" s="1"/>
  <c r="W6" i="12"/>
  <c r="Y6" i="12" s="1"/>
  <c r="W5" i="12"/>
  <c r="Y5" i="12" s="1"/>
  <c r="W4" i="12"/>
  <c r="Y4" i="12" s="1"/>
  <c r="W3" i="12"/>
  <c r="Y3" i="12" s="1"/>
</calcChain>
</file>

<file path=xl/comments1.xml><?xml version="1.0" encoding="utf-8"?>
<comments xmlns="http://schemas.openxmlformats.org/spreadsheetml/2006/main">
  <authors>
    <author>Zambia Lions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Zambia Lions:</t>
        </r>
        <r>
          <rPr>
            <sz val="9"/>
            <color indexed="81"/>
            <rFont val="Tahoma"/>
            <family val="2"/>
          </rPr>
          <t xml:space="preserve">
This cub died before it could be assigned so I assume it gets assigned a 0 in the male column?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Zambia Lions:</t>
        </r>
        <r>
          <rPr>
            <sz val="9"/>
            <color indexed="81"/>
            <rFont val="Tahoma"/>
            <family val="2"/>
          </rPr>
          <t xml:space="preserve">
Died before they could be sexed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Zambia Lions:</t>
        </r>
        <r>
          <rPr>
            <sz val="9"/>
            <color indexed="81"/>
            <rFont val="Tahoma"/>
            <family val="2"/>
          </rPr>
          <t xml:space="preserve">
Was seen in 2011 at the age of 2 but not in Eli's dataset. </t>
        </r>
      </text>
    </comment>
    <comment ref="A131" authorId="0" shapeId="0">
      <text>
        <r>
          <rPr>
            <b/>
            <sz val="9"/>
            <color indexed="81"/>
            <rFont val="Tahoma"/>
            <family val="2"/>
          </rPr>
          <t>Zambia Lions:</t>
        </r>
        <r>
          <rPr>
            <sz val="9"/>
            <color indexed="81"/>
            <rFont val="Tahoma"/>
            <family val="2"/>
          </rPr>
          <t xml:space="preserve">
Known male but not in Eli's DB</t>
        </r>
      </text>
    </comment>
  </commentList>
</comments>
</file>

<file path=xl/sharedStrings.xml><?xml version="1.0" encoding="utf-8"?>
<sst xmlns="http://schemas.openxmlformats.org/spreadsheetml/2006/main" count="1329" uniqueCount="660">
  <si>
    <t>Group</t>
  </si>
  <si>
    <t>ID</t>
  </si>
  <si>
    <t>ELI-192</t>
  </si>
  <si>
    <t>ELI-193</t>
  </si>
  <si>
    <t>ELI-194</t>
  </si>
  <si>
    <t>ELI-228</t>
  </si>
  <si>
    <t>ELI-398</t>
  </si>
  <si>
    <t>ELI-196</t>
  </si>
  <si>
    <t>ELI-439</t>
  </si>
  <si>
    <t>ELI-440</t>
  </si>
  <si>
    <t>ELI-437</t>
  </si>
  <si>
    <t>ELI-438</t>
  </si>
  <si>
    <t>ELI-441</t>
  </si>
  <si>
    <t>ELI-442</t>
  </si>
  <si>
    <t>ELI-443</t>
  </si>
  <si>
    <t>ELI-236</t>
  </si>
  <si>
    <t>ELI-235</t>
  </si>
  <si>
    <t>ELI-414</t>
  </si>
  <si>
    <t>ELI-415</t>
  </si>
  <si>
    <t>ELI-436</t>
  </si>
  <si>
    <t>ELI-413</t>
  </si>
  <si>
    <t>ELI-493</t>
  </si>
  <si>
    <t>ELI-494</t>
  </si>
  <si>
    <t>Chowo F01</t>
  </si>
  <si>
    <t>Chowo F02</t>
  </si>
  <si>
    <t>Chowo F03</t>
  </si>
  <si>
    <t>Chowo F04</t>
  </si>
  <si>
    <t>Chowo F05</t>
  </si>
  <si>
    <t>Chowo F06</t>
  </si>
  <si>
    <t>ELI-197</t>
  </si>
  <si>
    <t>ELI-198</t>
  </si>
  <si>
    <t>ELI-230</t>
  </si>
  <si>
    <t>ELI-231</t>
  </si>
  <si>
    <t>ELI-232</t>
  </si>
  <si>
    <t>ELI-424</t>
  </si>
  <si>
    <t>ELI-233</t>
  </si>
  <si>
    <t>May</t>
  </si>
  <si>
    <t>Jan</t>
  </si>
  <si>
    <t>Feb</t>
  </si>
  <si>
    <t>Mar</t>
  </si>
  <si>
    <t>Apr</t>
  </si>
  <si>
    <t>Jun</t>
  </si>
  <si>
    <t>Jul</t>
  </si>
  <si>
    <t>Aug</t>
  </si>
  <si>
    <t>Sept</t>
  </si>
  <si>
    <t>Oct</t>
  </si>
  <si>
    <t>Nov</t>
  </si>
  <si>
    <t>Dec</t>
  </si>
  <si>
    <t>Big F09</t>
  </si>
  <si>
    <t>Big Pride 2013 Cub 1</t>
  </si>
  <si>
    <t>Big Pride 2013 Cub 2</t>
  </si>
  <si>
    <t>Big Pride 2013 Cub 3</t>
  </si>
  <si>
    <t>Big Pride 2013 Cub 4</t>
  </si>
  <si>
    <t>Big Pride 2013 Cub 5</t>
  </si>
  <si>
    <t>Big Pride F01</t>
  </si>
  <si>
    <t>Big Pride F02</t>
  </si>
  <si>
    <t>Big Pride F03</t>
  </si>
  <si>
    <t>Big Pride F04</t>
  </si>
  <si>
    <t>Big Pride F05</t>
  </si>
  <si>
    <t>Big Pride F06</t>
  </si>
  <si>
    <t>Big Pride F07</t>
  </si>
  <si>
    <t>Big Pride F08</t>
  </si>
  <si>
    <t>Big Pride F09</t>
  </si>
  <si>
    <t>Big Pride F10</t>
  </si>
  <si>
    <t>Big Pride F12</t>
  </si>
  <si>
    <t>Big Pride M01</t>
  </si>
  <si>
    <t>Big Pride M02</t>
  </si>
  <si>
    <t>Big Pride M03</t>
  </si>
  <si>
    <t>ELI-581</t>
  </si>
  <si>
    <t>ELI-583</t>
  </si>
  <si>
    <t>ELI-584</t>
  </si>
  <si>
    <t>ELI-585</t>
  </si>
  <si>
    <t>ELI-586</t>
  </si>
  <si>
    <t>ELI-587</t>
  </si>
  <si>
    <t>ELI-243</t>
  </si>
  <si>
    <t>ELI-242</t>
  </si>
  <si>
    <t>ELI-225</t>
  </si>
  <si>
    <t>ELI-224</t>
  </si>
  <si>
    <t>ELI-245</t>
  </si>
  <si>
    <t>ELI-223</t>
  </si>
  <si>
    <t>ELI-220</t>
  </si>
  <si>
    <t>ELI-218</t>
  </si>
  <si>
    <t>ELI-143</t>
  </si>
  <si>
    <t>ELI-219</t>
  </si>
  <si>
    <t>ELI-496</t>
  </si>
  <si>
    <t>ELI-227</t>
  </si>
  <si>
    <t>ELI-221</t>
  </si>
  <si>
    <t>ELI-222</t>
  </si>
  <si>
    <t>Chowo U01</t>
  </si>
  <si>
    <t>Chowo U02</t>
  </si>
  <si>
    <t>Chowo U03</t>
  </si>
  <si>
    <t>ELI-523</t>
  </si>
  <si>
    <t>ELI-524</t>
  </si>
  <si>
    <t>ELI-525</t>
  </si>
  <si>
    <t>Chichele F02</t>
  </si>
  <si>
    <t>Chichele F03</t>
  </si>
  <si>
    <t>ELI-554</t>
  </si>
  <si>
    <t>Chichele F04</t>
  </si>
  <si>
    <t>ELI-555</t>
  </si>
  <si>
    <t>Chichele F05</t>
  </si>
  <si>
    <t>ELI-238</t>
  </si>
  <si>
    <t>Chichele M02</t>
  </si>
  <si>
    <t>ELI-556</t>
  </si>
  <si>
    <t>Chichele M03</t>
  </si>
  <si>
    <t>Nsefu F01</t>
  </si>
  <si>
    <t>ELI-173</t>
  </si>
  <si>
    <t>Nsefu F02</t>
  </si>
  <si>
    <t>ELI-174</t>
  </si>
  <si>
    <t>Nsefu F03</t>
  </si>
  <si>
    <t>ELI-247</t>
  </si>
  <si>
    <t>Nsefu F04</t>
  </si>
  <si>
    <t>ELI-248</t>
  </si>
  <si>
    <t>Nsefu F05</t>
  </si>
  <si>
    <t>ELI-249</t>
  </si>
  <si>
    <t>Nsefu F06</t>
  </si>
  <si>
    <t>ELI-250</t>
  </si>
  <si>
    <t>Nsefu F07</t>
  </si>
  <si>
    <t>ELI-462</t>
  </si>
  <si>
    <t>Nsefu F11</t>
  </si>
  <si>
    <t>ELI-378</t>
  </si>
  <si>
    <t>Nsefu F12</t>
  </si>
  <si>
    <t>ELI-463</t>
  </si>
  <si>
    <t>Nsefu F13</t>
  </si>
  <si>
    <t>ELI-515</t>
  </si>
  <si>
    <t>Nsefu M02</t>
  </si>
  <si>
    <t>ELI-373</t>
  </si>
  <si>
    <t>Nsefu M03</t>
  </si>
  <si>
    <t>ELI-375</t>
  </si>
  <si>
    <t>Nsefu M04</t>
  </si>
  <si>
    <t>ELI-377</t>
  </si>
  <si>
    <t>Nsefu M05</t>
  </si>
  <si>
    <t>ELI-376</t>
  </si>
  <si>
    <t>Nsefu M06</t>
  </si>
  <si>
    <t>ELI-464</t>
  </si>
  <si>
    <t>Nsefu M07</t>
  </si>
  <si>
    <t>ELI-553</t>
  </si>
  <si>
    <t>Hot Springs F01</t>
  </si>
  <si>
    <t>ELI-258</t>
  </si>
  <si>
    <t>Hot Springs F02</t>
  </si>
  <si>
    <t>ELI-256</t>
  </si>
  <si>
    <t>Hot Springs F03</t>
  </si>
  <si>
    <t>ELI-466</t>
  </si>
  <si>
    <t>Hot Springs M01</t>
  </si>
  <si>
    <t>ELI-379</t>
  </si>
  <si>
    <t>Kapamba F01</t>
  </si>
  <si>
    <t>ELI-203</t>
  </si>
  <si>
    <t>Kapamba F02</t>
  </si>
  <si>
    <t>ELI-204</t>
  </si>
  <si>
    <t>Kapamba F09</t>
  </si>
  <si>
    <t>ELI-532</t>
  </si>
  <si>
    <t>Kapamba M03</t>
  </si>
  <si>
    <t>ELI-534</t>
  </si>
  <si>
    <t>Kapamba M04</t>
  </si>
  <si>
    <t>ELI-533</t>
  </si>
  <si>
    <t>Kapamba M05</t>
  </si>
  <si>
    <t>ELI-535</t>
  </si>
  <si>
    <t>Kapamba M06</t>
  </si>
  <si>
    <t>ELI-536</t>
  </si>
  <si>
    <t>New Kapamba F03</t>
  </si>
  <si>
    <t>ELI-480</t>
  </si>
  <si>
    <t>2011 Cub U01</t>
  </si>
  <si>
    <t>2011 Cub U02</t>
  </si>
  <si>
    <t>2011 Cub U03</t>
  </si>
  <si>
    <t>2011 Cub U04</t>
  </si>
  <si>
    <t>Chamilandu F01</t>
  </si>
  <si>
    <t>Chamilandu F02</t>
  </si>
  <si>
    <t>Chamilandu F03</t>
  </si>
  <si>
    <t>Chamilandu F05</t>
  </si>
  <si>
    <t>Chamilandu F06</t>
  </si>
  <si>
    <t>Chamilandu F07</t>
  </si>
  <si>
    <t>ELI-405</t>
  </si>
  <si>
    <t>Chamilandu F08</t>
  </si>
  <si>
    <t>ELI-444</t>
  </si>
  <si>
    <t>Chamilandu F09</t>
  </si>
  <si>
    <t>Chamilandu F10</t>
  </si>
  <si>
    <t>Chamilandu F11</t>
  </si>
  <si>
    <t>Chamilandu M03</t>
  </si>
  <si>
    <t>ELI-404</t>
  </si>
  <si>
    <t>Chamilandu Male Cub 01</t>
  </si>
  <si>
    <t>Hollywood Cub 01 '10</t>
  </si>
  <si>
    <t>ELI-400</t>
  </si>
  <si>
    <t>Hollywood Cub 02 '10</t>
  </si>
  <si>
    <t>ELI-401</t>
  </si>
  <si>
    <t>Hollywood F01</t>
  </si>
  <si>
    <t>Hollywood F02</t>
  </si>
  <si>
    <t>Hollywood F03</t>
  </si>
  <si>
    <t>Hollywood F04</t>
  </si>
  <si>
    <t>Hollywood F05</t>
  </si>
  <si>
    <t>Hollywood F06</t>
  </si>
  <si>
    <t>Luwi F01</t>
  </si>
  <si>
    <t>ELI-152</t>
  </si>
  <si>
    <t>Luwi F03</t>
  </si>
  <si>
    <t>ELI-154</t>
  </si>
  <si>
    <t>Luwi F04</t>
  </si>
  <si>
    <t>ELI-155</t>
  </si>
  <si>
    <t>Luwi F08</t>
  </si>
  <si>
    <t>ELI-160</t>
  </si>
  <si>
    <t>Luwi F09</t>
  </si>
  <si>
    <t>ELI-241</t>
  </si>
  <si>
    <t>Luwi F10</t>
  </si>
  <si>
    <t>ELI-369</t>
  </si>
  <si>
    <t>Luwi M05</t>
  </si>
  <si>
    <t>ELI-370</t>
  </si>
  <si>
    <t>Manky Ear</t>
  </si>
  <si>
    <t>ELI-159</t>
  </si>
  <si>
    <t>Luwi M01</t>
  </si>
  <si>
    <t>ELI-158</t>
  </si>
  <si>
    <t>Luwi M02</t>
  </si>
  <si>
    <t>ELI-161</t>
  </si>
  <si>
    <t>Ginger</t>
  </si>
  <si>
    <t>ELI-162</t>
  </si>
  <si>
    <t>Luwi M04</t>
  </si>
  <si>
    <t>ELI-163</t>
  </si>
  <si>
    <t>Mwamba I F01</t>
  </si>
  <si>
    <t>ELI-124</t>
  </si>
  <si>
    <t>Mwamba I F02</t>
  </si>
  <si>
    <t>ELI-125</t>
  </si>
  <si>
    <t>Mwamba I F03</t>
  </si>
  <si>
    <t>ELI-246</t>
  </si>
  <si>
    <t>Mwamba I F04</t>
  </si>
  <si>
    <t>ELI-126</t>
  </si>
  <si>
    <t>Mwamba I F05</t>
  </si>
  <si>
    <t>ELI-127</t>
  </si>
  <si>
    <t>Mwamba I M03</t>
  </si>
  <si>
    <t>ELI-130</t>
  </si>
  <si>
    <t>Mwamba II F01</t>
  </si>
  <si>
    <t>ELI-134</t>
  </si>
  <si>
    <t>Mwamba II F02</t>
  </si>
  <si>
    <t>ELI-135</t>
  </si>
  <si>
    <t>Mwamba II F03</t>
  </si>
  <si>
    <t>ELI-136</t>
  </si>
  <si>
    <t>Mwamba II F05</t>
  </si>
  <si>
    <t>ELI-138</t>
  </si>
  <si>
    <t>Mwamba II F06</t>
  </si>
  <si>
    <t>ELI-139</t>
  </si>
  <si>
    <t>New Mwamba M01</t>
  </si>
  <si>
    <t>ELI-430</t>
  </si>
  <si>
    <t>Nsolo F06</t>
  </si>
  <si>
    <t>ELI-215</t>
  </si>
  <si>
    <t>Nsolo F07</t>
  </si>
  <si>
    <t>ELI-454</t>
  </si>
  <si>
    <t>Nsolo F08</t>
  </si>
  <si>
    <t>ELI-455</t>
  </si>
  <si>
    <t>Nsolo F09</t>
  </si>
  <si>
    <t>ELI-458</t>
  </si>
  <si>
    <t>Nsolo F10</t>
  </si>
  <si>
    <t>ELI-459</t>
  </si>
  <si>
    <t>Nsolo M04</t>
  </si>
  <si>
    <t>ELI-461</t>
  </si>
  <si>
    <t>Nsolo M05</t>
  </si>
  <si>
    <t>ELI-456</t>
  </si>
  <si>
    <t>Nsolo M06</t>
  </si>
  <si>
    <t>ELI-457</t>
  </si>
  <si>
    <t>Nsolo M07</t>
  </si>
  <si>
    <t>ELI-460</t>
  </si>
  <si>
    <t>Nsolo Pride F02</t>
  </si>
  <si>
    <t>ELI-209</t>
  </si>
  <si>
    <t>Nsolo Pride F03</t>
  </si>
  <si>
    <t>ELI-210</t>
  </si>
  <si>
    <t>Nsolo Pride F05</t>
  </si>
  <si>
    <t>ELI-212</t>
  </si>
  <si>
    <t>Saltpan 2011 Cub U01</t>
  </si>
  <si>
    <t>ELI-468</t>
  </si>
  <si>
    <t>Saltpan F01</t>
  </si>
  <si>
    <t>ELI-182</t>
  </si>
  <si>
    <t>Saltpan F03</t>
  </si>
  <si>
    <t>ELI-261</t>
  </si>
  <si>
    <t>Saltpan F04</t>
  </si>
  <si>
    <t>ELI-185</t>
  </si>
  <si>
    <t>Saltpan F06</t>
  </si>
  <si>
    <t>ELI-257</t>
  </si>
  <si>
    <t>Saltpan F07</t>
  </si>
  <si>
    <t>ELI-183</t>
  </si>
  <si>
    <t>Saltpan F08</t>
  </si>
  <si>
    <t>ELI-189</t>
  </si>
  <si>
    <t>Saltpan F09</t>
  </si>
  <si>
    <t>ELI-465</t>
  </si>
  <si>
    <t>Saltpan F10</t>
  </si>
  <si>
    <t>ELI-467</t>
  </si>
  <si>
    <t>Saltpan M02</t>
  </si>
  <si>
    <t>ELI-259</t>
  </si>
  <si>
    <t>Saltpan M04</t>
  </si>
  <si>
    <t>ELI-187</t>
  </si>
  <si>
    <t>Saltpan Coa M02</t>
  </si>
  <si>
    <t>ELI-179</t>
  </si>
  <si>
    <t>Big Pride M04</t>
  </si>
  <si>
    <t>ELI-167</t>
  </si>
  <si>
    <t>Big Pride M05</t>
  </si>
  <si>
    <t>ELI-168</t>
  </si>
  <si>
    <t>Big Pride M06</t>
  </si>
  <si>
    <t>ELI-169</t>
  </si>
  <si>
    <t>Tafika F01</t>
  </si>
  <si>
    <t>ELI-475</t>
  </si>
  <si>
    <t>Tafika M01</t>
  </si>
  <si>
    <t>ELI-476</t>
  </si>
  <si>
    <t>Tafika M02</t>
  </si>
  <si>
    <t>ELI-477</t>
  </si>
  <si>
    <t>Tafika M03</t>
  </si>
  <si>
    <t>ELI-478</t>
  </si>
  <si>
    <t>Tsetse Coa M01</t>
  </si>
  <si>
    <t>ELI-564</t>
  </si>
  <si>
    <t>Tsetse Coa M02</t>
  </si>
  <si>
    <t>ELI-565</t>
  </si>
  <si>
    <t>Nsolo I Coa M02</t>
  </si>
  <si>
    <t>ELI-207</t>
  </si>
  <si>
    <t>Nsolo II Coa M01</t>
  </si>
  <si>
    <t>ELI-213</t>
  </si>
  <si>
    <t>Nsolo II Coa M02</t>
  </si>
  <si>
    <t>ELI-214</t>
  </si>
  <si>
    <t>Nsolo II Coa M03</t>
  </si>
  <si>
    <t>ELI-216</t>
  </si>
  <si>
    <t>Puku Ridge M01</t>
  </si>
  <si>
    <t>ELI-445</t>
  </si>
  <si>
    <t>Puku Ridge M02</t>
  </si>
  <si>
    <t>ELI-267</t>
  </si>
  <si>
    <t>Malama Coa M01</t>
  </si>
  <si>
    <t>ELI-563</t>
  </si>
  <si>
    <t>Mwamba Coa M01</t>
  </si>
  <si>
    <t>ELI-420</t>
  </si>
  <si>
    <t>Scarface</t>
  </si>
  <si>
    <t>ELI-202</t>
  </si>
  <si>
    <t>Kakonje M02</t>
  </si>
  <si>
    <t>ELI-407</t>
  </si>
  <si>
    <t>Lion Plain M01</t>
  </si>
  <si>
    <t>ELI-175</t>
  </si>
  <si>
    <t>Luamfwa F01</t>
  </si>
  <si>
    <t>ELI-562</t>
  </si>
  <si>
    <t>Luamfwa M01</t>
  </si>
  <si>
    <t>ELI-402</t>
  </si>
  <si>
    <t>Limpy</t>
  </si>
  <si>
    <t>ELI-474</t>
  </si>
  <si>
    <t>Shaka</t>
  </si>
  <si>
    <t>ELI-234</t>
  </si>
  <si>
    <t>Nsefu F09</t>
  </si>
  <si>
    <t>ELI-254</t>
  </si>
  <si>
    <t>ELI-590</t>
  </si>
  <si>
    <t>ELI-591</t>
  </si>
  <si>
    <t>ELI-592</t>
  </si>
  <si>
    <t>ELI-593</t>
  </si>
  <si>
    <t>ELI-594</t>
  </si>
  <si>
    <t>ELI-595</t>
  </si>
  <si>
    <t>Big Pride 2013 Cub 6</t>
  </si>
  <si>
    <t>Big Pride 2013 Cub 7</t>
  </si>
  <si>
    <t>Big Pride 2013 Cub 8</t>
  </si>
  <si>
    <t>Big Pride 2013 Cub 9</t>
  </si>
  <si>
    <t>Big Pride 2013 Cub 10</t>
  </si>
  <si>
    <t>Big Pride 2013 Cub 11</t>
  </si>
  <si>
    <t>Hollywood M01</t>
  </si>
  <si>
    <t>April</t>
  </si>
  <si>
    <t>ELI-629</t>
  </si>
  <si>
    <t>Zikomo</t>
  </si>
  <si>
    <t>ELI-779</t>
  </si>
  <si>
    <t>Big Pride</t>
  </si>
  <si>
    <t>ELI-421</t>
  </si>
  <si>
    <t>ELI-226</t>
  </si>
  <si>
    <t>Chowo</t>
  </si>
  <si>
    <t>ELI-495</t>
  </si>
  <si>
    <t>ELI-598</t>
  </si>
  <si>
    <t>ELI-599</t>
  </si>
  <si>
    <t>ELI-699</t>
  </si>
  <si>
    <t>Mwamba I</t>
  </si>
  <si>
    <t>ELI-469</t>
  </si>
  <si>
    <t>ELI-657</t>
  </si>
  <si>
    <t>ELI-658</t>
  </si>
  <si>
    <t>ELI-659</t>
  </si>
  <si>
    <t>ELI-660</t>
  </si>
  <si>
    <t>ELI-661</t>
  </si>
  <si>
    <t>ELI-662</t>
  </si>
  <si>
    <t>ELI-663</t>
  </si>
  <si>
    <t>ELI-664</t>
  </si>
  <si>
    <t>ELI-665</t>
  </si>
  <si>
    <t>ELI-666</t>
  </si>
  <si>
    <t>ELI-697</t>
  </si>
  <si>
    <t>Nsefu</t>
  </si>
  <si>
    <t>ELI-588</t>
  </si>
  <si>
    <t>ELI-589</t>
  </si>
  <si>
    <t>ELI-600</t>
  </si>
  <si>
    <t>ELI-601</t>
  </si>
  <si>
    <t>ELI-701</t>
  </si>
  <si>
    <t>ELI-252</t>
  </si>
  <si>
    <t>ELI-628</t>
  </si>
  <si>
    <t>ELI-702</t>
  </si>
  <si>
    <t>ELI-700</t>
  </si>
  <si>
    <t>Nsolo 2</t>
  </si>
  <si>
    <t>Tafika 2</t>
  </si>
  <si>
    <t>Tafika 1</t>
  </si>
  <si>
    <t xml:space="preserve">Group </t>
  </si>
  <si>
    <t>Mwamba Coa M02</t>
  </si>
  <si>
    <t>Mwamba Coa M03</t>
  </si>
  <si>
    <t>ELI-422</t>
  </si>
  <si>
    <t>New Luwi</t>
  </si>
  <si>
    <t>ELI-612</t>
  </si>
  <si>
    <t>ELI-613</t>
  </si>
  <si>
    <t>ELI-615</t>
  </si>
  <si>
    <t>ELI-616</t>
  </si>
  <si>
    <t>ELI-617</t>
  </si>
  <si>
    <t>ELI-618</t>
  </si>
  <si>
    <t>ELI-425</t>
  </si>
  <si>
    <t>ELI-608</t>
  </si>
  <si>
    <t>ELI-609</t>
  </si>
  <si>
    <t>ELI-611</t>
  </si>
  <si>
    <t>Hot Springs Cub 1</t>
  </si>
  <si>
    <t>Hot Springs Cub 2</t>
  </si>
  <si>
    <t>Hot Springs Cub 3</t>
  </si>
  <si>
    <t>Hollywood F07</t>
  </si>
  <si>
    <t>Hollywood 2013Cub1</t>
  </si>
  <si>
    <t>Hollywood 2013Cub2</t>
  </si>
  <si>
    <t>Hollywood 2013Cub3</t>
  </si>
  <si>
    <t>Hollywood 2013Cub4</t>
  </si>
  <si>
    <t>Hollywood 2013Cub5</t>
  </si>
  <si>
    <t>Hollywood 2013Cub6</t>
  </si>
  <si>
    <t>pride</t>
  </si>
  <si>
    <t>Chichele</t>
  </si>
  <si>
    <t>collared</t>
  </si>
  <si>
    <t>Hot Springs</t>
  </si>
  <si>
    <t>Kapamba</t>
  </si>
  <si>
    <t>Mwamba II</t>
  </si>
  <si>
    <t>Chamilandu</t>
  </si>
  <si>
    <t>Luwi</t>
  </si>
  <si>
    <t>Nsolo</t>
  </si>
  <si>
    <t>Saltpan</t>
  </si>
  <si>
    <t>Saltpan COA</t>
  </si>
  <si>
    <t>Tsetse COA</t>
  </si>
  <si>
    <t>Malama COA</t>
  </si>
  <si>
    <t>Big Pride COA</t>
  </si>
  <si>
    <t>Mwamba COA</t>
  </si>
  <si>
    <t>Tafika COA</t>
  </si>
  <si>
    <t>Tafika 2 COA</t>
  </si>
  <si>
    <t>Nsolo I COA</t>
  </si>
  <si>
    <t>Nsolo II COA</t>
  </si>
  <si>
    <t>Puku Ridge COA</t>
  </si>
  <si>
    <t>Scarface COA</t>
  </si>
  <si>
    <t>Limpy COA</t>
  </si>
  <si>
    <t>Zikomo COA</t>
  </si>
  <si>
    <t>Kakonje COA</t>
  </si>
  <si>
    <t>Luamfwa COA</t>
  </si>
  <si>
    <t>Shak COA</t>
  </si>
  <si>
    <t>New Luwi COA</t>
  </si>
  <si>
    <t>Hollywood</t>
  </si>
  <si>
    <t>Lion Plain COA</t>
  </si>
  <si>
    <t>Mwamba II Cub 01</t>
  </si>
  <si>
    <t>Mwamba II Cub 02</t>
  </si>
  <si>
    <t>Mwamba II Cub 03</t>
  </si>
  <si>
    <t>Mwamba II Cub 04</t>
  </si>
  <si>
    <t>Mwamba II Cub 05</t>
  </si>
  <si>
    <t>Mwamba II Cub 06</t>
  </si>
  <si>
    <t>Mwamba II Cub 07</t>
  </si>
  <si>
    <t>ELI-XX1</t>
  </si>
  <si>
    <t>ELI-XX2</t>
  </si>
  <si>
    <t>ELI-XX3</t>
  </si>
  <si>
    <t>ELI-XX4</t>
  </si>
  <si>
    <t>ELI-XX5</t>
  </si>
  <si>
    <t>ELI-XX6</t>
  </si>
  <si>
    <t>ELI-XX7</t>
  </si>
  <si>
    <t>altname</t>
  </si>
  <si>
    <t>lionid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</si>
  <si>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</si>
  <si>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</si>
  <si>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</si>
  <si>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</si>
  <si>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</si>
  <si>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</si>
  <si>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</si>
  <si>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</si>
  <si>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</si>
  <si>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</si>
  <si>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</si>
  <si>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</si>
  <si>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sexknown</t>
  </si>
  <si>
    <t>sexmale</t>
  </si>
  <si>
    <t>knowndead</t>
  </si>
  <si>
    <t>dobknown</t>
  </si>
  <si>
    <t>monthatfirst</t>
  </si>
  <si>
    <t>ageatfirst</t>
  </si>
  <si>
    <t>yearatfirst</t>
  </si>
  <si>
    <t>Mwamba Coa M03 Ringo</t>
  </si>
  <si>
    <t>Big Pride 2013 Cub 12</t>
  </si>
  <si>
    <t>Hollywood 2013Cub7</t>
  </si>
  <si>
    <t>NA</t>
  </si>
  <si>
    <t>Hollywood 2013Cub8</t>
  </si>
  <si>
    <t>ELI-HW2</t>
  </si>
  <si>
    <t>Mwamba I F06</t>
  </si>
  <si>
    <t>ELI-619</t>
  </si>
  <si>
    <t>collaredgroup</t>
  </si>
  <si>
    <t>sexmale(altenrate m and f if not known)</t>
  </si>
  <si>
    <t>Nchindeni</t>
  </si>
  <si>
    <t>Tena Tena</t>
  </si>
  <si>
    <t>Kakumbi Coa</t>
  </si>
  <si>
    <t>Chinzombo</t>
  </si>
  <si>
    <t>ELI-596</t>
  </si>
  <si>
    <t>ELI-647</t>
  </si>
  <si>
    <t>ELI-648</t>
  </si>
  <si>
    <t>ELI-649</t>
  </si>
  <si>
    <t>ELI-650</t>
  </si>
  <si>
    <t>ELI-651</t>
  </si>
  <si>
    <t>ELI-652</t>
  </si>
  <si>
    <t>ELI-653</t>
  </si>
  <si>
    <t>duplicate of 444</t>
  </si>
  <si>
    <t>ELI-597</t>
  </si>
  <si>
    <t>/*ELI-583*/ 00011111 1;</t>
  </si>
  <si>
    <t>/*ELI-584*/ 00011111 1;</t>
  </si>
  <si>
    <t>/*ELI-585*/ 00011111 1;</t>
  </si>
  <si>
    <t>/*ELI-586*/ 00011111 1;</t>
  </si>
  <si>
    <t>/*ELI-587*/ 00011111 1;</t>
  </si>
  <si>
    <t>/*ELI-590*/ 10011111 1;</t>
  </si>
  <si>
    <t>/*ELI-591*/ 10010000 1;</t>
  </si>
  <si>
    <t>/*ELI-592*/ 10011111 1;</t>
  </si>
  <si>
    <t>/*ELI-593*/ 00011111 1;</t>
  </si>
  <si>
    <t>/*ELI-594*/ 00011110 1;</t>
  </si>
  <si>
    <t>/*ELI-595*/ 00010010 1;</t>
  </si>
  <si>
    <t>/*ELI-596*/ 00010000 1;</t>
  </si>
  <si>
    <t>/*ELI-243*/ 10111111 1;</t>
  </si>
  <si>
    <t>/*ELI-242*/ 00111111 1;</t>
  </si>
  <si>
    <t>/*ELI-224*/ 00101101 1;</t>
  </si>
  <si>
    <t>/*ELI-245*/ 00111111 1;</t>
  </si>
  <si>
    <t>/*ELI-223*/ 00111111 1;</t>
  </si>
  <si>
    <t>/*ELI-220*/ 00111111 1;</t>
  </si>
  <si>
    <t>/*ELI-218*/ 00111111 1;</t>
  </si>
  <si>
    <t>/*ELI-143*/ 00100000 1;</t>
  </si>
  <si>
    <t>/*ELI-219*/ 00111111 1;</t>
  </si>
  <si>
    <t>/*ELI-493*/ 11100111 1;</t>
  </si>
  <si>
    <t>/*ELI-494*/ 11100111 1;</t>
  </si>
  <si>
    <t>/*ELI-598*/ 10100111 1;</t>
  </si>
  <si>
    <t>/*ELI-599*/ 10100111 1;</t>
  </si>
  <si>
    <t>/*ELI-597*/ 10000000 1;</t>
  </si>
  <si>
    <t>/*ELI-523*/ 10100100 1;</t>
  </si>
  <si>
    <t>/*ELI-524*/ 10100111 1;</t>
  </si>
  <si>
    <t>/*ELI-525*/ 10000000 1;</t>
  </si>
  <si>
    <t>/*ELI-236*/ 11110100 1;</t>
  </si>
  <si>
    <t>/*ELI-235*/ 11110110 1;</t>
  </si>
  <si>
    <t>/*ELI-554*/ 11110000 1;</t>
  </si>
  <si>
    <t>/*ELI-555*/ 11110000 1;</t>
  </si>
  <si>
    <t>/*ELI-556*/ 11110000 1;</t>
  </si>
  <si>
    <t>/*ELI-174*/ 01110101 1;</t>
  </si>
  <si>
    <t>/*ELI-247*/ 01100111 1;</t>
  </si>
  <si>
    <t>/*ELI-248*/ 01111111 1;</t>
  </si>
  <si>
    <t>/*ELI-249*/ 00100000 1;</t>
  </si>
  <si>
    <t>/*ELI-250*/ 01101111 1;</t>
  </si>
  <si>
    <t>/*ELI-462*/ 01001011 1;</t>
  </si>
  <si>
    <t>/*ELI-463*/ 00101111 1;</t>
  </si>
  <si>
    <t>/*ELI-515*/ 01000000 1;</t>
  </si>
  <si>
    <t>/*ELI-373*/ 00100111 1;</t>
  </si>
  <si>
    <t>/*ELI-377*/ 01100111 1;</t>
  </si>
  <si>
    <t>/*ELI-376*/ 00110111 1;</t>
  </si>
  <si>
    <t>/*ELI-464*/ 01111011 1;</t>
  </si>
  <si>
    <t>/*ELI-252*/ 01000000 1;</t>
  </si>
  <si>
    <t>/*ELI-553*/ 01111011 1;</t>
  </si>
  <si>
    <t>/*ELI-254*/ 01000000 1;</t>
  </si>
  <si>
    <t>/*ELI-588*/ 01111000 1;</t>
  </si>
  <si>
    <t>/*ELI-589*/ 01111111 1;</t>
  </si>
  <si>
    <t>/*ELI-600*/ 00000011 1;</t>
  </si>
  <si>
    <t>/*ELI-601*/ 00000011 1;</t>
  </si>
  <si>
    <t>/*ELI-608*/ 00010101 1;</t>
  </si>
  <si>
    <t>/*ELI-609*/ 00010101 1;</t>
  </si>
  <si>
    <t>/*ELI-611*/ 00010101 1;</t>
  </si>
  <si>
    <t>/*ELI-256*/ 00010101 1;</t>
  </si>
  <si>
    <t>/*ELI-379*/ 00010101 1;</t>
  </si>
  <si>
    <t>/*ELI-398*/ 00010000 1;</t>
  </si>
  <si>
    <t>/*ELI-233*/ 01000000 1;</t>
  </si>
  <si>
    <t>/*ELI-197*/ 01000110 1;</t>
  </si>
  <si>
    <t>/*ELI-198*/ 00000110 1;</t>
  </si>
  <si>
    <t>/*ELI-230*/ 00000110 1;</t>
  </si>
  <si>
    <t>/*ELI-232*/ 01000000 1;</t>
  </si>
  <si>
    <t>/*ELI-424*/ 01000010 1;</t>
  </si>
  <si>
    <t>/*ELI-612*/ 00000110 1;</t>
  </si>
  <si>
    <t>/*ELI-613*/ 00000110 1;</t>
  </si>
  <si>
    <t>/*ELI-615*/ 00000110 1;</t>
  </si>
  <si>
    <t>/*ELI-616*/ 00000110 1;</t>
  </si>
  <si>
    <t>/*ELI-617*/ 00000110 1;</t>
  </si>
  <si>
    <t>/*ELI-618*/ 00000110 1;</t>
  </si>
  <si>
    <t>/*ELI-619*/ 00000010 1;</t>
  </si>
  <si>
    <t>/*ELI-HW2*/ 00000010 1;</t>
  </si>
  <si>
    <t>/*ELI-155*/ 01001011 1;</t>
  </si>
  <si>
    <t>/*ELI-369*/ 01000011 1;</t>
  </si>
  <si>
    <t>/*ELI-370*/ 01000011 1;</t>
  </si>
  <si>
    <t>/*ELI-159*/ 01000011 1;</t>
  </si>
  <si>
    <t>/*ELI-124*/ 00001001 1;</t>
  </si>
  <si>
    <t>/*ELI-125*/ 00001001 1;</t>
  </si>
  <si>
    <t>/*ELI-126*/ 00001001 1;</t>
  </si>
  <si>
    <t>/*ELI-127*/ 00001001 1;</t>
  </si>
  <si>
    <t>/*ELI-657*/ 00001101 1;</t>
  </si>
  <si>
    <t>/*ELI-658*/ 00000001 1;</t>
  </si>
  <si>
    <t>/*ELI-659*/ 00001001 1;</t>
  </si>
  <si>
    <t>/*ELI-660*/ 00001001 1;</t>
  </si>
  <si>
    <t>/*ELI-661*/ 00001001 1;</t>
  </si>
  <si>
    <t>/*ELI-662*/ 00001001 1;</t>
  </si>
  <si>
    <t>/*ELI-663*/ 00001001 1;</t>
  </si>
  <si>
    <t>/*ELI-664*/ 00001001 1;</t>
  </si>
  <si>
    <t>/*ELI-665*/ 00001001 1;</t>
  </si>
  <si>
    <t>/*ELI-666*/ 00000001 1;</t>
  </si>
  <si>
    <t>/*ELI-697*/ 00000001 1;</t>
  </si>
  <si>
    <t>/*ELI-138*/ 00001101 1;</t>
  </si>
  <si>
    <t>/*ELI-134*/ 00000100 1;</t>
  </si>
  <si>
    <t>/*ELI-135*/ 00000100 1;</t>
  </si>
  <si>
    <t>/*ELI-136*/ 00000100 1;</t>
  </si>
  <si>
    <t>/*ELI-139*/ 00000100 1;</t>
  </si>
  <si>
    <t>/*ELI-647*/ 00001100 1;</t>
  </si>
  <si>
    <t>/*ELI-648*/ 00001000 1;</t>
  </si>
  <si>
    <t>/*ELI-649*/ 00001000 1;</t>
  </si>
  <si>
    <t>/*ELI-650*/ 00001000 1;</t>
  </si>
  <si>
    <t>/*ELI-651*/ 00001000 1;</t>
  </si>
  <si>
    <t>/*ELI-652*/ 00001000 1;</t>
  </si>
  <si>
    <t>/*ELI-653*/ 00001000 1;</t>
  </si>
  <si>
    <t>/*ELI-215*/ 11010000 1;</t>
  </si>
  <si>
    <t>/*ELI-210*/ 11010000 1;</t>
  </si>
  <si>
    <t>/*ELI-700*/ 10001001 1;</t>
  </si>
  <si>
    <t>/*ELI-701*/ 10001001 1;</t>
  </si>
  <si>
    <t>/*ELI-702*/ 10001001 1;</t>
  </si>
  <si>
    <t>/*ELI-421*/ 00001001 1;</t>
  </si>
  <si>
    <t>/*ELI-422*/ 00000000 1;</t>
  </si>
  <si>
    <t>/*ELI-420*/ 00001000 1;</t>
  </si>
  <si>
    <t>/*ELI-628*/ 00001111 1;</t>
  </si>
  <si>
    <t>/*ELI-629*/ 00001111 1;</t>
  </si>
  <si>
    <t>/*ELI-213*/ 10110111 1;</t>
  </si>
  <si>
    <t>/*ELI-214*/ 10111111 1;</t>
  </si>
  <si>
    <t>/*ELI-216*/ 10111111 1;</t>
  </si>
  <si>
    <t>/*ELI-267*/ 10000000 1;</t>
  </si>
  <si>
    <t>/*ELI-562*/ 00000000 1;</t>
  </si>
  <si>
    <t>/*ELI-402*/ 00000000 1;</t>
  </si>
  <si>
    <t>/*ELI-474*/ 01000110 1;</t>
  </si>
  <si>
    <t>/*ELI-234*/ 00100000 1;</t>
  </si>
  <si>
    <t>/*ELI-130*/ 01001000 1;</t>
  </si>
  <si>
    <t>/*ELI-699*/ 11001000 1;</t>
  </si>
  <si>
    <t>/*ELI-779*/ 01001011 1;</t>
  </si>
  <si>
    <t>2011 cub</t>
  </si>
  <si>
    <t>2013 Cub 1 Female</t>
  </si>
  <si>
    <t>2013 Cub 2 Female</t>
  </si>
  <si>
    <t>Old collar female</t>
  </si>
  <si>
    <t>ELI-192F</t>
  </si>
  <si>
    <t>ELI-194F</t>
  </si>
  <si>
    <t>ELI-442F</t>
  </si>
  <si>
    <t>ELI-918F</t>
  </si>
  <si>
    <t>ELI-919F</t>
  </si>
  <si>
    <t>ELI-228F</t>
  </si>
  <si>
    <t>Floppy Coa</t>
  </si>
  <si>
    <t>Floppy Coa M01</t>
  </si>
  <si>
    <t>ELI-972</t>
  </si>
  <si>
    <t>/*ELI-438*/ 00010010 1;</t>
  </si>
  <si>
    <t>/*ELI-444*/ 00010100 1;</t>
  </si>
  <si>
    <t>/*ELI-440*/ 00010010 1;</t>
  </si>
  <si>
    <t>/*ELI-441*/ 00000010 1;</t>
  </si>
  <si>
    <t>/*ELI-972*/ 00000110 1;</t>
  </si>
  <si>
    <t>/*ELI-228*/ 00000010 1;</t>
  </si>
  <si>
    <t>/*ELI-919*/ 00000100 1;</t>
  </si>
  <si>
    <t>/*ELI-918*/ 00000100 1;</t>
  </si>
  <si>
    <t>/*ELI-442*/ 00000110 1;</t>
  </si>
  <si>
    <t>/*ELI-194*/ 00000100 1;</t>
  </si>
  <si>
    <t>/*ELI-192*/ 00000100 1;</t>
  </si>
  <si>
    <t>/*ELI-414*/ 11110111 1;</t>
  </si>
  <si>
    <t>/*ELI-173*/ 01100111 1;</t>
  </si>
  <si>
    <t>/*ELI-378*/ 00111101 1;</t>
  </si>
  <si>
    <t>/*ELI-375*/ 00100111 1;</t>
  </si>
  <si>
    <t>/*ELI-258*/ 10010101 1;</t>
  </si>
  <si>
    <t>/*ELI-231*/ 00010110 1;</t>
  </si>
  <si>
    <t>/*ELI-425*/ 00010110 1;</t>
  </si>
  <si>
    <t>/*ELI-154*/ 11000001 1;</t>
  </si>
  <si>
    <t>/*ELI-209*/ 11000000 1;</t>
  </si>
  <si>
    <t>/*ELI-564*/ 01000111 1;</t>
  </si>
  <si>
    <t>/*ELI-565*/ 01000111 1;</t>
  </si>
  <si>
    <t>/*ELI-175*/ 11100111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</si>
</sst>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3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0" fillId="3" borderId="0" xfId="0" applyFill="1" applyBorder="1"/>
    <xf numFmtId="0" fontId="0" fillId="3" borderId="3" xfId="0" applyFill="1" applyBorder="1"/>
    <xf numFmtId="0" fontId="2" fillId="3" borderId="8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0" fillId="3" borderId="0" xfId="0" applyFill="1"/>
    <xf numFmtId="0" fontId="1" fillId="0" borderId="5" xfId="0" applyFont="1" applyBorder="1" applyAlignment="1">
      <alignment horizontal="center" vertical="center"/>
    </xf>
    <xf numFmtId="0" fontId="0" fillId="3" borderId="19" xfId="0" applyFill="1" applyBorder="1"/>
    <xf numFmtId="0" fontId="0" fillId="0" borderId="0" xfId="0" applyBorder="1"/>
    <xf numFmtId="0" fontId="0" fillId="0" borderId="13" xfId="0" applyBorder="1"/>
    <xf numFmtId="0" fontId="3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0" fillId="3" borderId="5" xfId="0" applyFill="1" applyBorder="1"/>
    <xf numFmtId="0" fontId="3" fillId="0" borderId="11" xfId="0" applyFont="1" applyBorder="1" applyAlignment="1"/>
    <xf numFmtId="0" fontId="1" fillId="0" borderId="18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" fillId="0" borderId="26" xfId="0" applyFont="1" applyBorder="1" applyAlignment="1"/>
    <xf numFmtId="0" fontId="1" fillId="0" borderId="29" xfId="0" applyFont="1" applyBorder="1" applyAlignment="1"/>
    <xf numFmtId="0" fontId="1" fillId="0" borderId="27" xfId="0" applyFont="1" applyBorder="1" applyAlignment="1"/>
    <xf numFmtId="0" fontId="0" fillId="0" borderId="0" xfId="0" applyAlignment="1"/>
    <xf numFmtId="0" fontId="0" fillId="3" borderId="3" xfId="0" applyNumberFormat="1" applyFill="1" applyBorder="1"/>
    <xf numFmtId="0" fontId="2" fillId="0" borderId="3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0" fillId="3" borderId="28" xfId="0" applyFill="1" applyBorder="1"/>
    <xf numFmtId="0" fontId="4" fillId="4" borderId="3" xfId="0" applyFont="1" applyFill="1" applyBorder="1"/>
    <xf numFmtId="0" fontId="0" fillId="3" borderId="18" xfId="0" applyFill="1" applyBorder="1"/>
    <xf numFmtId="0" fontId="0" fillId="3" borderId="30" xfId="0" applyFill="1" applyBorder="1"/>
    <xf numFmtId="0" fontId="3" fillId="0" borderId="26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4" fillId="4" borderId="0" xfId="0" applyFont="1" applyFill="1" applyBorder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3" borderId="3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3" borderId="31" xfId="0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Fill="1" applyBorder="1"/>
    <xf numFmtId="0" fontId="0" fillId="0" borderId="0" xfId="0" applyFill="1"/>
    <xf numFmtId="14" fontId="0" fillId="0" borderId="0" xfId="0" applyNumberFormat="1"/>
    <xf numFmtId="0" fontId="0" fillId="0" borderId="0" xfId="0" applyNumberFormat="1"/>
    <xf numFmtId="0" fontId="0" fillId="0" borderId="0" xfId="0" applyNumberFormat="1" applyFill="1"/>
    <xf numFmtId="0" fontId="6" fillId="0" borderId="0" xfId="0" applyFont="1" applyFill="1"/>
    <xf numFmtId="0" fontId="9" fillId="0" borderId="0" xfId="0" applyFont="1" applyAlignment="1">
      <alignment vertical="center"/>
    </xf>
    <xf numFmtId="49" fontId="0" fillId="0" borderId="0" xfId="0" applyNumberFormat="1" applyFill="1" applyAlignment="1">
      <alignment horizontal="left"/>
    </xf>
    <xf numFmtId="0" fontId="0" fillId="5" borderId="0" xfId="0" applyFill="1"/>
    <xf numFmtId="0" fontId="0" fillId="5" borderId="3" xfId="0" applyFont="1" applyFill="1" applyBorder="1"/>
    <xf numFmtId="0" fontId="0" fillId="5" borderId="3" xfId="0" applyFill="1" applyBorder="1"/>
    <xf numFmtId="0" fontId="2" fillId="5" borderId="3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5" borderId="19" xfId="0" applyFont="1" applyFill="1" applyBorder="1" applyAlignment="1">
      <alignment horizontal="right" vertical="center"/>
    </xf>
    <xf numFmtId="0" fontId="10" fillId="5" borderId="0" xfId="1" applyFill="1" applyBorder="1"/>
    <xf numFmtId="0" fontId="0" fillId="5" borderId="0" xfId="0" applyFill="1" applyBorder="1"/>
    <xf numFmtId="0" fontId="0" fillId="0" borderId="0" xfId="0" applyFont="1" applyFill="1"/>
    <xf numFmtId="0" fontId="0" fillId="5" borderId="0" xfId="0" applyFont="1" applyFill="1"/>
    <xf numFmtId="0" fontId="0" fillId="6" borderId="0" xfId="0" applyFill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zoomScaleNormal="100" zoomScaleSheetLayoutView="70" workbookViewId="0">
      <selection activeCell="C58" sqref="C58"/>
    </sheetView>
  </sheetViews>
  <sheetFormatPr defaultColWidth="9.08984375" defaultRowHeight="11.15" customHeight="1" x14ac:dyDescent="0.35"/>
  <cols>
    <col min="1" max="1" width="28.90625" style="17" customWidth="1"/>
    <col min="2" max="2" width="9.90625" style="17" bestFit="1" customWidth="1"/>
    <col min="3" max="3" width="7.453125" style="17" customWidth="1"/>
    <col min="4" max="4" width="5.90625" style="17" customWidth="1"/>
    <col min="5" max="5" width="5.08984375" style="17" customWidth="1"/>
    <col min="6" max="6" width="5.453125" style="17" customWidth="1"/>
    <col min="7" max="7" width="6.90625" style="17" customWidth="1"/>
    <col min="8" max="8" width="7.54296875" style="17" customWidth="1"/>
    <col min="9" max="9" width="7.08984375" style="17" customWidth="1"/>
    <col min="10" max="10" width="5.90625" style="17" customWidth="1"/>
    <col min="11" max="11" width="6.453125" style="17" customWidth="1"/>
    <col min="12" max="12" width="6.90625" style="17" customWidth="1"/>
    <col min="13" max="13" width="6" style="17" customWidth="1"/>
    <col min="14" max="14" width="5.90625" style="17" customWidth="1"/>
    <col min="15" max="15" width="9.08984375" style="4" customWidth="1"/>
    <col min="16" max="16384" width="9.08984375" style="4"/>
  </cols>
  <sheetData>
    <row r="1" spans="1:14" ht="15.75" customHeight="1" thickBot="1" x14ac:dyDescent="0.4">
      <c r="A1" s="25"/>
      <c r="B1" s="26"/>
      <c r="C1" s="59" t="s">
        <v>37</v>
      </c>
      <c r="D1" s="64" t="s">
        <v>38</v>
      </c>
      <c r="E1" s="64" t="s">
        <v>39</v>
      </c>
      <c r="F1" s="65" t="s">
        <v>40</v>
      </c>
      <c r="G1" s="64" t="s">
        <v>36</v>
      </c>
      <c r="H1" s="64" t="s">
        <v>41</v>
      </c>
      <c r="I1" s="66" t="s">
        <v>42</v>
      </c>
      <c r="J1" s="66" t="s">
        <v>43</v>
      </c>
      <c r="K1" s="66" t="s">
        <v>44</v>
      </c>
      <c r="L1" s="66" t="s">
        <v>45</v>
      </c>
      <c r="M1" s="64" t="s">
        <v>46</v>
      </c>
      <c r="N1" s="66" t="s">
        <v>47</v>
      </c>
    </row>
    <row r="2" spans="1:14" ht="15.75" customHeight="1" thickBot="1" x14ac:dyDescent="0.4">
      <c r="A2" s="30" t="s">
        <v>0</v>
      </c>
      <c r="B2" s="32" t="s">
        <v>1</v>
      </c>
      <c r="C2" s="2"/>
      <c r="D2" s="2"/>
      <c r="E2" s="2"/>
      <c r="F2" s="2"/>
      <c r="G2" s="2"/>
      <c r="H2" s="2"/>
      <c r="I2" s="2"/>
      <c r="J2" s="74"/>
      <c r="K2" s="2"/>
      <c r="L2" s="2"/>
      <c r="M2" s="22"/>
      <c r="N2" s="73"/>
    </row>
    <row r="3" spans="1:14" ht="15.75" customHeight="1" thickBot="1" x14ac:dyDescent="0.4">
      <c r="A3" s="43" t="s">
        <v>48</v>
      </c>
      <c r="B3" s="43" t="s">
        <v>68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5">
        <v>0</v>
      </c>
      <c r="K3" s="7">
        <v>0</v>
      </c>
      <c r="L3" s="7">
        <v>0</v>
      </c>
      <c r="M3" s="7">
        <v>0</v>
      </c>
      <c r="N3" s="73">
        <v>0</v>
      </c>
    </row>
    <row r="4" spans="1:14" ht="15.75" customHeight="1" thickBot="1" x14ac:dyDescent="0.4">
      <c r="A4" s="43" t="s">
        <v>49</v>
      </c>
      <c r="B4" s="43" t="s">
        <v>69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1</v>
      </c>
      <c r="J4" s="75">
        <v>1</v>
      </c>
      <c r="K4" s="7">
        <v>1</v>
      </c>
      <c r="L4" s="7">
        <v>1</v>
      </c>
      <c r="M4" s="7">
        <v>1</v>
      </c>
      <c r="N4" s="73">
        <v>1</v>
      </c>
    </row>
    <row r="5" spans="1:14" ht="15.75" customHeight="1" thickBot="1" x14ac:dyDescent="0.4">
      <c r="A5" s="43" t="s">
        <v>50</v>
      </c>
      <c r="B5" s="43" t="s">
        <v>70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5">
        <v>1</v>
      </c>
      <c r="K5" s="7">
        <v>1</v>
      </c>
      <c r="L5" s="7">
        <v>1</v>
      </c>
      <c r="M5" s="7">
        <v>1</v>
      </c>
      <c r="N5" s="73">
        <v>1</v>
      </c>
    </row>
    <row r="6" spans="1:14" ht="15.75" customHeight="1" thickBot="1" x14ac:dyDescent="0.4">
      <c r="A6" s="43" t="s">
        <v>51</v>
      </c>
      <c r="B6" s="43" t="s">
        <v>71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1</v>
      </c>
      <c r="J6" s="75">
        <v>1</v>
      </c>
      <c r="K6" s="7">
        <v>1</v>
      </c>
      <c r="L6" s="7">
        <v>1</v>
      </c>
      <c r="M6" s="7">
        <v>1</v>
      </c>
      <c r="N6" s="73">
        <v>1</v>
      </c>
    </row>
    <row r="7" spans="1:14" s="10" customFormat="1" ht="15.75" customHeight="1" thickBot="1" x14ac:dyDescent="0.4">
      <c r="A7" s="43" t="s">
        <v>52</v>
      </c>
      <c r="B7" s="43" t="s">
        <v>72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1</v>
      </c>
      <c r="J7" s="75">
        <v>1</v>
      </c>
      <c r="K7" s="7">
        <v>1</v>
      </c>
      <c r="L7" s="7">
        <v>1</v>
      </c>
      <c r="M7" s="7">
        <v>1</v>
      </c>
      <c r="N7" s="73">
        <v>1</v>
      </c>
    </row>
    <row r="8" spans="1:14" s="16" customFormat="1" ht="15.75" customHeight="1" thickBot="1" x14ac:dyDescent="0.4">
      <c r="A8" s="43" t="s">
        <v>53</v>
      </c>
      <c r="B8" s="43" t="s">
        <v>73</v>
      </c>
      <c r="C8" s="7">
        <v>0</v>
      </c>
      <c r="D8" s="7"/>
      <c r="E8" s="7">
        <v>0</v>
      </c>
      <c r="F8" s="7">
        <v>0</v>
      </c>
      <c r="G8" s="7">
        <v>0</v>
      </c>
      <c r="H8" s="7">
        <v>0</v>
      </c>
      <c r="I8" s="7">
        <v>1</v>
      </c>
      <c r="J8" s="75">
        <v>1</v>
      </c>
      <c r="K8" s="7">
        <v>1</v>
      </c>
      <c r="L8" s="7">
        <v>1</v>
      </c>
      <c r="M8" s="7">
        <v>1</v>
      </c>
      <c r="N8" s="73">
        <v>1</v>
      </c>
    </row>
    <row r="9" spans="1:14" s="16" customFormat="1" ht="15.75" customHeight="1" thickBot="1" x14ac:dyDescent="0.4">
      <c r="A9" s="43" t="s">
        <v>341</v>
      </c>
      <c r="B9" s="43" t="s">
        <v>335</v>
      </c>
      <c r="C9" s="7">
        <v>0</v>
      </c>
      <c r="D9" s="7">
        <v>0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5">
        <v>1</v>
      </c>
      <c r="K9" s="7">
        <v>1</v>
      </c>
      <c r="L9" s="7">
        <v>1</v>
      </c>
      <c r="M9" s="7">
        <v>1</v>
      </c>
      <c r="N9" s="73">
        <v>1</v>
      </c>
    </row>
    <row r="10" spans="1:14" s="16" customFormat="1" ht="15.75" customHeight="1" thickBot="1" x14ac:dyDescent="0.4">
      <c r="A10" s="43" t="s">
        <v>342</v>
      </c>
      <c r="B10" s="43" t="s">
        <v>336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5">
        <v>1</v>
      </c>
      <c r="K10" s="7">
        <v>1</v>
      </c>
      <c r="L10" s="7">
        <v>1</v>
      </c>
      <c r="M10" s="7">
        <v>1</v>
      </c>
      <c r="N10" s="73">
        <v>1</v>
      </c>
    </row>
    <row r="11" spans="1:14" s="16" customFormat="1" ht="15.75" customHeight="1" thickBot="1" x14ac:dyDescent="0.4">
      <c r="A11" s="43" t="s">
        <v>343</v>
      </c>
      <c r="B11" s="43" t="s">
        <v>337</v>
      </c>
      <c r="C11" s="7">
        <v>0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1</v>
      </c>
      <c r="J11" s="75">
        <v>1</v>
      </c>
      <c r="K11" s="7">
        <v>1</v>
      </c>
      <c r="L11" s="7">
        <v>1</v>
      </c>
      <c r="M11" s="7">
        <v>1</v>
      </c>
      <c r="N11" s="73">
        <v>1</v>
      </c>
    </row>
    <row r="12" spans="1:14" s="16" customFormat="1" ht="15.75" customHeight="1" thickBot="1" x14ac:dyDescent="0.4">
      <c r="A12" s="43" t="s">
        <v>344</v>
      </c>
      <c r="B12" s="43" t="s">
        <v>338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5">
        <v>1</v>
      </c>
      <c r="K12" s="7">
        <v>1</v>
      </c>
      <c r="L12" s="7">
        <v>1</v>
      </c>
      <c r="M12" s="7">
        <v>1</v>
      </c>
      <c r="N12" s="73">
        <v>1</v>
      </c>
    </row>
    <row r="13" spans="1:14" s="16" customFormat="1" ht="15.75" customHeight="1" thickBot="1" x14ac:dyDescent="0.4">
      <c r="A13" s="43" t="s">
        <v>345</v>
      </c>
      <c r="B13" s="43" t="s">
        <v>339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5">
        <v>1</v>
      </c>
      <c r="K13" s="7">
        <v>1</v>
      </c>
      <c r="L13" s="7">
        <v>1</v>
      </c>
      <c r="M13" s="7">
        <v>0</v>
      </c>
      <c r="N13" s="73">
        <v>1</v>
      </c>
    </row>
    <row r="14" spans="1:14" s="16" customFormat="1" ht="15.75" customHeight="1" thickBot="1" x14ac:dyDescent="0.4">
      <c r="A14" s="43" t="s">
        <v>346</v>
      </c>
      <c r="B14" s="43" t="s">
        <v>340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5">
        <v>0</v>
      </c>
      <c r="K14" s="7">
        <v>0</v>
      </c>
      <c r="L14" s="7">
        <v>1</v>
      </c>
      <c r="M14" s="7">
        <v>0</v>
      </c>
      <c r="N14" s="73">
        <v>1</v>
      </c>
    </row>
    <row r="15" spans="1:14" ht="15.75" customHeight="1" thickBot="1" x14ac:dyDescent="0.4">
      <c r="A15" s="43" t="s">
        <v>54</v>
      </c>
      <c r="B15" s="43" t="s">
        <v>74</v>
      </c>
      <c r="C15" s="7">
        <v>0</v>
      </c>
      <c r="D15" s="7">
        <v>0</v>
      </c>
      <c r="E15" s="7">
        <v>0</v>
      </c>
      <c r="F15" s="7">
        <v>1</v>
      </c>
      <c r="G15" s="7">
        <v>0</v>
      </c>
      <c r="H15" s="7">
        <v>1</v>
      </c>
      <c r="I15" s="7">
        <v>1</v>
      </c>
      <c r="J15" s="75">
        <v>1</v>
      </c>
      <c r="K15" s="7">
        <v>1</v>
      </c>
      <c r="L15" s="7">
        <v>1</v>
      </c>
      <c r="M15" s="7">
        <v>1</v>
      </c>
      <c r="N15" s="73">
        <v>1</v>
      </c>
    </row>
    <row r="16" spans="1:14" ht="15.75" customHeight="1" thickBot="1" x14ac:dyDescent="0.4">
      <c r="A16" s="43" t="s">
        <v>55</v>
      </c>
      <c r="B16" s="43" t="s">
        <v>75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1</v>
      </c>
      <c r="I16" s="7">
        <v>1</v>
      </c>
      <c r="J16" s="75">
        <v>1</v>
      </c>
      <c r="K16" s="7">
        <v>1</v>
      </c>
      <c r="L16" s="7">
        <v>1</v>
      </c>
      <c r="M16" s="7">
        <v>1</v>
      </c>
      <c r="N16" s="73">
        <v>1</v>
      </c>
    </row>
    <row r="17" spans="1:14" ht="15.75" customHeight="1" thickBot="1" x14ac:dyDescent="0.4">
      <c r="A17" s="43" t="s">
        <v>352</v>
      </c>
      <c r="B17" s="43" t="s">
        <v>354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5">
        <v>0</v>
      </c>
      <c r="K17" s="7">
        <v>0</v>
      </c>
      <c r="L17" s="7">
        <v>0</v>
      </c>
      <c r="M17" s="7">
        <v>0</v>
      </c>
      <c r="N17" s="73">
        <v>0</v>
      </c>
    </row>
    <row r="18" spans="1:14" ht="15.75" customHeight="1" thickBot="1" x14ac:dyDescent="0.4">
      <c r="A18" s="43" t="s">
        <v>56</v>
      </c>
      <c r="B18" s="43" t="s">
        <v>76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5">
        <v>0</v>
      </c>
      <c r="K18" s="7">
        <v>0</v>
      </c>
      <c r="L18" s="7">
        <v>0</v>
      </c>
      <c r="M18" s="7">
        <v>0</v>
      </c>
      <c r="N18" s="73">
        <v>0</v>
      </c>
    </row>
    <row r="19" spans="1:14" ht="15.75" customHeight="1" thickBot="1" x14ac:dyDescent="0.4">
      <c r="A19" s="43" t="s">
        <v>57</v>
      </c>
      <c r="B19" s="43" t="s">
        <v>77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</v>
      </c>
      <c r="I19" s="7">
        <v>0</v>
      </c>
      <c r="J19" s="75">
        <v>1</v>
      </c>
      <c r="K19" s="7">
        <v>1</v>
      </c>
      <c r="L19" s="7"/>
      <c r="M19" s="7">
        <v>1</v>
      </c>
      <c r="N19" s="73">
        <v>0</v>
      </c>
    </row>
    <row r="20" spans="1:14" ht="15.75" customHeight="1" thickBot="1" x14ac:dyDescent="0.4">
      <c r="A20" s="43" t="s">
        <v>58</v>
      </c>
      <c r="B20" s="43" t="s">
        <v>78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1</v>
      </c>
      <c r="J20" s="75">
        <v>1</v>
      </c>
      <c r="K20" s="7">
        <v>1</v>
      </c>
      <c r="L20" s="7">
        <v>1</v>
      </c>
      <c r="M20" s="7">
        <v>1</v>
      </c>
      <c r="N20" s="73">
        <v>1</v>
      </c>
    </row>
    <row r="21" spans="1:14" ht="15.75" customHeight="1" thickBot="1" x14ac:dyDescent="0.4">
      <c r="A21" s="43" t="s">
        <v>59</v>
      </c>
      <c r="B21" s="43" t="s">
        <v>79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</v>
      </c>
      <c r="I21" s="7">
        <v>1</v>
      </c>
      <c r="J21" s="75">
        <v>1</v>
      </c>
      <c r="K21" s="7">
        <v>1</v>
      </c>
      <c r="L21" s="7">
        <v>1</v>
      </c>
      <c r="M21" s="7">
        <v>1</v>
      </c>
      <c r="N21" s="73">
        <v>1</v>
      </c>
    </row>
    <row r="22" spans="1:14" ht="15.75" customHeight="1" thickBot="1" x14ac:dyDescent="0.4">
      <c r="A22" s="43" t="s">
        <v>60</v>
      </c>
      <c r="B22" s="43" t="s">
        <v>80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</v>
      </c>
      <c r="I22" s="7">
        <v>0</v>
      </c>
      <c r="J22" s="75">
        <v>1</v>
      </c>
      <c r="K22" s="7">
        <v>1</v>
      </c>
      <c r="L22" s="7">
        <v>1</v>
      </c>
      <c r="M22" s="7">
        <v>1</v>
      </c>
      <c r="N22" s="73">
        <v>1</v>
      </c>
    </row>
    <row r="23" spans="1:14" ht="15.75" customHeight="1" thickBot="1" x14ac:dyDescent="0.4">
      <c r="A23" s="43" t="s">
        <v>61</v>
      </c>
      <c r="B23" s="43" t="s">
        <v>81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</v>
      </c>
      <c r="I23" s="7">
        <v>1</v>
      </c>
      <c r="J23" s="75">
        <v>1</v>
      </c>
      <c r="K23" s="7">
        <v>1</v>
      </c>
      <c r="L23" s="7">
        <v>1</v>
      </c>
      <c r="M23" s="7">
        <v>1</v>
      </c>
      <c r="N23" s="73">
        <v>1</v>
      </c>
    </row>
    <row r="24" spans="1:14" ht="15.75" customHeight="1" thickBot="1" x14ac:dyDescent="0.4">
      <c r="A24" s="43" t="s">
        <v>62</v>
      </c>
      <c r="B24" s="43" t="s">
        <v>82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5">
        <v>0</v>
      </c>
      <c r="K24" s="7">
        <v>0</v>
      </c>
      <c r="L24" s="7">
        <v>0</v>
      </c>
      <c r="M24" s="7">
        <v>0</v>
      </c>
      <c r="N24" s="73">
        <v>0</v>
      </c>
    </row>
    <row r="25" spans="1:14" ht="15.75" customHeight="1" thickBot="1" x14ac:dyDescent="0.4">
      <c r="A25" s="43" t="s">
        <v>63</v>
      </c>
      <c r="B25" s="43" t="s">
        <v>83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</v>
      </c>
      <c r="I25" s="7">
        <v>1</v>
      </c>
      <c r="J25" s="75">
        <v>1</v>
      </c>
      <c r="K25" s="7">
        <v>1</v>
      </c>
      <c r="L25" s="7">
        <v>1</v>
      </c>
      <c r="M25" s="7">
        <v>1</v>
      </c>
      <c r="N25" s="73">
        <v>1</v>
      </c>
    </row>
    <row r="26" spans="1:14" ht="15.75" customHeight="1" thickBot="1" x14ac:dyDescent="0.4">
      <c r="A26" s="43" t="s">
        <v>64</v>
      </c>
      <c r="B26" s="43" t="s">
        <v>84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5">
        <v>0</v>
      </c>
      <c r="K26" s="7">
        <v>0</v>
      </c>
      <c r="L26" s="7">
        <v>0</v>
      </c>
      <c r="M26" s="7">
        <v>0</v>
      </c>
      <c r="N26" s="73">
        <v>0</v>
      </c>
    </row>
    <row r="27" spans="1:14" ht="15.75" customHeight="1" thickBot="1" x14ac:dyDescent="0.4">
      <c r="A27" s="43" t="s">
        <v>65</v>
      </c>
      <c r="B27" s="43" t="s">
        <v>85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5">
        <v>0</v>
      </c>
      <c r="K27" s="7">
        <v>0</v>
      </c>
      <c r="L27" s="7">
        <v>0</v>
      </c>
      <c r="M27" s="7">
        <v>0</v>
      </c>
      <c r="N27" s="73">
        <v>0</v>
      </c>
    </row>
    <row r="28" spans="1:14" ht="15.75" customHeight="1" thickBot="1" x14ac:dyDescent="0.4">
      <c r="A28" s="43" t="s">
        <v>66</v>
      </c>
      <c r="B28" s="43" t="s">
        <v>86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5">
        <v>0</v>
      </c>
      <c r="K28" s="7">
        <v>0</v>
      </c>
      <c r="L28" s="7">
        <v>0</v>
      </c>
      <c r="M28" s="7">
        <v>0</v>
      </c>
      <c r="N28" s="73">
        <v>0</v>
      </c>
    </row>
    <row r="29" spans="1:14" ht="15.75" customHeight="1" thickBot="1" x14ac:dyDescent="0.4">
      <c r="A29" s="43" t="s">
        <v>67</v>
      </c>
      <c r="B29" s="43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3">
        <v>0</v>
      </c>
      <c r="K29" s="3">
        <v>0</v>
      </c>
      <c r="L29" s="3">
        <v>0</v>
      </c>
      <c r="M29" s="3">
        <v>0</v>
      </c>
      <c r="N29" s="73">
        <v>0</v>
      </c>
    </row>
    <row r="30" spans="1:14" s="34" customFormat="1" ht="15.75" customHeight="1" x14ac:dyDescent="0.3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ht="15.75" customHeight="1" x14ac:dyDescent="0.35">
      <c r="A31" s="35"/>
      <c r="B31" s="36"/>
      <c r="C31" s="60" t="s">
        <v>37</v>
      </c>
      <c r="D31" s="71" t="s">
        <v>38</v>
      </c>
      <c r="E31" s="71" t="s">
        <v>39</v>
      </c>
      <c r="F31" s="72" t="s">
        <v>40</v>
      </c>
      <c r="G31" s="71" t="s">
        <v>36</v>
      </c>
      <c r="H31" s="68" t="s">
        <v>41</v>
      </c>
      <c r="I31" s="61" t="s">
        <v>42</v>
      </c>
      <c r="J31" s="61" t="s">
        <v>43</v>
      </c>
      <c r="K31" s="61" t="s">
        <v>44</v>
      </c>
      <c r="L31" s="61" t="s">
        <v>45</v>
      </c>
      <c r="M31" s="61" t="s">
        <v>46</v>
      </c>
      <c r="N31" s="61" t="s">
        <v>47</v>
      </c>
    </row>
    <row r="32" spans="1:14" ht="15.75" customHeight="1" x14ac:dyDescent="0.35">
      <c r="A32" s="37" t="s">
        <v>0</v>
      </c>
      <c r="B32" s="36" t="s">
        <v>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s="29" customFormat="1" ht="15.75" customHeight="1" x14ac:dyDescent="0.35">
      <c r="A33" s="76" t="s">
        <v>23</v>
      </c>
      <c r="B33" s="76" t="s">
        <v>17</v>
      </c>
      <c r="C33" s="6">
        <v>0</v>
      </c>
      <c r="D33" s="6">
        <v>0</v>
      </c>
      <c r="E33" s="6">
        <v>0</v>
      </c>
      <c r="F33" s="6">
        <v>0</v>
      </c>
      <c r="G33" s="6">
        <v>1</v>
      </c>
      <c r="H33" s="5">
        <v>1</v>
      </c>
      <c r="I33" s="6">
        <v>0</v>
      </c>
      <c r="J33" s="6">
        <v>0</v>
      </c>
      <c r="K33" s="6">
        <v>1</v>
      </c>
      <c r="L33" s="6">
        <v>0</v>
      </c>
      <c r="M33" s="18">
        <v>0</v>
      </c>
      <c r="N33" s="6">
        <v>0</v>
      </c>
    </row>
    <row r="34" spans="1:14" ht="15.75" customHeight="1" x14ac:dyDescent="0.35">
      <c r="A34" s="43" t="s">
        <v>24</v>
      </c>
      <c r="B34" s="43" t="s">
        <v>18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9">
        <v>0</v>
      </c>
      <c r="I34" s="3">
        <v>0</v>
      </c>
      <c r="J34" s="3">
        <v>0</v>
      </c>
      <c r="K34" s="3">
        <v>0</v>
      </c>
      <c r="L34" s="3">
        <v>0</v>
      </c>
      <c r="M34" s="19">
        <v>0</v>
      </c>
      <c r="N34" s="3">
        <v>0</v>
      </c>
    </row>
    <row r="35" spans="1:14" ht="15.75" customHeight="1" x14ac:dyDescent="0.35">
      <c r="A35" s="43" t="s">
        <v>25</v>
      </c>
      <c r="B35" s="43" t="s">
        <v>19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13">
        <v>0</v>
      </c>
      <c r="I35" s="27">
        <v>0</v>
      </c>
      <c r="J35" s="27">
        <v>0</v>
      </c>
      <c r="K35" s="27">
        <v>0</v>
      </c>
      <c r="L35" s="27">
        <v>0</v>
      </c>
      <c r="M35" s="28">
        <v>0</v>
      </c>
      <c r="N35" s="27">
        <v>0</v>
      </c>
    </row>
    <row r="36" spans="1:14" ht="15.75" customHeight="1" x14ac:dyDescent="0.35">
      <c r="A36" s="43" t="s">
        <v>26</v>
      </c>
      <c r="B36" s="43" t="s">
        <v>20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13">
        <v>0</v>
      </c>
      <c r="I36" s="27">
        <v>0</v>
      </c>
      <c r="J36" s="27">
        <v>0</v>
      </c>
      <c r="K36" s="27">
        <v>0</v>
      </c>
      <c r="L36" s="27">
        <v>0</v>
      </c>
      <c r="M36" s="28">
        <v>0</v>
      </c>
      <c r="N36" s="27">
        <v>0</v>
      </c>
    </row>
    <row r="37" spans="1:14" ht="15.75" customHeight="1" x14ac:dyDescent="0.35">
      <c r="A37" s="43" t="s">
        <v>27</v>
      </c>
      <c r="B37" s="43" t="s">
        <v>21</v>
      </c>
      <c r="C37" s="27">
        <v>0</v>
      </c>
      <c r="D37" s="27">
        <v>0</v>
      </c>
      <c r="E37" s="27">
        <v>0</v>
      </c>
      <c r="F37" s="27">
        <v>0</v>
      </c>
      <c r="G37" s="27">
        <v>1</v>
      </c>
      <c r="H37" s="13">
        <v>1</v>
      </c>
      <c r="I37" s="27">
        <v>0</v>
      </c>
      <c r="J37" s="27">
        <v>0</v>
      </c>
      <c r="K37" s="27">
        <v>1</v>
      </c>
      <c r="L37" s="27">
        <v>0</v>
      </c>
      <c r="M37" s="28">
        <v>0</v>
      </c>
      <c r="N37" s="27">
        <v>0</v>
      </c>
    </row>
    <row r="38" spans="1:14" ht="15.75" customHeight="1" x14ac:dyDescent="0.35">
      <c r="A38" s="43" t="s">
        <v>28</v>
      </c>
      <c r="B38" s="43" t="s">
        <v>22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13">
        <v>1</v>
      </c>
      <c r="I38" s="27">
        <v>0</v>
      </c>
      <c r="J38" s="27">
        <v>0</v>
      </c>
      <c r="K38" s="27">
        <v>1</v>
      </c>
      <c r="L38" s="27">
        <v>0</v>
      </c>
      <c r="M38" s="28">
        <v>0</v>
      </c>
      <c r="N38" s="27">
        <v>0</v>
      </c>
    </row>
    <row r="39" spans="1:14" ht="15.75" customHeight="1" x14ac:dyDescent="0.35">
      <c r="A39" s="43" t="s">
        <v>355</v>
      </c>
      <c r="B39" s="43" t="s">
        <v>356</v>
      </c>
      <c r="C39" s="27">
        <v>0</v>
      </c>
      <c r="D39" s="27">
        <v>0</v>
      </c>
      <c r="E39" s="27">
        <v>0</v>
      </c>
      <c r="F39" s="27">
        <v>0</v>
      </c>
      <c r="G39" s="27">
        <v>1</v>
      </c>
      <c r="H39" s="13">
        <v>0</v>
      </c>
      <c r="I39" s="27">
        <v>0</v>
      </c>
      <c r="J39" s="27">
        <v>0</v>
      </c>
      <c r="K39" s="27">
        <v>0</v>
      </c>
      <c r="L39" s="27">
        <v>0</v>
      </c>
      <c r="M39" s="28">
        <v>0</v>
      </c>
      <c r="N39" s="27">
        <v>0</v>
      </c>
    </row>
    <row r="40" spans="1:14" ht="15.75" customHeight="1" x14ac:dyDescent="0.35">
      <c r="A40" s="43" t="s">
        <v>355</v>
      </c>
      <c r="B40" s="43" t="s">
        <v>357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13">
        <v>1</v>
      </c>
      <c r="I40" s="27">
        <v>0</v>
      </c>
      <c r="J40" s="27">
        <v>0</v>
      </c>
      <c r="K40" s="27">
        <v>1</v>
      </c>
      <c r="L40" s="27">
        <v>0</v>
      </c>
      <c r="M40" s="28">
        <v>0</v>
      </c>
      <c r="N40" s="27">
        <v>0</v>
      </c>
    </row>
    <row r="41" spans="1:14" ht="15.75" customHeight="1" x14ac:dyDescent="0.35">
      <c r="A41" s="43" t="s">
        <v>355</v>
      </c>
      <c r="B41" s="43" t="s">
        <v>358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13">
        <v>1</v>
      </c>
      <c r="I41" s="27">
        <v>0</v>
      </c>
      <c r="J41" s="27">
        <v>0</v>
      </c>
      <c r="K41" s="27">
        <v>1</v>
      </c>
      <c r="L41" s="27">
        <v>1</v>
      </c>
      <c r="M41" s="28">
        <v>0</v>
      </c>
      <c r="N41" s="27">
        <v>0</v>
      </c>
    </row>
    <row r="42" spans="1:14" ht="15.75" customHeight="1" thickBot="1" x14ac:dyDescent="0.4">
      <c r="A42" s="43" t="s">
        <v>88</v>
      </c>
      <c r="B42" s="43" t="s">
        <v>91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1">
        <v>1</v>
      </c>
      <c r="I42" s="12">
        <v>0</v>
      </c>
      <c r="J42" s="12">
        <v>0</v>
      </c>
      <c r="K42" s="12">
        <v>1</v>
      </c>
      <c r="L42" s="12">
        <v>0</v>
      </c>
      <c r="M42" s="20">
        <v>0</v>
      </c>
      <c r="N42" s="12">
        <v>0</v>
      </c>
    </row>
    <row r="43" spans="1:14" ht="15.75" customHeight="1" x14ac:dyDescent="0.35">
      <c r="A43" s="43" t="s">
        <v>89</v>
      </c>
      <c r="B43" s="43" t="s">
        <v>92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5">
        <v>1</v>
      </c>
      <c r="I43" s="6">
        <v>0</v>
      </c>
      <c r="J43" s="6">
        <v>0</v>
      </c>
      <c r="K43" s="6">
        <v>1</v>
      </c>
      <c r="L43" s="6">
        <v>0</v>
      </c>
      <c r="M43" s="18">
        <v>0</v>
      </c>
      <c r="N43" s="6">
        <v>0</v>
      </c>
    </row>
    <row r="44" spans="1:14" ht="15.75" customHeight="1" x14ac:dyDescent="0.35">
      <c r="A44" s="43" t="s">
        <v>90</v>
      </c>
      <c r="B44" s="43" t="s">
        <v>93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9">
        <v>0</v>
      </c>
      <c r="I44" s="3">
        <v>0</v>
      </c>
      <c r="J44" s="3">
        <v>0</v>
      </c>
      <c r="K44" s="3">
        <v>0</v>
      </c>
      <c r="L44" s="3">
        <v>0</v>
      </c>
      <c r="M44" s="19">
        <v>0</v>
      </c>
      <c r="N44" s="3">
        <v>0</v>
      </c>
    </row>
    <row r="46" spans="1:14" ht="11.15" customHeight="1" thickBot="1" x14ac:dyDescent="0.4"/>
    <row r="47" spans="1:14" ht="15.75" customHeight="1" thickBot="1" x14ac:dyDescent="0.4">
      <c r="A47" s="25"/>
      <c r="B47" s="26"/>
      <c r="C47" s="59" t="s">
        <v>37</v>
      </c>
      <c r="D47" s="69" t="s">
        <v>38</v>
      </c>
      <c r="E47" s="69" t="s">
        <v>39</v>
      </c>
      <c r="F47" s="70" t="s">
        <v>40</v>
      </c>
      <c r="G47" s="69" t="s">
        <v>36</v>
      </c>
      <c r="H47" s="69" t="s">
        <v>41</v>
      </c>
      <c r="I47" s="63" t="s">
        <v>42</v>
      </c>
      <c r="J47" s="63" t="s">
        <v>43</v>
      </c>
      <c r="K47" s="63" t="s">
        <v>44</v>
      </c>
      <c r="L47" s="63" t="s">
        <v>45</v>
      </c>
      <c r="M47" s="62" t="s">
        <v>46</v>
      </c>
      <c r="N47" s="63" t="s">
        <v>47</v>
      </c>
    </row>
    <row r="48" spans="1:14" ht="15.75" customHeight="1" thickBot="1" x14ac:dyDescent="0.4">
      <c r="A48" s="30" t="s">
        <v>0</v>
      </c>
      <c r="B48" s="32" t="s">
        <v>1</v>
      </c>
      <c r="C48" s="2"/>
      <c r="D48" s="2"/>
      <c r="E48" s="2"/>
      <c r="F48" s="2"/>
      <c r="G48" s="2"/>
      <c r="H48" s="1"/>
      <c r="I48" s="2"/>
      <c r="J48" s="2"/>
      <c r="K48" s="2"/>
      <c r="L48" s="2"/>
      <c r="M48" s="31"/>
      <c r="N48" s="2"/>
    </row>
    <row r="49" spans="1:14" ht="15.75" customHeight="1" x14ac:dyDescent="0.35">
      <c r="A49" s="43" t="s">
        <v>94</v>
      </c>
      <c r="B49" s="43" t="s">
        <v>15</v>
      </c>
      <c r="C49" s="9">
        <v>0</v>
      </c>
      <c r="D49" s="9">
        <v>0</v>
      </c>
      <c r="E49" s="9">
        <v>0</v>
      </c>
      <c r="F49" s="9">
        <v>1</v>
      </c>
      <c r="G49" s="9">
        <v>1</v>
      </c>
      <c r="H49" s="9">
        <v>1</v>
      </c>
      <c r="I49" s="9">
        <v>1</v>
      </c>
      <c r="J49" s="3">
        <v>0</v>
      </c>
      <c r="K49" s="3">
        <v>1</v>
      </c>
      <c r="L49" s="3">
        <v>0</v>
      </c>
      <c r="M49" s="19">
        <v>0</v>
      </c>
      <c r="N49" s="3">
        <v>1</v>
      </c>
    </row>
    <row r="50" spans="1:14" ht="15.75" customHeight="1" x14ac:dyDescent="0.35">
      <c r="A50" s="43" t="s">
        <v>95</v>
      </c>
      <c r="B50" s="43" t="s">
        <v>16</v>
      </c>
      <c r="C50" s="9">
        <v>0</v>
      </c>
      <c r="D50" s="9">
        <v>0</v>
      </c>
      <c r="E50" s="9">
        <v>0</v>
      </c>
      <c r="F50" s="9">
        <v>1</v>
      </c>
      <c r="G50" s="9">
        <v>1</v>
      </c>
      <c r="H50" s="9">
        <v>1</v>
      </c>
      <c r="I50" s="9">
        <v>1</v>
      </c>
      <c r="J50" s="3">
        <v>0</v>
      </c>
      <c r="K50" s="3">
        <v>1</v>
      </c>
      <c r="L50" s="3">
        <v>1</v>
      </c>
      <c r="M50" s="19">
        <v>0</v>
      </c>
      <c r="N50" s="3">
        <v>1</v>
      </c>
    </row>
    <row r="51" spans="1:14" ht="15.75" customHeight="1" x14ac:dyDescent="0.35">
      <c r="A51" s="43" t="s">
        <v>97</v>
      </c>
      <c r="B51" s="43" t="s">
        <v>96</v>
      </c>
      <c r="C51" s="9">
        <v>0</v>
      </c>
      <c r="D51" s="9">
        <v>0</v>
      </c>
      <c r="E51" s="9">
        <v>0</v>
      </c>
      <c r="F51" s="9">
        <v>1</v>
      </c>
      <c r="G51" s="9">
        <v>1</v>
      </c>
      <c r="H51" s="9">
        <v>1</v>
      </c>
      <c r="I51" s="9">
        <v>1</v>
      </c>
      <c r="J51" s="3">
        <v>0</v>
      </c>
      <c r="K51" s="3">
        <v>0</v>
      </c>
      <c r="L51" s="3">
        <v>0</v>
      </c>
      <c r="M51" s="19">
        <v>0</v>
      </c>
      <c r="N51" s="3">
        <v>0</v>
      </c>
    </row>
    <row r="52" spans="1:14" ht="15.75" customHeight="1" x14ac:dyDescent="0.35">
      <c r="A52" s="43" t="s">
        <v>99</v>
      </c>
      <c r="B52" s="43" t="s">
        <v>98</v>
      </c>
      <c r="C52" s="9">
        <v>0</v>
      </c>
      <c r="D52" s="9">
        <v>0</v>
      </c>
      <c r="E52" s="9">
        <v>0</v>
      </c>
      <c r="F52" s="9">
        <v>1</v>
      </c>
      <c r="G52" s="9">
        <v>1</v>
      </c>
      <c r="H52" s="9">
        <v>1</v>
      </c>
      <c r="I52" s="9">
        <v>1</v>
      </c>
      <c r="J52" s="3">
        <v>0</v>
      </c>
      <c r="K52" s="3">
        <v>0</v>
      </c>
      <c r="L52" s="3">
        <v>0</v>
      </c>
      <c r="M52" s="19">
        <v>0</v>
      </c>
      <c r="N52" s="3">
        <v>0</v>
      </c>
    </row>
    <row r="53" spans="1:14" ht="15.75" customHeight="1" x14ac:dyDescent="0.35">
      <c r="A53" s="43" t="s">
        <v>101</v>
      </c>
      <c r="B53" s="43" t="s">
        <v>100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3">
        <v>0</v>
      </c>
      <c r="K53" s="3">
        <v>0</v>
      </c>
      <c r="L53" s="3">
        <v>0</v>
      </c>
      <c r="M53" s="19">
        <v>0</v>
      </c>
      <c r="N53" s="3">
        <v>0</v>
      </c>
    </row>
    <row r="54" spans="1:14" ht="15.75" customHeight="1" x14ac:dyDescent="0.35">
      <c r="A54" s="43" t="s">
        <v>103</v>
      </c>
      <c r="B54" s="43" t="s">
        <v>102</v>
      </c>
      <c r="C54" s="9">
        <v>0</v>
      </c>
      <c r="D54" s="9">
        <v>0</v>
      </c>
      <c r="E54" s="9">
        <v>0</v>
      </c>
      <c r="F54" s="9">
        <v>1</v>
      </c>
      <c r="G54" s="9">
        <v>1</v>
      </c>
      <c r="H54" s="9">
        <v>1</v>
      </c>
      <c r="I54" s="9">
        <v>1</v>
      </c>
      <c r="J54" s="3">
        <v>0</v>
      </c>
      <c r="K54" s="3">
        <v>0</v>
      </c>
      <c r="L54" s="3">
        <v>0</v>
      </c>
      <c r="M54" s="19">
        <v>0</v>
      </c>
      <c r="N54" s="3">
        <v>0</v>
      </c>
    </row>
  </sheetData>
  <pageMargins left="0.45" right="0.45" top="0.5" bottom="0.5" header="0.3" footer="0.3"/>
  <pageSetup scale="69" orientation="landscape"/>
  <headerFooter alignWithMargins="0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zoomScaleNormal="100" workbookViewId="0">
      <pane xSplit="2" topLeftCell="C1" activePane="topRight" state="frozen"/>
      <selection pane="topRight" activeCell="C58" sqref="C58"/>
    </sheetView>
  </sheetViews>
  <sheetFormatPr defaultColWidth="8.90625" defaultRowHeight="14.5" x14ac:dyDescent="0.35"/>
  <cols>
    <col min="1" max="1" width="18.453125" customWidth="1"/>
  </cols>
  <sheetData>
    <row r="1" spans="1:14" ht="15" thickBot="1" x14ac:dyDescent="0.4">
      <c r="A1" s="25"/>
      <c r="B1" s="26"/>
      <c r="C1" s="62" t="s">
        <v>37</v>
      </c>
      <c r="D1" s="62" t="s">
        <v>38</v>
      </c>
      <c r="E1" s="62" t="s">
        <v>39</v>
      </c>
      <c r="F1" s="62" t="s">
        <v>40</v>
      </c>
      <c r="G1" s="64" t="s">
        <v>36</v>
      </c>
      <c r="H1" s="69" t="s">
        <v>41</v>
      </c>
      <c r="I1" s="63" t="s">
        <v>42</v>
      </c>
      <c r="J1" s="63" t="s">
        <v>43</v>
      </c>
      <c r="K1" s="63" t="s">
        <v>44</v>
      </c>
      <c r="L1" s="63" t="s">
        <v>45</v>
      </c>
      <c r="M1" s="69" t="s">
        <v>46</v>
      </c>
      <c r="N1" s="21" t="s">
        <v>47</v>
      </c>
    </row>
    <row r="2" spans="1:14" ht="15" thickBot="1" x14ac:dyDescent="0.4">
      <c r="A2" s="91" t="s">
        <v>0</v>
      </c>
      <c r="B2" s="92" t="s">
        <v>1</v>
      </c>
      <c r="C2" s="1"/>
      <c r="D2" s="2"/>
      <c r="E2" s="2"/>
      <c r="F2" s="2"/>
      <c r="G2" s="21"/>
      <c r="H2" s="1"/>
      <c r="I2" s="2"/>
      <c r="J2" s="21"/>
      <c r="K2" s="31"/>
      <c r="L2" s="2"/>
      <c r="M2" s="31"/>
      <c r="N2" s="21"/>
    </row>
    <row r="3" spans="1:14" ht="18.75" customHeight="1" x14ac:dyDescent="0.35">
      <c r="A3" s="76" t="s">
        <v>104</v>
      </c>
      <c r="B3" s="90" t="s">
        <v>105</v>
      </c>
      <c r="C3" s="6">
        <v>0</v>
      </c>
      <c r="D3" s="6">
        <v>0</v>
      </c>
      <c r="E3" s="6">
        <v>0</v>
      </c>
      <c r="F3" s="6">
        <v>0</v>
      </c>
      <c r="G3" s="6">
        <v>1</v>
      </c>
      <c r="H3" s="6">
        <v>1</v>
      </c>
      <c r="I3" s="6">
        <v>0</v>
      </c>
      <c r="J3" s="6">
        <v>0</v>
      </c>
      <c r="K3" s="8">
        <v>1</v>
      </c>
      <c r="L3" s="8">
        <v>1</v>
      </c>
      <c r="M3" s="24">
        <v>0</v>
      </c>
      <c r="N3" s="8">
        <v>0</v>
      </c>
    </row>
    <row r="4" spans="1:14" x14ac:dyDescent="0.35">
      <c r="A4" s="43" t="s">
        <v>106</v>
      </c>
      <c r="B4" s="87" t="s">
        <v>107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1</v>
      </c>
      <c r="I4" s="3">
        <v>1</v>
      </c>
      <c r="J4" s="3">
        <v>0</v>
      </c>
      <c r="K4" s="3">
        <v>1</v>
      </c>
      <c r="L4" s="3">
        <v>0</v>
      </c>
      <c r="M4" s="19">
        <v>1</v>
      </c>
      <c r="N4" s="3">
        <v>0</v>
      </c>
    </row>
    <row r="5" spans="1:14" x14ac:dyDescent="0.35">
      <c r="A5" s="43" t="s">
        <v>108</v>
      </c>
      <c r="B5" s="87" t="s">
        <v>109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  <c r="J5" s="3">
        <v>0</v>
      </c>
      <c r="K5" s="3">
        <v>1</v>
      </c>
      <c r="L5" s="3">
        <v>1</v>
      </c>
      <c r="M5" s="19">
        <v>1</v>
      </c>
      <c r="N5" s="3">
        <v>0</v>
      </c>
    </row>
    <row r="6" spans="1:14" x14ac:dyDescent="0.35">
      <c r="A6" s="43" t="s">
        <v>110</v>
      </c>
      <c r="B6" s="87" t="s">
        <v>111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19">
        <v>1</v>
      </c>
      <c r="N6" s="3">
        <v>0</v>
      </c>
    </row>
    <row r="7" spans="1:14" s="47" customFormat="1" x14ac:dyDescent="0.35">
      <c r="A7" s="43" t="s">
        <v>112</v>
      </c>
      <c r="B7" s="87" t="s">
        <v>113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45">
        <v>0</v>
      </c>
      <c r="K7" s="45">
        <v>0</v>
      </c>
      <c r="L7" s="45">
        <v>0</v>
      </c>
      <c r="M7" s="46">
        <v>0</v>
      </c>
      <c r="N7" s="45">
        <v>0</v>
      </c>
    </row>
    <row r="8" spans="1:14" x14ac:dyDescent="0.35">
      <c r="A8" s="43" t="s">
        <v>114</v>
      </c>
      <c r="B8" s="87" t="s">
        <v>115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15">
        <v>1</v>
      </c>
      <c r="K8" s="15">
        <v>1</v>
      </c>
      <c r="L8" s="15">
        <v>1</v>
      </c>
      <c r="M8" s="23">
        <v>1</v>
      </c>
      <c r="N8" s="15">
        <v>0</v>
      </c>
    </row>
    <row r="9" spans="1:14" x14ac:dyDescent="0.35">
      <c r="A9" s="43" t="s">
        <v>116</v>
      </c>
      <c r="B9" s="87" t="s">
        <v>117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1</v>
      </c>
      <c r="K9" s="3">
        <v>0</v>
      </c>
      <c r="L9" s="3">
        <v>1</v>
      </c>
      <c r="M9" s="19">
        <v>1</v>
      </c>
      <c r="N9" s="3">
        <v>0</v>
      </c>
    </row>
    <row r="10" spans="1:14" x14ac:dyDescent="0.35">
      <c r="A10" s="43" t="s">
        <v>118</v>
      </c>
      <c r="B10" s="87" t="s">
        <v>119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1</v>
      </c>
      <c r="K10" s="3">
        <v>1</v>
      </c>
      <c r="L10" s="3">
        <v>0</v>
      </c>
      <c r="M10" s="19">
        <v>0</v>
      </c>
      <c r="N10" s="3">
        <v>0</v>
      </c>
    </row>
    <row r="11" spans="1:14" x14ac:dyDescent="0.35">
      <c r="A11" s="43" t="s">
        <v>120</v>
      </c>
      <c r="B11" s="87" t="s">
        <v>121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1</v>
      </c>
      <c r="M11" s="19">
        <v>1</v>
      </c>
      <c r="N11" s="3">
        <v>0</v>
      </c>
    </row>
    <row r="12" spans="1:14" x14ac:dyDescent="0.35">
      <c r="A12" s="43" t="s">
        <v>122</v>
      </c>
      <c r="B12" s="87" t="s">
        <v>123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19">
        <v>0</v>
      </c>
      <c r="N12" s="3">
        <v>0</v>
      </c>
    </row>
    <row r="13" spans="1:14" x14ac:dyDescent="0.35">
      <c r="A13" s="43" t="s">
        <v>124</v>
      </c>
      <c r="B13" s="87" t="s">
        <v>125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1</v>
      </c>
      <c r="L13" s="3">
        <v>1</v>
      </c>
      <c r="M13" s="19">
        <v>1</v>
      </c>
      <c r="N13" s="3">
        <v>0</v>
      </c>
    </row>
    <row r="14" spans="1:14" x14ac:dyDescent="0.35">
      <c r="A14" s="43" t="s">
        <v>126</v>
      </c>
      <c r="B14" s="87" t="s">
        <v>127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1</v>
      </c>
      <c r="L14" s="3">
        <v>1</v>
      </c>
      <c r="M14" s="19">
        <v>0</v>
      </c>
      <c r="N14" s="3">
        <v>0</v>
      </c>
    </row>
    <row r="15" spans="1:14" x14ac:dyDescent="0.35">
      <c r="A15" s="43" t="s">
        <v>128</v>
      </c>
      <c r="B15" s="87" t="s">
        <v>129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1</v>
      </c>
      <c r="L15" s="3">
        <v>1</v>
      </c>
      <c r="M15" s="19">
        <v>1</v>
      </c>
      <c r="N15" s="3">
        <v>0</v>
      </c>
    </row>
    <row r="16" spans="1:14" x14ac:dyDescent="0.35">
      <c r="A16" s="43" t="s">
        <v>130</v>
      </c>
      <c r="B16" s="87" t="s">
        <v>131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1</v>
      </c>
      <c r="J16" s="3">
        <v>0</v>
      </c>
      <c r="K16" s="3">
        <v>1</v>
      </c>
      <c r="L16" s="3">
        <v>1</v>
      </c>
      <c r="M16" s="19">
        <v>1</v>
      </c>
      <c r="N16" s="3">
        <v>0</v>
      </c>
    </row>
    <row r="17" spans="1:15" x14ac:dyDescent="0.35">
      <c r="A17" s="43" t="s">
        <v>132</v>
      </c>
      <c r="B17" s="87" t="s">
        <v>133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1</v>
      </c>
      <c r="K17" s="3">
        <v>0</v>
      </c>
      <c r="L17" s="3">
        <v>1</v>
      </c>
      <c r="M17" s="19">
        <v>1</v>
      </c>
      <c r="N17" s="3">
        <v>0</v>
      </c>
    </row>
    <row r="18" spans="1:15" x14ac:dyDescent="0.35">
      <c r="A18" s="49" t="s">
        <v>373</v>
      </c>
      <c r="B18" s="89" t="s">
        <v>379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27">
        <v>0</v>
      </c>
      <c r="L18" s="27">
        <v>0</v>
      </c>
      <c r="M18" s="28">
        <v>0</v>
      </c>
      <c r="N18" s="27">
        <v>0</v>
      </c>
    </row>
    <row r="19" spans="1:15" x14ac:dyDescent="0.35">
      <c r="A19" s="49" t="s">
        <v>134</v>
      </c>
      <c r="B19" s="89" t="s">
        <v>135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1</v>
      </c>
      <c r="I19" s="3">
        <v>1</v>
      </c>
      <c r="J19" s="3">
        <v>1</v>
      </c>
      <c r="K19" s="27">
        <v>0</v>
      </c>
      <c r="L19" s="27">
        <v>1</v>
      </c>
      <c r="M19" s="28">
        <v>1</v>
      </c>
      <c r="N19" s="27">
        <v>0</v>
      </c>
    </row>
    <row r="20" spans="1:15" s="39" customFormat="1" x14ac:dyDescent="0.35">
      <c r="A20" s="43" t="s">
        <v>333</v>
      </c>
      <c r="B20" s="43" t="s">
        <v>334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5" s="39" customFormat="1" x14ac:dyDescent="0.35">
      <c r="A21" s="43" t="s">
        <v>373</v>
      </c>
      <c r="B21" s="43" t="s">
        <v>374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51"/>
    </row>
    <row r="22" spans="1:15" s="39" customFormat="1" x14ac:dyDescent="0.35">
      <c r="A22" s="43" t="s">
        <v>373</v>
      </c>
      <c r="B22" s="43" t="s">
        <v>375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0</v>
      </c>
      <c r="O22" s="51"/>
    </row>
    <row r="23" spans="1:15" s="39" customFormat="1" x14ac:dyDescent="0.35">
      <c r="A23" s="88" t="s">
        <v>373</v>
      </c>
      <c r="B23" s="43" t="s">
        <v>376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1</v>
      </c>
      <c r="N23" s="3">
        <v>0</v>
      </c>
      <c r="O23" s="51"/>
    </row>
    <row r="24" spans="1:15" s="47" customFormat="1" x14ac:dyDescent="0.35">
      <c r="A24" s="88" t="s">
        <v>373</v>
      </c>
      <c r="B24" s="45" t="s">
        <v>377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1</v>
      </c>
      <c r="M24" s="45">
        <v>1</v>
      </c>
      <c r="N24" s="45">
        <v>0</v>
      </c>
    </row>
    <row r="25" spans="1:15" s="47" customFormat="1" x14ac:dyDescent="0.35">
      <c r="A25" s="93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15" s="47" customFormat="1" ht="15" thickBot="1" x14ac:dyDescent="0.4">
      <c r="A26" s="93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5" ht="15" thickBot="1" x14ac:dyDescent="0.4">
      <c r="A27" s="101"/>
      <c r="B27" s="100"/>
      <c r="C27" s="2" t="s">
        <v>37</v>
      </c>
      <c r="D27" s="2" t="s">
        <v>38</v>
      </c>
      <c r="E27" s="63" t="s">
        <v>39</v>
      </c>
      <c r="F27" s="2" t="s">
        <v>40</v>
      </c>
      <c r="G27" s="2" t="s">
        <v>36</v>
      </c>
      <c r="H27" s="2" t="s">
        <v>41</v>
      </c>
      <c r="I27" s="2" t="s">
        <v>42</v>
      </c>
      <c r="J27" s="63" t="s">
        <v>43</v>
      </c>
      <c r="K27" s="2" t="s">
        <v>44</v>
      </c>
      <c r="L27" s="2" t="s">
        <v>45</v>
      </c>
      <c r="M27" s="2" t="s">
        <v>46</v>
      </c>
      <c r="N27" s="21" t="s">
        <v>47</v>
      </c>
    </row>
    <row r="28" spans="1:15" ht="15" thickBot="1" x14ac:dyDescent="0.4">
      <c r="A28" s="103" t="s">
        <v>0</v>
      </c>
      <c r="B28" s="102" t="s">
        <v>1</v>
      </c>
      <c r="C28" s="31"/>
      <c r="D28" s="2"/>
      <c r="E28" s="2"/>
      <c r="F28" s="2"/>
      <c r="G28" s="2"/>
      <c r="H28" s="2"/>
      <c r="I28" s="2"/>
      <c r="J28" s="2"/>
      <c r="K28" s="2"/>
      <c r="L28" s="2"/>
      <c r="M28" s="2"/>
      <c r="N28" s="21"/>
    </row>
    <row r="29" spans="1:15" x14ac:dyDescent="0.35">
      <c r="A29" s="76" t="s">
        <v>136</v>
      </c>
      <c r="B29" s="76" t="s">
        <v>137</v>
      </c>
      <c r="C29" s="18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1</v>
      </c>
      <c r="L29" s="6">
        <v>0</v>
      </c>
      <c r="M29" s="6">
        <v>0</v>
      </c>
      <c r="N29" s="6">
        <v>0</v>
      </c>
    </row>
    <row r="30" spans="1:15" x14ac:dyDescent="0.35">
      <c r="A30" s="76" t="s">
        <v>401</v>
      </c>
      <c r="B30" s="76" t="s">
        <v>398</v>
      </c>
      <c r="C30" s="18"/>
      <c r="D30" s="6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</row>
    <row r="31" spans="1:15" x14ac:dyDescent="0.35">
      <c r="A31" s="76" t="s">
        <v>402</v>
      </c>
      <c r="B31" s="76" t="s">
        <v>399</v>
      </c>
      <c r="C31" s="18"/>
      <c r="D31" s="6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</v>
      </c>
      <c r="N31" s="6">
        <v>0</v>
      </c>
    </row>
    <row r="32" spans="1:15" x14ac:dyDescent="0.35">
      <c r="A32" s="76" t="s">
        <v>403</v>
      </c>
      <c r="B32" s="76" t="s">
        <v>400</v>
      </c>
      <c r="C32" s="18"/>
      <c r="D32" s="6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</row>
    <row r="33" spans="1:15" x14ac:dyDescent="0.35">
      <c r="A33" s="43" t="s">
        <v>138</v>
      </c>
      <c r="B33" s="43" t="s">
        <v>139</v>
      </c>
      <c r="C33" s="19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19">
        <v>0</v>
      </c>
      <c r="N33" s="3">
        <v>0</v>
      </c>
    </row>
    <row r="34" spans="1:15" x14ac:dyDescent="0.35">
      <c r="A34" s="49" t="s">
        <v>140</v>
      </c>
      <c r="B34" s="43" t="s">
        <v>141</v>
      </c>
      <c r="C34" s="28">
        <v>0</v>
      </c>
      <c r="D34" s="27">
        <v>0</v>
      </c>
      <c r="E34" s="27">
        <v>0</v>
      </c>
      <c r="F34" s="27">
        <v>0</v>
      </c>
      <c r="G34" s="3">
        <v>0</v>
      </c>
      <c r="H34" s="3">
        <v>0</v>
      </c>
      <c r="I34" s="27">
        <v>0</v>
      </c>
      <c r="J34" s="27">
        <v>0</v>
      </c>
      <c r="K34" s="27">
        <v>0</v>
      </c>
      <c r="L34" s="27">
        <v>0</v>
      </c>
      <c r="M34" s="28">
        <v>0</v>
      </c>
      <c r="N34" s="27">
        <v>0</v>
      </c>
    </row>
    <row r="35" spans="1:15" s="39" customFormat="1" x14ac:dyDescent="0.35">
      <c r="A35" s="43" t="s">
        <v>142</v>
      </c>
      <c r="B35" s="43" t="s">
        <v>143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</row>
    <row r="36" spans="1:15" ht="15" thickBot="1" x14ac:dyDescent="0.4">
      <c r="A36" s="42"/>
      <c r="B36" s="42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5" s="39" customFormat="1" ht="15" thickBot="1" x14ac:dyDescent="0.4">
      <c r="A37" s="98"/>
      <c r="B37" s="99"/>
      <c r="C37" s="2" t="s">
        <v>37</v>
      </c>
      <c r="D37" s="2" t="s">
        <v>38</v>
      </c>
      <c r="E37" s="2" t="s">
        <v>39</v>
      </c>
      <c r="F37" s="63" t="s">
        <v>40</v>
      </c>
      <c r="G37" s="104" t="s">
        <v>36</v>
      </c>
      <c r="H37" s="31" t="s">
        <v>41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46</v>
      </c>
      <c r="N37" s="21" t="s">
        <v>47</v>
      </c>
      <c r="O37" s="51"/>
    </row>
    <row r="38" spans="1:15" ht="15" thickBot="1" x14ac:dyDescent="0.4">
      <c r="A38" s="58" t="s">
        <v>0</v>
      </c>
      <c r="B38" s="102" t="s">
        <v>1</v>
      </c>
      <c r="C38" s="94"/>
      <c r="D38" s="95"/>
      <c r="E38" s="95"/>
      <c r="F38" s="95"/>
      <c r="G38" s="96"/>
      <c r="H38" s="94"/>
      <c r="I38" s="95"/>
      <c r="J38" s="95"/>
      <c r="K38" s="95"/>
      <c r="L38" s="95"/>
      <c r="M38" s="97"/>
      <c r="N38" s="96"/>
    </row>
    <row r="39" spans="1:15" s="39" customFormat="1" x14ac:dyDescent="0.35">
      <c r="A39" s="43" t="s">
        <v>144</v>
      </c>
      <c r="B39" s="76" t="s">
        <v>145</v>
      </c>
      <c r="C39" s="18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5" s="39" customFormat="1" x14ac:dyDescent="0.35">
      <c r="A40" s="43" t="s">
        <v>146</v>
      </c>
      <c r="B40" s="43" t="s">
        <v>147</v>
      </c>
      <c r="C40" s="19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5" s="39" customFormat="1" x14ac:dyDescent="0.35">
      <c r="A41" s="43" t="s">
        <v>148</v>
      </c>
      <c r="B41" s="43" t="s">
        <v>149</v>
      </c>
      <c r="C41" s="19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5" s="39" customFormat="1" x14ac:dyDescent="0.35">
      <c r="A42" s="43" t="s">
        <v>150</v>
      </c>
      <c r="B42" s="43" t="s">
        <v>151</v>
      </c>
      <c r="C42" s="19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5" s="39" customFormat="1" x14ac:dyDescent="0.35">
      <c r="A43" s="43" t="s">
        <v>152</v>
      </c>
      <c r="B43" s="43" t="s">
        <v>153</v>
      </c>
      <c r="C43" s="19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5" s="39" customFormat="1" x14ac:dyDescent="0.35">
      <c r="A44" s="43" t="s">
        <v>154</v>
      </c>
      <c r="B44" s="43" t="s">
        <v>155</v>
      </c>
      <c r="C44" s="19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5" s="39" customFormat="1" x14ac:dyDescent="0.35">
      <c r="A45" s="43" t="s">
        <v>156</v>
      </c>
      <c r="B45" s="43" t="s">
        <v>157</v>
      </c>
      <c r="C45" s="51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</row>
    <row r="46" spans="1:15" s="39" customFormat="1" x14ac:dyDescent="0.35">
      <c r="A46" s="43" t="s">
        <v>158</v>
      </c>
      <c r="B46" s="43" t="s">
        <v>159</v>
      </c>
      <c r="C46" s="51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</row>
  </sheetData>
  <pageMargins left="0.7" right="0.7" top="0.75" bottom="0.75" header="0.3" footer="0.3"/>
  <pageSetup paperSize="9" scale="51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19" zoomScaleNormal="100" workbookViewId="0">
      <pane xSplit="2" topLeftCell="C1" activePane="topRight" state="frozen"/>
      <selection activeCell="A16" sqref="A16"/>
      <selection pane="topRight" activeCell="P19" sqref="P19"/>
    </sheetView>
  </sheetViews>
  <sheetFormatPr defaultColWidth="8.90625" defaultRowHeight="14.5" x14ac:dyDescent="0.35"/>
  <cols>
    <col min="1" max="1" width="23.54296875" customWidth="1"/>
  </cols>
  <sheetData>
    <row r="1" spans="1:15" s="83" customFormat="1" ht="15" thickBot="1" x14ac:dyDescent="0.4">
      <c r="A1" s="77"/>
      <c r="B1" s="78"/>
      <c r="C1" s="79" t="s">
        <v>37</v>
      </c>
      <c r="D1" s="79" t="s">
        <v>38</v>
      </c>
      <c r="E1" s="80" t="s">
        <v>39</v>
      </c>
      <c r="F1" s="81" t="s">
        <v>40</v>
      </c>
      <c r="G1" s="80" t="s">
        <v>36</v>
      </c>
      <c r="H1" s="80" t="s">
        <v>41</v>
      </c>
      <c r="I1" s="82" t="s">
        <v>42</v>
      </c>
      <c r="J1" s="82" t="s">
        <v>43</v>
      </c>
      <c r="K1" s="82" t="s">
        <v>44</v>
      </c>
      <c r="L1" s="82" t="s">
        <v>45</v>
      </c>
      <c r="M1" s="80" t="s">
        <v>46</v>
      </c>
      <c r="N1" s="82" t="s">
        <v>47</v>
      </c>
    </row>
    <row r="2" spans="1:15" ht="15" thickBot="1" x14ac:dyDescent="0.4">
      <c r="A2" s="30" t="s">
        <v>0</v>
      </c>
      <c r="B2" s="32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1"/>
      <c r="N2" s="2"/>
    </row>
    <row r="3" spans="1:15" ht="15" thickBot="1" x14ac:dyDescent="0.4">
      <c r="A3" s="43" t="s">
        <v>160</v>
      </c>
      <c r="B3" s="43" t="s">
        <v>11</v>
      </c>
      <c r="C3" s="24">
        <v>0</v>
      </c>
      <c r="D3" s="8">
        <v>0</v>
      </c>
      <c r="E3" s="8">
        <v>0</v>
      </c>
      <c r="F3" s="8">
        <v>0</v>
      </c>
      <c r="G3" s="8">
        <v>0</v>
      </c>
      <c r="H3" s="7"/>
      <c r="I3" s="8">
        <v>1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5" ht="15" thickBot="1" x14ac:dyDescent="0.4">
      <c r="A4" s="43" t="s">
        <v>161</v>
      </c>
      <c r="B4" s="43" t="s">
        <v>12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3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5" ht="15" thickBot="1" x14ac:dyDescent="0.4">
      <c r="A5" s="43" t="s">
        <v>162</v>
      </c>
      <c r="B5" s="43" t="s">
        <v>13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3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5" ht="15" thickBot="1" x14ac:dyDescent="0.4">
      <c r="A6" s="43" t="s">
        <v>163</v>
      </c>
      <c r="B6" s="43" t="s">
        <v>14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3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7" spans="1:15" ht="15" thickBot="1" x14ac:dyDescent="0.4">
      <c r="A7" s="43" t="s">
        <v>164</v>
      </c>
      <c r="B7" s="43" t="s">
        <v>2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45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5" ht="15" thickBot="1" x14ac:dyDescent="0.4">
      <c r="A8" s="43" t="s">
        <v>165</v>
      </c>
      <c r="B8" s="43" t="s">
        <v>3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15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1:15" ht="15" thickBot="1" x14ac:dyDescent="0.4">
      <c r="A9" s="43" t="s">
        <v>166</v>
      </c>
      <c r="B9" s="43" t="s">
        <v>4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3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5" ht="15" thickBot="1" x14ac:dyDescent="0.4">
      <c r="A10" s="43" t="s">
        <v>167</v>
      </c>
      <c r="B10" s="43" t="s">
        <v>5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3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5" ht="15" thickBot="1" x14ac:dyDescent="0.4">
      <c r="A11" s="43" t="s">
        <v>168</v>
      </c>
      <c r="B11" s="43" t="s">
        <v>6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3">
        <v>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5" ht="15" thickBot="1" x14ac:dyDescent="0.4">
      <c r="A12" s="43" t="s">
        <v>169</v>
      </c>
      <c r="B12" s="43" t="s">
        <v>170</v>
      </c>
      <c r="C12" s="24"/>
      <c r="D12" s="24"/>
      <c r="E12" s="24"/>
      <c r="F12" s="24"/>
      <c r="G12" s="24"/>
      <c r="H12" s="24"/>
      <c r="I12" s="3"/>
      <c r="J12" s="8"/>
      <c r="K12" s="8"/>
      <c r="L12" s="8"/>
      <c r="M12" s="8"/>
      <c r="N12" s="8"/>
      <c r="O12" t="s">
        <v>497</v>
      </c>
    </row>
    <row r="13" spans="1:15" ht="15" thickBot="1" x14ac:dyDescent="0.4">
      <c r="A13" s="43" t="s">
        <v>171</v>
      </c>
      <c r="B13" s="43" t="s">
        <v>172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3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5" ht="15" thickBot="1" x14ac:dyDescent="0.4">
      <c r="A14" s="43" t="s">
        <v>173</v>
      </c>
      <c r="B14" s="43" t="s">
        <v>8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3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5" ht="15" thickBot="1" x14ac:dyDescent="0.4">
      <c r="A15" s="43" t="s">
        <v>174</v>
      </c>
      <c r="B15" s="43" t="s">
        <v>9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3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5" ht="15" thickBot="1" x14ac:dyDescent="0.4">
      <c r="A16" s="43" t="s">
        <v>175</v>
      </c>
      <c r="B16" s="43" t="s">
        <v>10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3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 ht="15" thickBot="1" x14ac:dyDescent="0.4">
      <c r="A17" s="43" t="s">
        <v>176</v>
      </c>
      <c r="B17" s="43" t="s">
        <v>177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3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ht="15" thickBot="1" x14ac:dyDescent="0.4">
      <c r="A18" s="43" t="s">
        <v>178</v>
      </c>
      <c r="B18" s="43" t="s">
        <v>7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3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1:14" ht="15" thickBot="1" x14ac:dyDescent="0.4">
      <c r="A19" s="43"/>
      <c r="B19" s="43"/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12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35">
      <c r="A20" s="47"/>
      <c r="B20" s="47"/>
    </row>
    <row r="21" spans="1:14" x14ac:dyDescent="0.35">
      <c r="A21" s="47"/>
      <c r="B21" s="47"/>
    </row>
    <row r="22" spans="1:14" x14ac:dyDescent="0.35">
      <c r="A22" s="52"/>
      <c r="B22" s="53"/>
      <c r="C22" s="38" t="s">
        <v>37</v>
      </c>
      <c r="D22" s="38" t="s">
        <v>38</v>
      </c>
      <c r="E22" s="38" t="s">
        <v>39</v>
      </c>
      <c r="F22" s="38" t="s">
        <v>348</v>
      </c>
      <c r="G22" s="38" t="s">
        <v>36</v>
      </c>
      <c r="H22" s="38" t="s">
        <v>41</v>
      </c>
      <c r="I22" s="38" t="s">
        <v>42</v>
      </c>
      <c r="J22" s="38" t="s">
        <v>43</v>
      </c>
      <c r="K22" s="38" t="s">
        <v>44</v>
      </c>
      <c r="L22" s="38" t="s">
        <v>45</v>
      </c>
      <c r="M22" s="38" t="s">
        <v>46</v>
      </c>
      <c r="N22" s="38" t="s">
        <v>47</v>
      </c>
    </row>
    <row r="23" spans="1:14" ht="15" thickBot="1" x14ac:dyDescent="0.4">
      <c r="A23" s="56" t="s">
        <v>0</v>
      </c>
      <c r="B23" s="53" t="s">
        <v>1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15" thickBot="1" x14ac:dyDescent="0.4">
      <c r="A24" s="43" t="s">
        <v>347</v>
      </c>
      <c r="B24" s="43" t="s">
        <v>35</v>
      </c>
      <c r="C24" s="8">
        <v>0</v>
      </c>
      <c r="D24" s="8">
        <v>0</v>
      </c>
      <c r="E24" s="8">
        <v>0</v>
      </c>
      <c r="F24" s="8">
        <v>0</v>
      </c>
      <c r="G24" s="3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 spans="1:14" ht="15" thickBot="1" x14ac:dyDescent="0.4">
      <c r="A25" s="43" t="s">
        <v>179</v>
      </c>
      <c r="B25" s="43" t="s">
        <v>180</v>
      </c>
      <c r="C25" s="8">
        <v>0</v>
      </c>
      <c r="D25" s="8">
        <v>0</v>
      </c>
      <c r="E25" s="8">
        <v>0</v>
      </c>
      <c r="F25" s="8">
        <v>0</v>
      </c>
      <c r="G25" s="3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ht="15" thickBot="1" x14ac:dyDescent="0.4">
      <c r="A26" s="43" t="s">
        <v>181</v>
      </c>
      <c r="B26" s="43" t="s">
        <v>182</v>
      </c>
      <c r="C26" s="8">
        <v>0</v>
      </c>
      <c r="D26" s="8">
        <v>0</v>
      </c>
      <c r="E26" s="8">
        <v>0</v>
      </c>
      <c r="F26" s="8">
        <v>0</v>
      </c>
      <c r="G26" s="3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ht="15" thickBot="1" x14ac:dyDescent="0.4">
      <c r="A27" s="43" t="s">
        <v>183</v>
      </c>
      <c r="B27" s="43" t="s">
        <v>29</v>
      </c>
      <c r="C27" s="8">
        <v>0</v>
      </c>
      <c r="D27" s="8">
        <v>0</v>
      </c>
      <c r="E27" s="8">
        <v>0</v>
      </c>
      <c r="F27" s="8">
        <v>0</v>
      </c>
      <c r="G27" s="3">
        <v>1</v>
      </c>
      <c r="H27" s="8">
        <v>0</v>
      </c>
      <c r="I27" s="8">
        <v>0</v>
      </c>
      <c r="J27" s="8">
        <v>0</v>
      </c>
      <c r="K27" s="8">
        <v>1</v>
      </c>
      <c r="L27" s="8">
        <v>1</v>
      </c>
      <c r="M27" s="8">
        <v>0</v>
      </c>
      <c r="N27" s="8">
        <v>0</v>
      </c>
    </row>
    <row r="28" spans="1:14" ht="15" thickBot="1" x14ac:dyDescent="0.4">
      <c r="A28" s="43" t="s">
        <v>184</v>
      </c>
      <c r="B28" s="43" t="s">
        <v>30</v>
      </c>
      <c r="C28" s="8">
        <v>0</v>
      </c>
      <c r="D28" s="8">
        <v>0</v>
      </c>
      <c r="E28" s="8">
        <v>0</v>
      </c>
      <c r="F28" s="8">
        <v>0</v>
      </c>
      <c r="G28" s="3">
        <v>0</v>
      </c>
      <c r="H28" s="8">
        <v>0</v>
      </c>
      <c r="I28" s="8">
        <v>0</v>
      </c>
      <c r="J28" s="8">
        <v>0</v>
      </c>
      <c r="K28" s="8">
        <v>1</v>
      </c>
      <c r="L28" s="8">
        <v>1</v>
      </c>
      <c r="M28" s="8">
        <v>0</v>
      </c>
      <c r="N28" s="8">
        <v>0</v>
      </c>
    </row>
    <row r="29" spans="1:14" ht="15" thickBot="1" x14ac:dyDescent="0.4">
      <c r="A29" s="43" t="s">
        <v>185</v>
      </c>
      <c r="B29" s="43" t="s">
        <v>31</v>
      </c>
      <c r="C29" s="8">
        <v>0</v>
      </c>
      <c r="D29" s="8">
        <v>0</v>
      </c>
      <c r="E29" s="8">
        <v>0</v>
      </c>
      <c r="F29" s="8">
        <v>0</v>
      </c>
      <c r="G29" s="85">
        <v>0</v>
      </c>
      <c r="H29" s="8">
        <v>0</v>
      </c>
      <c r="I29" s="8">
        <v>0</v>
      </c>
      <c r="J29" s="8">
        <v>0</v>
      </c>
      <c r="K29" s="8">
        <v>1</v>
      </c>
      <c r="L29" s="8">
        <v>1</v>
      </c>
      <c r="M29" s="8">
        <v>0</v>
      </c>
      <c r="N29" s="8">
        <v>0</v>
      </c>
    </row>
    <row r="30" spans="1:14" ht="15" thickBot="1" x14ac:dyDescent="0.4">
      <c r="A30" s="43" t="s">
        <v>186</v>
      </c>
      <c r="B30" s="43" t="s">
        <v>32</v>
      </c>
      <c r="C30" s="8">
        <v>0</v>
      </c>
      <c r="D30" s="8">
        <v>0</v>
      </c>
      <c r="E30" s="8">
        <v>0</v>
      </c>
      <c r="F30" s="8">
        <v>0</v>
      </c>
      <c r="G30" s="85">
        <v>0</v>
      </c>
      <c r="H30" s="8">
        <v>0</v>
      </c>
      <c r="I30" s="8">
        <v>0</v>
      </c>
      <c r="J30" s="8">
        <v>0</v>
      </c>
      <c r="K30" s="8">
        <v>1</v>
      </c>
      <c r="L30" s="8">
        <v>1</v>
      </c>
      <c r="M30" s="8">
        <v>0</v>
      </c>
      <c r="N30" s="8">
        <v>0</v>
      </c>
    </row>
    <row r="31" spans="1:14" ht="15" thickBot="1" x14ac:dyDescent="0.4">
      <c r="A31" s="43" t="s">
        <v>187</v>
      </c>
      <c r="B31" s="43" t="s">
        <v>33</v>
      </c>
      <c r="C31" s="8">
        <v>0</v>
      </c>
      <c r="D31" s="8">
        <v>0</v>
      </c>
      <c r="E31" s="8">
        <v>0</v>
      </c>
      <c r="F31" s="8">
        <v>0</v>
      </c>
      <c r="G31" s="3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ht="15" thickBot="1" x14ac:dyDescent="0.4">
      <c r="A32" s="43" t="s">
        <v>188</v>
      </c>
      <c r="B32" s="43" t="s">
        <v>34</v>
      </c>
      <c r="C32" s="8">
        <v>0</v>
      </c>
      <c r="D32" s="8">
        <v>0</v>
      </c>
      <c r="E32" s="8">
        <v>0</v>
      </c>
      <c r="F32" s="8">
        <v>0</v>
      </c>
      <c r="G32" s="3">
        <v>1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</row>
    <row r="33" spans="1:14" ht="15" thickBot="1" x14ac:dyDescent="0.4">
      <c r="A33" s="43" t="s">
        <v>404</v>
      </c>
      <c r="B33" s="43" t="s">
        <v>397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6">
        <v>1</v>
      </c>
      <c r="L33" s="8">
        <v>1</v>
      </c>
      <c r="M33" s="8">
        <v>0</v>
      </c>
      <c r="N33" s="8">
        <v>0</v>
      </c>
    </row>
    <row r="34" spans="1:14" ht="15" thickBot="1" x14ac:dyDescent="0.4">
      <c r="A34" s="43" t="s">
        <v>405</v>
      </c>
      <c r="B34" s="43" t="s">
        <v>391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6">
        <v>1</v>
      </c>
      <c r="L34" s="8">
        <v>1</v>
      </c>
      <c r="M34" s="8">
        <v>0</v>
      </c>
      <c r="N34" s="8">
        <v>0</v>
      </c>
    </row>
    <row r="35" spans="1:14" ht="15" thickBot="1" x14ac:dyDescent="0.4">
      <c r="A35" s="43" t="s">
        <v>406</v>
      </c>
      <c r="B35" s="43" t="s">
        <v>392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6">
        <v>1</v>
      </c>
      <c r="L35" s="8">
        <v>1</v>
      </c>
      <c r="M35" s="8">
        <v>0</v>
      </c>
      <c r="N35" s="8">
        <v>0</v>
      </c>
    </row>
    <row r="36" spans="1:14" ht="15" thickBot="1" x14ac:dyDescent="0.4">
      <c r="A36" s="43" t="s">
        <v>407</v>
      </c>
      <c r="B36" s="43" t="s">
        <v>393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6">
        <v>1</v>
      </c>
      <c r="L36" s="8">
        <v>1</v>
      </c>
      <c r="M36" s="8">
        <v>0</v>
      </c>
      <c r="N36" s="8">
        <v>0</v>
      </c>
    </row>
    <row r="37" spans="1:14" ht="15" thickBot="1" x14ac:dyDescent="0.4">
      <c r="A37" s="43" t="s">
        <v>408</v>
      </c>
      <c r="B37" s="43" t="s">
        <v>394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6">
        <v>1</v>
      </c>
      <c r="L37" s="8">
        <v>1</v>
      </c>
      <c r="M37" s="8">
        <v>0</v>
      </c>
      <c r="N37" s="8">
        <v>0</v>
      </c>
    </row>
    <row r="38" spans="1:14" ht="15" thickBot="1" x14ac:dyDescent="0.4">
      <c r="A38" s="43" t="s">
        <v>409</v>
      </c>
      <c r="B38" s="43" t="s">
        <v>395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6">
        <v>1</v>
      </c>
      <c r="L38" s="8">
        <v>1</v>
      </c>
      <c r="M38" s="8">
        <v>0</v>
      </c>
      <c r="N38" s="8">
        <v>0</v>
      </c>
    </row>
    <row r="39" spans="1:14" x14ac:dyDescent="0.35">
      <c r="A39" s="43" t="s">
        <v>410</v>
      </c>
      <c r="B39" s="43" t="s">
        <v>396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6">
        <v>1</v>
      </c>
      <c r="L39" s="8">
        <v>1</v>
      </c>
      <c r="M39" s="8">
        <v>0</v>
      </c>
      <c r="N39" s="8">
        <v>0</v>
      </c>
    </row>
    <row r="40" spans="1:14" x14ac:dyDescent="0.35">
      <c r="A40" s="43"/>
      <c r="B40" s="4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5">
      <c r="A41" s="43"/>
      <c r="B41" s="4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35">
      <c r="A42" s="43"/>
      <c r="B42" s="43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</row>
    <row r="43" spans="1:14" x14ac:dyDescent="0.35">
      <c r="A43" s="43"/>
      <c r="B43" s="43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</sheetData>
  <pageMargins left="0.7" right="0.7" top="0.75" bottom="0.75" header="0.3" footer="0.3"/>
  <pageSetup paperSize="9" scale="5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4" zoomScaleNormal="100" zoomScaleSheetLayoutView="70" workbookViewId="0">
      <pane xSplit="2" topLeftCell="C1" activePane="topRight" state="frozen"/>
      <selection activeCell="A7" sqref="A7"/>
      <selection pane="topRight" activeCell="A48" sqref="A48:N54"/>
    </sheetView>
  </sheetViews>
  <sheetFormatPr defaultColWidth="8.90625" defaultRowHeight="14.5" x14ac:dyDescent="0.35"/>
  <cols>
    <col min="1" max="1" width="23.54296875" customWidth="1"/>
    <col min="3" max="3" width="7.54296875" customWidth="1"/>
  </cols>
  <sheetData>
    <row r="1" spans="1:14" ht="15" thickBot="1" x14ac:dyDescent="0.4">
      <c r="A1" s="25"/>
      <c r="B1" s="26"/>
      <c r="C1" s="64" t="s">
        <v>37</v>
      </c>
      <c r="D1" s="64" t="s">
        <v>38</v>
      </c>
      <c r="E1" s="64" t="s">
        <v>39</v>
      </c>
      <c r="F1" s="64" t="s">
        <v>40</v>
      </c>
      <c r="G1" s="64" t="s">
        <v>36</v>
      </c>
      <c r="H1" s="64" t="s">
        <v>41</v>
      </c>
      <c r="I1" s="66" t="s">
        <v>42</v>
      </c>
      <c r="J1" s="66" t="s">
        <v>43</v>
      </c>
      <c r="K1" s="66" t="s">
        <v>44</v>
      </c>
      <c r="L1" s="66" t="s">
        <v>45</v>
      </c>
      <c r="M1" s="64" t="s">
        <v>46</v>
      </c>
      <c r="N1" s="66" t="s">
        <v>47</v>
      </c>
    </row>
    <row r="2" spans="1:14" ht="15" thickBot="1" x14ac:dyDescent="0.4">
      <c r="A2" s="30" t="s">
        <v>0</v>
      </c>
      <c r="B2" s="32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1"/>
      <c r="N2" s="2"/>
    </row>
    <row r="3" spans="1:14" x14ac:dyDescent="0.35">
      <c r="A3" s="43" t="s">
        <v>189</v>
      </c>
      <c r="B3" s="43" t="s">
        <v>190</v>
      </c>
      <c r="C3" s="24">
        <v>0</v>
      </c>
      <c r="D3" s="8">
        <v>0</v>
      </c>
      <c r="E3" s="8">
        <v>0</v>
      </c>
      <c r="F3" s="8">
        <v>0</v>
      </c>
      <c r="G3" s="8">
        <v>0</v>
      </c>
      <c r="H3" s="7">
        <v>0</v>
      </c>
      <c r="I3" s="8">
        <v>0</v>
      </c>
      <c r="J3" s="8">
        <v>0</v>
      </c>
      <c r="K3" s="8">
        <v>0</v>
      </c>
      <c r="L3" s="8">
        <v>0</v>
      </c>
      <c r="M3" s="24">
        <v>0</v>
      </c>
      <c r="N3" s="8">
        <v>0</v>
      </c>
    </row>
    <row r="4" spans="1:14" x14ac:dyDescent="0.35">
      <c r="A4" s="43" t="s">
        <v>191</v>
      </c>
      <c r="B4" s="43" t="s">
        <v>192</v>
      </c>
      <c r="C4" s="19">
        <v>0</v>
      </c>
      <c r="D4" s="3">
        <v>0</v>
      </c>
      <c r="E4" s="3">
        <v>0</v>
      </c>
      <c r="F4" s="3">
        <v>0</v>
      </c>
      <c r="G4" s="3">
        <v>1</v>
      </c>
      <c r="H4" s="9">
        <v>0</v>
      </c>
      <c r="I4" s="3">
        <v>0</v>
      </c>
      <c r="J4" s="3">
        <v>0</v>
      </c>
      <c r="K4" s="3">
        <v>0</v>
      </c>
      <c r="L4" s="3">
        <v>0</v>
      </c>
      <c r="M4" s="19">
        <v>1</v>
      </c>
      <c r="N4" s="3">
        <v>0</v>
      </c>
    </row>
    <row r="5" spans="1:14" x14ac:dyDescent="0.35">
      <c r="A5" s="43" t="s">
        <v>193</v>
      </c>
      <c r="B5" s="43" t="s">
        <v>194</v>
      </c>
      <c r="C5" s="19">
        <v>0</v>
      </c>
      <c r="D5" s="3">
        <v>0</v>
      </c>
      <c r="E5" s="3">
        <v>0</v>
      </c>
      <c r="F5" s="3">
        <v>0</v>
      </c>
      <c r="G5" s="3">
        <v>1</v>
      </c>
      <c r="H5" s="9">
        <v>0</v>
      </c>
      <c r="I5" s="3">
        <v>0</v>
      </c>
      <c r="J5" s="3">
        <v>1</v>
      </c>
      <c r="K5" s="3">
        <v>0</v>
      </c>
      <c r="L5" s="3">
        <v>1</v>
      </c>
      <c r="M5" s="19">
        <v>1</v>
      </c>
      <c r="N5" s="3">
        <v>0</v>
      </c>
    </row>
    <row r="6" spans="1:14" x14ac:dyDescent="0.35">
      <c r="A6" s="43" t="s">
        <v>195</v>
      </c>
      <c r="B6" s="43" t="s">
        <v>196</v>
      </c>
      <c r="C6" s="19">
        <v>0</v>
      </c>
      <c r="D6" s="3">
        <v>0</v>
      </c>
      <c r="E6" s="3">
        <v>0</v>
      </c>
      <c r="F6" s="3">
        <v>0</v>
      </c>
      <c r="G6" s="3">
        <v>0</v>
      </c>
      <c r="H6" s="9">
        <v>0</v>
      </c>
      <c r="I6" s="3">
        <v>0</v>
      </c>
      <c r="J6" s="3">
        <v>0</v>
      </c>
      <c r="K6" s="3">
        <v>0</v>
      </c>
      <c r="L6" s="3">
        <v>0</v>
      </c>
      <c r="M6" s="19">
        <v>0</v>
      </c>
      <c r="N6" s="3">
        <v>0</v>
      </c>
    </row>
    <row r="7" spans="1:14" x14ac:dyDescent="0.35">
      <c r="A7" s="43" t="s">
        <v>197</v>
      </c>
      <c r="B7" s="43" t="s">
        <v>198</v>
      </c>
      <c r="C7" s="46">
        <v>0</v>
      </c>
      <c r="D7" s="45">
        <v>0</v>
      </c>
      <c r="E7" s="45">
        <v>0</v>
      </c>
      <c r="F7" s="45">
        <v>0</v>
      </c>
      <c r="G7" s="45">
        <v>0</v>
      </c>
      <c r="H7" s="44">
        <v>0</v>
      </c>
      <c r="I7" s="45">
        <v>0</v>
      </c>
      <c r="J7" s="45">
        <v>0</v>
      </c>
      <c r="K7" s="45">
        <v>0</v>
      </c>
      <c r="L7" s="45">
        <v>0</v>
      </c>
      <c r="M7" s="46">
        <v>0</v>
      </c>
      <c r="N7" s="45">
        <v>0</v>
      </c>
    </row>
    <row r="8" spans="1:14" x14ac:dyDescent="0.35">
      <c r="A8" s="43" t="s">
        <v>199</v>
      </c>
      <c r="B8" s="43" t="s">
        <v>200</v>
      </c>
      <c r="C8" s="23">
        <v>0</v>
      </c>
      <c r="D8" s="15">
        <v>0</v>
      </c>
      <c r="E8" s="15">
        <v>0</v>
      </c>
      <c r="F8" s="15">
        <v>0</v>
      </c>
      <c r="G8" s="15">
        <v>1</v>
      </c>
      <c r="H8" s="14">
        <v>0</v>
      </c>
      <c r="I8" s="15">
        <v>0</v>
      </c>
      <c r="J8" s="15">
        <v>0</v>
      </c>
      <c r="K8" s="15">
        <v>0</v>
      </c>
      <c r="L8" s="15">
        <v>1</v>
      </c>
      <c r="M8" s="23">
        <v>1</v>
      </c>
      <c r="N8" s="15">
        <v>0</v>
      </c>
    </row>
    <row r="9" spans="1:14" x14ac:dyDescent="0.35">
      <c r="A9" s="43" t="s">
        <v>201</v>
      </c>
      <c r="B9" s="43" t="s">
        <v>202</v>
      </c>
      <c r="C9" s="19">
        <v>0</v>
      </c>
      <c r="D9" s="3">
        <v>0</v>
      </c>
      <c r="E9" s="3">
        <v>0</v>
      </c>
      <c r="F9" s="3">
        <v>0</v>
      </c>
      <c r="G9" s="3">
        <v>1</v>
      </c>
      <c r="H9" s="9">
        <v>0</v>
      </c>
      <c r="I9" s="3">
        <v>0</v>
      </c>
      <c r="J9" s="3">
        <v>0</v>
      </c>
      <c r="K9" s="3">
        <v>0</v>
      </c>
      <c r="L9" s="3">
        <v>1</v>
      </c>
      <c r="M9" s="19">
        <v>1</v>
      </c>
      <c r="N9" s="3">
        <v>0</v>
      </c>
    </row>
    <row r="10" spans="1:14" x14ac:dyDescent="0.35">
      <c r="A10" s="43" t="s">
        <v>203</v>
      </c>
      <c r="B10" s="43" t="s">
        <v>204</v>
      </c>
      <c r="C10" s="19">
        <v>0</v>
      </c>
      <c r="D10" s="3">
        <v>0</v>
      </c>
      <c r="E10" s="3">
        <v>0</v>
      </c>
      <c r="F10" s="3">
        <v>0</v>
      </c>
      <c r="G10" s="3">
        <v>1</v>
      </c>
      <c r="H10" s="9">
        <v>0</v>
      </c>
      <c r="I10" s="3">
        <v>0</v>
      </c>
      <c r="J10" s="3">
        <v>0</v>
      </c>
      <c r="K10" s="3">
        <v>0</v>
      </c>
      <c r="L10" s="3">
        <v>1</v>
      </c>
      <c r="M10" s="19">
        <v>1</v>
      </c>
      <c r="N10" s="3">
        <v>0</v>
      </c>
    </row>
    <row r="11" spans="1:14" x14ac:dyDescent="0.35">
      <c r="A11" s="43" t="s">
        <v>205</v>
      </c>
      <c r="B11" s="43" t="s">
        <v>206</v>
      </c>
      <c r="C11" s="19">
        <v>0</v>
      </c>
      <c r="D11" s="3">
        <v>0</v>
      </c>
      <c r="E11" s="3">
        <v>0</v>
      </c>
      <c r="F11" s="3">
        <v>0</v>
      </c>
      <c r="G11" s="3">
        <v>0</v>
      </c>
      <c r="H11" s="9">
        <v>0</v>
      </c>
      <c r="I11" s="3">
        <v>0</v>
      </c>
      <c r="J11" s="3">
        <v>0</v>
      </c>
      <c r="K11" s="3">
        <v>0</v>
      </c>
      <c r="L11" s="3">
        <v>0</v>
      </c>
      <c r="M11" s="19">
        <v>0</v>
      </c>
      <c r="N11" s="3">
        <v>0</v>
      </c>
    </row>
    <row r="12" spans="1:14" x14ac:dyDescent="0.35">
      <c r="A12" s="43" t="s">
        <v>207</v>
      </c>
      <c r="B12" s="43" t="s">
        <v>208</v>
      </c>
      <c r="C12" s="19">
        <v>0</v>
      </c>
      <c r="D12" s="3">
        <v>0</v>
      </c>
      <c r="E12" s="3">
        <v>0</v>
      </c>
      <c r="F12" s="3">
        <v>0</v>
      </c>
      <c r="G12" s="3">
        <v>0</v>
      </c>
      <c r="H12" s="9">
        <v>0</v>
      </c>
      <c r="I12" s="3">
        <v>0</v>
      </c>
      <c r="J12" s="3">
        <v>0</v>
      </c>
      <c r="K12" s="3">
        <v>0</v>
      </c>
      <c r="L12" s="3">
        <v>0</v>
      </c>
      <c r="M12" s="19">
        <v>0</v>
      </c>
      <c r="N12" s="3">
        <v>0</v>
      </c>
    </row>
    <row r="13" spans="1:14" x14ac:dyDescent="0.35">
      <c r="A13" s="49" t="s">
        <v>209</v>
      </c>
      <c r="B13" s="49" t="s">
        <v>210</v>
      </c>
      <c r="C13" s="28">
        <v>0</v>
      </c>
      <c r="D13" s="27">
        <v>0</v>
      </c>
      <c r="E13" s="27">
        <v>0</v>
      </c>
      <c r="F13" s="27">
        <v>0</v>
      </c>
      <c r="G13" s="27">
        <v>0</v>
      </c>
      <c r="H13" s="13">
        <v>0</v>
      </c>
      <c r="I13" s="27">
        <v>0</v>
      </c>
      <c r="J13" s="27">
        <v>0</v>
      </c>
      <c r="K13" s="27">
        <v>0</v>
      </c>
      <c r="L13" s="27">
        <v>0</v>
      </c>
      <c r="M13" s="28">
        <v>0</v>
      </c>
      <c r="N13" s="27">
        <v>0</v>
      </c>
    </row>
    <row r="14" spans="1:14" s="39" customFormat="1" x14ac:dyDescent="0.35">
      <c r="A14" s="43" t="s">
        <v>211</v>
      </c>
      <c r="B14" s="43" t="s">
        <v>212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s="50" customFormat="1" x14ac:dyDescent="0.35">
      <c r="A15" s="42"/>
      <c r="B15" s="4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s="50" customFormat="1" x14ac:dyDescent="0.35">
      <c r="A16" s="42"/>
      <c r="B16" s="4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 s="39" customFormat="1" x14ac:dyDescent="0.35">
      <c r="A17" s="52"/>
      <c r="B17" s="53"/>
      <c r="C17" s="67" t="s">
        <v>37</v>
      </c>
      <c r="D17" s="67" t="s">
        <v>38</v>
      </c>
      <c r="E17" s="67" t="s">
        <v>39</v>
      </c>
      <c r="F17" s="67" t="s">
        <v>40</v>
      </c>
      <c r="G17" s="67" t="s">
        <v>36</v>
      </c>
      <c r="H17" s="67" t="s">
        <v>41</v>
      </c>
      <c r="I17" s="67" t="s">
        <v>42</v>
      </c>
      <c r="J17" s="67" t="s">
        <v>43</v>
      </c>
      <c r="K17" s="67" t="s">
        <v>44</v>
      </c>
      <c r="L17" s="67" t="s">
        <v>45</v>
      </c>
      <c r="M17" s="67" t="s">
        <v>46</v>
      </c>
      <c r="N17" s="67" t="s">
        <v>47</v>
      </c>
    </row>
    <row r="18" spans="1:14" x14ac:dyDescent="0.35">
      <c r="A18" s="54" t="s">
        <v>0</v>
      </c>
      <c r="B18" s="55" t="s">
        <v>1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1:14" x14ac:dyDescent="0.35">
      <c r="A19" s="43" t="s">
        <v>213</v>
      </c>
      <c r="B19" s="43" t="s">
        <v>214</v>
      </c>
      <c r="C19" s="5">
        <v>0</v>
      </c>
      <c r="D19" s="6">
        <v>0</v>
      </c>
      <c r="E19" s="6">
        <v>0</v>
      </c>
      <c r="F19" s="6">
        <v>0</v>
      </c>
      <c r="G19" s="6">
        <v>0</v>
      </c>
      <c r="H19" s="5">
        <v>0</v>
      </c>
      <c r="I19" s="6">
        <v>0</v>
      </c>
      <c r="J19" s="6">
        <v>1</v>
      </c>
      <c r="K19" s="6">
        <v>0</v>
      </c>
      <c r="L19" s="6">
        <v>0</v>
      </c>
      <c r="M19" s="18">
        <v>1</v>
      </c>
      <c r="N19" s="6">
        <v>1</v>
      </c>
    </row>
    <row r="20" spans="1:14" x14ac:dyDescent="0.35">
      <c r="A20" s="43" t="s">
        <v>215</v>
      </c>
      <c r="B20" s="43" t="s">
        <v>216</v>
      </c>
      <c r="C20" s="9">
        <v>0</v>
      </c>
      <c r="D20" s="3">
        <v>0</v>
      </c>
      <c r="E20" s="3">
        <v>0</v>
      </c>
      <c r="F20" s="3">
        <v>0</v>
      </c>
      <c r="G20" s="3">
        <v>0</v>
      </c>
      <c r="H20" s="9">
        <v>0</v>
      </c>
      <c r="I20" s="3">
        <v>0</v>
      </c>
      <c r="J20" s="3">
        <v>1</v>
      </c>
      <c r="K20" s="3">
        <v>0</v>
      </c>
      <c r="L20" s="3">
        <v>0</v>
      </c>
      <c r="M20" s="19">
        <v>1</v>
      </c>
      <c r="N20" s="3">
        <v>1</v>
      </c>
    </row>
    <row r="21" spans="1:14" x14ac:dyDescent="0.35">
      <c r="A21" s="43" t="s">
        <v>217</v>
      </c>
      <c r="B21" s="43" t="s">
        <v>218</v>
      </c>
      <c r="C21" s="13">
        <v>0</v>
      </c>
      <c r="D21" s="27">
        <v>0</v>
      </c>
      <c r="E21" s="27">
        <v>0</v>
      </c>
      <c r="F21" s="27">
        <v>0</v>
      </c>
      <c r="G21" s="27">
        <v>0</v>
      </c>
      <c r="H21" s="13">
        <v>0</v>
      </c>
      <c r="I21" s="27">
        <v>0</v>
      </c>
      <c r="J21" s="27">
        <v>0</v>
      </c>
      <c r="K21" s="27">
        <v>0</v>
      </c>
      <c r="L21" s="27">
        <v>0</v>
      </c>
      <c r="M21" s="28">
        <v>0</v>
      </c>
      <c r="N21" s="27">
        <v>0</v>
      </c>
    </row>
    <row r="22" spans="1:14" x14ac:dyDescent="0.35">
      <c r="A22" s="43" t="s">
        <v>219</v>
      </c>
      <c r="B22" s="43" t="s">
        <v>220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1</v>
      </c>
      <c r="K22" s="27">
        <v>0</v>
      </c>
      <c r="L22" s="27">
        <v>0</v>
      </c>
      <c r="M22" s="27">
        <v>1</v>
      </c>
      <c r="N22" s="27">
        <v>1</v>
      </c>
    </row>
    <row r="23" spans="1:14" s="39" customFormat="1" x14ac:dyDescent="0.35">
      <c r="A23" s="43" t="s">
        <v>221</v>
      </c>
      <c r="B23" s="43" t="s">
        <v>222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1</v>
      </c>
      <c r="N23" s="3">
        <v>1</v>
      </c>
    </row>
    <row r="24" spans="1:14" x14ac:dyDescent="0.35">
      <c r="A24" s="43" t="s">
        <v>223</v>
      </c>
      <c r="B24" s="43" t="s">
        <v>224</v>
      </c>
      <c r="C24" s="86">
        <v>0</v>
      </c>
      <c r="D24" s="86">
        <v>0</v>
      </c>
      <c r="E24" s="86">
        <v>0</v>
      </c>
      <c r="F24" s="86">
        <v>0</v>
      </c>
      <c r="G24" s="86">
        <v>1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</row>
    <row r="25" spans="1:14" x14ac:dyDescent="0.35">
      <c r="A25" s="43" t="s">
        <v>360</v>
      </c>
      <c r="B25" s="87" t="s">
        <v>361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1</v>
      </c>
      <c r="K25" s="85">
        <v>0</v>
      </c>
      <c r="L25" s="85">
        <v>0</v>
      </c>
      <c r="M25" s="85">
        <v>1</v>
      </c>
      <c r="N25" s="85">
        <v>1</v>
      </c>
    </row>
    <row r="26" spans="1:14" x14ac:dyDescent="0.35">
      <c r="A26" s="43" t="s">
        <v>360</v>
      </c>
      <c r="B26" s="87" t="s">
        <v>362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1</v>
      </c>
      <c r="K26" s="85">
        <v>1</v>
      </c>
      <c r="L26" s="85">
        <v>0</v>
      </c>
      <c r="M26" s="85">
        <v>1</v>
      </c>
      <c r="N26" s="85">
        <v>1</v>
      </c>
    </row>
    <row r="27" spans="1:14" x14ac:dyDescent="0.35">
      <c r="A27" s="43" t="s">
        <v>360</v>
      </c>
      <c r="B27" s="87" t="s">
        <v>363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1</v>
      </c>
      <c r="N27" s="85">
        <v>1</v>
      </c>
    </row>
    <row r="28" spans="1:14" x14ac:dyDescent="0.35">
      <c r="A28" s="43" t="s">
        <v>360</v>
      </c>
      <c r="B28" s="87" t="s">
        <v>364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1</v>
      </c>
      <c r="K28" s="85">
        <v>0</v>
      </c>
      <c r="L28" s="85">
        <v>0</v>
      </c>
      <c r="M28" s="85">
        <v>1</v>
      </c>
      <c r="N28" s="85">
        <v>1</v>
      </c>
    </row>
    <row r="29" spans="1:14" x14ac:dyDescent="0.35">
      <c r="A29" s="43" t="s">
        <v>360</v>
      </c>
      <c r="B29" s="87" t="s">
        <v>365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1</v>
      </c>
      <c r="K29" s="85">
        <v>0</v>
      </c>
      <c r="L29" s="85">
        <v>0</v>
      </c>
      <c r="M29" s="85">
        <v>1</v>
      </c>
      <c r="N29" s="85">
        <v>1</v>
      </c>
    </row>
    <row r="30" spans="1:14" x14ac:dyDescent="0.35">
      <c r="A30" s="43" t="s">
        <v>360</v>
      </c>
      <c r="B30" s="87" t="s">
        <v>366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1</v>
      </c>
      <c r="K30" s="85">
        <v>0</v>
      </c>
      <c r="L30" s="85">
        <v>0</v>
      </c>
      <c r="M30" s="85">
        <v>1</v>
      </c>
      <c r="N30" s="85">
        <v>1</v>
      </c>
    </row>
    <row r="31" spans="1:14" x14ac:dyDescent="0.35">
      <c r="A31" s="43" t="s">
        <v>360</v>
      </c>
      <c r="B31" s="87" t="s">
        <v>367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1</v>
      </c>
      <c r="K31" s="85">
        <v>0</v>
      </c>
      <c r="L31" s="85">
        <v>0</v>
      </c>
      <c r="M31" s="85">
        <v>1</v>
      </c>
      <c r="N31" s="85">
        <v>1</v>
      </c>
    </row>
    <row r="32" spans="1:14" x14ac:dyDescent="0.35">
      <c r="A32" s="43" t="s">
        <v>360</v>
      </c>
      <c r="B32" s="87" t="s">
        <v>368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1</v>
      </c>
      <c r="K32" s="85">
        <v>0</v>
      </c>
      <c r="L32" s="85">
        <v>0</v>
      </c>
      <c r="M32" s="85">
        <v>1</v>
      </c>
      <c r="N32" s="85">
        <v>1</v>
      </c>
    </row>
    <row r="33" spans="1:14" x14ac:dyDescent="0.35">
      <c r="A33" s="43" t="s">
        <v>360</v>
      </c>
      <c r="B33" s="87" t="s">
        <v>369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1</v>
      </c>
      <c r="K33" s="85">
        <v>0</v>
      </c>
      <c r="L33" s="85">
        <v>0</v>
      </c>
      <c r="M33" s="85">
        <v>1</v>
      </c>
      <c r="N33" s="85">
        <v>1</v>
      </c>
    </row>
    <row r="34" spans="1:14" x14ac:dyDescent="0.35">
      <c r="A34" s="43" t="s">
        <v>360</v>
      </c>
      <c r="B34" s="87" t="s">
        <v>370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1</v>
      </c>
      <c r="K34" s="85">
        <v>0</v>
      </c>
      <c r="L34" s="85">
        <v>0</v>
      </c>
      <c r="M34" s="85">
        <v>1</v>
      </c>
      <c r="N34" s="85">
        <v>1</v>
      </c>
    </row>
    <row r="35" spans="1:14" x14ac:dyDescent="0.35">
      <c r="A35" s="43" t="s">
        <v>360</v>
      </c>
      <c r="B35" s="87" t="s">
        <v>371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>
        <v>0</v>
      </c>
      <c r="L35" s="85">
        <v>0</v>
      </c>
      <c r="M35" s="85">
        <v>1</v>
      </c>
      <c r="N35" s="85">
        <v>1</v>
      </c>
    </row>
    <row r="36" spans="1:14" x14ac:dyDescent="0.35">
      <c r="A36" s="43" t="s">
        <v>360</v>
      </c>
      <c r="B36" s="87" t="s">
        <v>372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0</v>
      </c>
      <c r="L36" s="85">
        <v>0</v>
      </c>
      <c r="M36" s="85">
        <v>1</v>
      </c>
      <c r="N36" s="85">
        <v>1</v>
      </c>
    </row>
    <row r="37" spans="1:14" x14ac:dyDescent="0.35">
      <c r="A37" s="43" t="s">
        <v>231</v>
      </c>
      <c r="B37" s="43" t="s">
        <v>232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</v>
      </c>
      <c r="K37" s="3">
        <v>1</v>
      </c>
      <c r="L37" s="3">
        <v>0</v>
      </c>
      <c r="M37" s="3">
        <v>1</v>
      </c>
      <c r="N37" s="3">
        <v>1</v>
      </c>
    </row>
    <row r="38" spans="1:14" x14ac:dyDescent="0.35">
      <c r="A38" s="43"/>
      <c r="B38" s="8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5">
      <c r="A39" s="43"/>
      <c r="B39" s="8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5">
      <c r="A40" s="43"/>
      <c r="B40" s="87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</row>
    <row r="41" spans="1:14" s="39" customFormat="1" x14ac:dyDescent="0.35">
      <c r="A41" s="52"/>
      <c r="B41" s="53"/>
      <c r="C41" s="67" t="s">
        <v>37</v>
      </c>
      <c r="D41" s="67" t="s">
        <v>38</v>
      </c>
      <c r="E41" s="67" t="s">
        <v>39</v>
      </c>
      <c r="F41" s="67" t="s">
        <v>40</v>
      </c>
      <c r="G41" s="67" t="s">
        <v>36</v>
      </c>
      <c r="H41" s="67" t="s">
        <v>41</v>
      </c>
      <c r="I41" s="67" t="s">
        <v>42</v>
      </c>
      <c r="J41" s="67" t="s">
        <v>43</v>
      </c>
      <c r="K41" s="67" t="s">
        <v>44</v>
      </c>
      <c r="L41" s="67" t="s">
        <v>45</v>
      </c>
      <c r="M41" s="67" t="s">
        <v>46</v>
      </c>
      <c r="N41" s="67" t="s">
        <v>47</v>
      </c>
    </row>
    <row r="42" spans="1:14" x14ac:dyDescent="0.35">
      <c r="A42" s="105" t="s">
        <v>386</v>
      </c>
      <c r="B42" s="87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</row>
    <row r="43" spans="1:14" x14ac:dyDescent="0.35">
      <c r="A43" s="43" t="s">
        <v>225</v>
      </c>
      <c r="B43" s="87" t="s">
        <v>226</v>
      </c>
      <c r="C43" s="85">
        <v>0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>
        <v>1</v>
      </c>
      <c r="L43" s="85">
        <v>0</v>
      </c>
      <c r="M43" s="85">
        <v>0</v>
      </c>
      <c r="N43" s="85">
        <v>0</v>
      </c>
    </row>
    <row r="44" spans="1:14" x14ac:dyDescent="0.35">
      <c r="A44" s="43" t="s">
        <v>227</v>
      </c>
      <c r="B44" s="43" t="s">
        <v>228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</row>
    <row r="45" spans="1:14" x14ac:dyDescent="0.35">
      <c r="A45" s="43" t="s">
        <v>229</v>
      </c>
      <c r="B45" s="43" t="s">
        <v>230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</row>
    <row r="46" spans="1:14" x14ac:dyDescent="0.35">
      <c r="A46" s="43" t="s">
        <v>233</v>
      </c>
      <c r="B46" s="43" t="s">
        <v>234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</row>
    <row r="47" spans="1:14" x14ac:dyDescent="0.35">
      <c r="A47" s="43" t="s">
        <v>235</v>
      </c>
      <c r="B47" s="43" t="s">
        <v>236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35">
      <c r="A48" s="43" t="s">
        <v>440</v>
      </c>
      <c r="B48" s="43" t="s">
        <v>447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1</v>
      </c>
      <c r="L48" s="3">
        <v>0</v>
      </c>
      <c r="M48" s="3">
        <v>0</v>
      </c>
      <c r="N48" s="3">
        <v>0</v>
      </c>
    </row>
    <row r="49" spans="1:14" x14ac:dyDescent="0.35">
      <c r="A49" s="43" t="s">
        <v>441</v>
      </c>
      <c r="B49" s="43" t="s">
        <v>448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</row>
    <row r="50" spans="1:14" x14ac:dyDescent="0.35">
      <c r="A50" s="43" t="s">
        <v>442</v>
      </c>
      <c r="B50" s="43" t="s">
        <v>449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35">
      <c r="A51" s="43" t="s">
        <v>443</v>
      </c>
      <c r="B51" s="43" t="s">
        <v>450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35">
      <c r="A52" s="43" t="s">
        <v>444</v>
      </c>
      <c r="B52" s="43" t="s">
        <v>451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35">
      <c r="A53" s="43" t="s">
        <v>445</v>
      </c>
      <c r="B53" s="43" t="s">
        <v>452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35">
      <c r="A54" s="43" t="s">
        <v>446</v>
      </c>
      <c r="B54" s="43" t="s">
        <v>453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</row>
  </sheetData>
  <pageMargins left="0.7" right="0.7" top="0.75" bottom="0.75" header="0.3" footer="0.3"/>
  <pageSetup paperSize="9" scale="5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13" zoomScaleNormal="100" workbookViewId="0">
      <pane xSplit="2" topLeftCell="C1" activePane="topRight" state="frozen"/>
      <selection pane="topRight" activeCell="A26" sqref="A26:N36"/>
    </sheetView>
  </sheetViews>
  <sheetFormatPr defaultColWidth="8.90625" defaultRowHeight="14.5" x14ac:dyDescent="0.35"/>
  <cols>
    <col min="1" max="1" width="23.54296875" customWidth="1"/>
  </cols>
  <sheetData>
    <row r="1" spans="1:14" ht="15" thickBot="1" x14ac:dyDescent="0.4">
      <c r="A1" s="25"/>
      <c r="B1" s="26"/>
      <c r="C1" s="64" t="s">
        <v>37</v>
      </c>
      <c r="D1" s="64" t="s">
        <v>38</v>
      </c>
      <c r="E1" s="64" t="s">
        <v>39</v>
      </c>
      <c r="F1" s="64" t="s">
        <v>40</v>
      </c>
      <c r="G1" s="64" t="s">
        <v>36</v>
      </c>
      <c r="H1" s="64" t="s">
        <v>41</v>
      </c>
      <c r="I1" s="66" t="s">
        <v>42</v>
      </c>
      <c r="J1" s="66" t="s">
        <v>43</v>
      </c>
      <c r="K1" s="66" t="s">
        <v>44</v>
      </c>
      <c r="L1" s="66" t="s">
        <v>45</v>
      </c>
      <c r="M1" s="64" t="s">
        <v>46</v>
      </c>
      <c r="N1" s="66" t="s">
        <v>47</v>
      </c>
    </row>
    <row r="2" spans="1:14" ht="15" thickBot="1" x14ac:dyDescent="0.4">
      <c r="A2" s="30" t="s">
        <v>0</v>
      </c>
      <c r="B2" s="32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1"/>
      <c r="N2" s="2"/>
    </row>
    <row r="3" spans="1:14" x14ac:dyDescent="0.35">
      <c r="A3" s="43" t="s">
        <v>237</v>
      </c>
      <c r="B3" s="43" t="s">
        <v>238</v>
      </c>
      <c r="C3" s="24">
        <v>0</v>
      </c>
      <c r="D3" s="8">
        <v>0</v>
      </c>
      <c r="E3" s="8">
        <v>0</v>
      </c>
      <c r="F3" s="8">
        <v>1</v>
      </c>
      <c r="G3" s="8">
        <v>1</v>
      </c>
      <c r="H3" s="7">
        <v>0</v>
      </c>
      <c r="I3" s="8">
        <v>1</v>
      </c>
      <c r="J3" s="8">
        <v>0</v>
      </c>
      <c r="K3" s="8">
        <v>0</v>
      </c>
      <c r="L3" s="8">
        <v>0</v>
      </c>
      <c r="M3" s="24">
        <v>0</v>
      </c>
      <c r="N3" s="8">
        <v>0</v>
      </c>
    </row>
    <row r="4" spans="1:14" x14ac:dyDescent="0.35">
      <c r="A4" s="43" t="s">
        <v>239</v>
      </c>
      <c r="B4" s="43" t="s">
        <v>240</v>
      </c>
      <c r="C4" s="19">
        <v>0</v>
      </c>
      <c r="D4" s="3">
        <v>0</v>
      </c>
      <c r="E4" s="3">
        <v>0</v>
      </c>
      <c r="F4" s="3">
        <v>0</v>
      </c>
      <c r="G4" s="3">
        <v>0</v>
      </c>
      <c r="H4" s="9">
        <v>0</v>
      </c>
      <c r="I4" s="3">
        <v>0</v>
      </c>
      <c r="J4" s="3">
        <v>0</v>
      </c>
      <c r="K4" s="3">
        <v>0</v>
      </c>
      <c r="L4" s="3">
        <v>0</v>
      </c>
      <c r="M4" s="19">
        <v>0</v>
      </c>
      <c r="N4" s="3">
        <v>0</v>
      </c>
    </row>
    <row r="5" spans="1:14" x14ac:dyDescent="0.35">
      <c r="A5" s="43" t="s">
        <v>241</v>
      </c>
      <c r="B5" s="43" t="s">
        <v>242</v>
      </c>
      <c r="C5" s="19">
        <v>0</v>
      </c>
      <c r="D5" s="3">
        <v>0</v>
      </c>
      <c r="E5" s="3">
        <v>0</v>
      </c>
      <c r="F5" s="3">
        <v>0</v>
      </c>
      <c r="G5" s="3">
        <v>0</v>
      </c>
      <c r="H5" s="9">
        <v>0</v>
      </c>
      <c r="I5" s="3">
        <v>0</v>
      </c>
      <c r="J5" s="3">
        <v>0</v>
      </c>
      <c r="K5" s="3">
        <v>0</v>
      </c>
      <c r="L5" s="3">
        <v>0</v>
      </c>
      <c r="M5" s="19">
        <v>0</v>
      </c>
      <c r="N5" s="3">
        <v>0</v>
      </c>
    </row>
    <row r="6" spans="1:14" x14ac:dyDescent="0.35">
      <c r="A6" s="43" t="s">
        <v>243</v>
      </c>
      <c r="B6" s="43" t="s">
        <v>244</v>
      </c>
      <c r="C6" s="19">
        <v>0</v>
      </c>
      <c r="D6" s="3">
        <v>0</v>
      </c>
      <c r="E6" s="3">
        <v>0</v>
      </c>
      <c r="F6" s="3">
        <v>0</v>
      </c>
      <c r="G6" s="3">
        <v>0</v>
      </c>
      <c r="H6" s="9">
        <v>0</v>
      </c>
      <c r="I6" s="3">
        <v>0</v>
      </c>
      <c r="J6" s="3">
        <v>0</v>
      </c>
      <c r="K6" s="3">
        <v>0</v>
      </c>
      <c r="L6" s="3">
        <v>0</v>
      </c>
      <c r="M6" s="19">
        <v>0</v>
      </c>
      <c r="N6" s="3">
        <v>0</v>
      </c>
    </row>
    <row r="7" spans="1:14" x14ac:dyDescent="0.35">
      <c r="A7" s="43" t="s">
        <v>245</v>
      </c>
      <c r="B7" s="43" t="s">
        <v>246</v>
      </c>
      <c r="C7" s="46">
        <v>0</v>
      </c>
      <c r="D7" s="45">
        <v>0</v>
      </c>
      <c r="E7" s="45">
        <v>0</v>
      </c>
      <c r="F7" s="45">
        <v>0</v>
      </c>
      <c r="G7" s="45">
        <v>0</v>
      </c>
      <c r="H7" s="44">
        <v>0</v>
      </c>
      <c r="I7" s="45">
        <v>0</v>
      </c>
      <c r="J7" s="45">
        <v>0</v>
      </c>
      <c r="K7" s="45">
        <v>0</v>
      </c>
      <c r="L7" s="45">
        <v>0</v>
      </c>
      <c r="M7" s="46">
        <v>0</v>
      </c>
      <c r="N7" s="45">
        <v>0</v>
      </c>
    </row>
    <row r="8" spans="1:14" x14ac:dyDescent="0.35">
      <c r="A8" s="43" t="s">
        <v>247</v>
      </c>
      <c r="B8" s="43" t="s">
        <v>248</v>
      </c>
      <c r="C8" s="23">
        <v>0</v>
      </c>
      <c r="D8" s="15">
        <v>0</v>
      </c>
      <c r="E8" s="15">
        <v>0</v>
      </c>
      <c r="F8" s="15">
        <v>0</v>
      </c>
      <c r="G8" s="15">
        <v>0</v>
      </c>
      <c r="H8" s="14">
        <v>0</v>
      </c>
      <c r="I8" s="15">
        <v>0</v>
      </c>
      <c r="J8" s="15">
        <v>0</v>
      </c>
      <c r="K8" s="15">
        <v>0</v>
      </c>
      <c r="L8" s="15">
        <v>0</v>
      </c>
      <c r="M8" s="23">
        <v>0</v>
      </c>
      <c r="N8" s="15">
        <v>0</v>
      </c>
    </row>
    <row r="9" spans="1:14" x14ac:dyDescent="0.35">
      <c r="A9" s="43" t="s">
        <v>249</v>
      </c>
      <c r="B9" s="43" t="s">
        <v>250</v>
      </c>
      <c r="C9" s="19">
        <v>0</v>
      </c>
      <c r="D9" s="3">
        <v>0</v>
      </c>
      <c r="E9" s="3">
        <v>0</v>
      </c>
      <c r="F9" s="3">
        <v>0</v>
      </c>
      <c r="G9" s="3">
        <v>0</v>
      </c>
      <c r="H9" s="9">
        <v>0</v>
      </c>
      <c r="I9" s="3">
        <v>0</v>
      </c>
      <c r="J9" s="3">
        <v>0</v>
      </c>
      <c r="K9" s="3">
        <v>0</v>
      </c>
      <c r="L9" s="3">
        <v>0</v>
      </c>
      <c r="M9" s="19">
        <v>0</v>
      </c>
      <c r="N9" s="3">
        <v>0</v>
      </c>
    </row>
    <row r="10" spans="1:14" x14ac:dyDescent="0.35">
      <c r="A10" s="43" t="s">
        <v>251</v>
      </c>
      <c r="B10" s="43" t="s">
        <v>252</v>
      </c>
      <c r="C10" s="19">
        <v>0</v>
      </c>
      <c r="D10" s="3">
        <v>0</v>
      </c>
      <c r="E10" s="3">
        <v>0</v>
      </c>
      <c r="F10" s="3">
        <v>0</v>
      </c>
      <c r="G10" s="3">
        <v>0</v>
      </c>
      <c r="H10" s="9">
        <v>0</v>
      </c>
      <c r="I10" s="3">
        <v>0</v>
      </c>
      <c r="J10" s="3">
        <v>0</v>
      </c>
      <c r="K10" s="3">
        <v>0</v>
      </c>
      <c r="L10" s="3">
        <v>0</v>
      </c>
      <c r="M10" s="19">
        <v>0</v>
      </c>
      <c r="N10" s="3">
        <v>0</v>
      </c>
    </row>
    <row r="11" spans="1:14" x14ac:dyDescent="0.35">
      <c r="A11" s="43" t="s">
        <v>253</v>
      </c>
      <c r="B11" s="43" t="s">
        <v>254</v>
      </c>
      <c r="C11" s="19">
        <v>0</v>
      </c>
      <c r="D11" s="3">
        <v>0</v>
      </c>
      <c r="E11" s="3">
        <v>0</v>
      </c>
      <c r="F11" s="3">
        <v>0</v>
      </c>
      <c r="G11" s="3">
        <v>0</v>
      </c>
      <c r="H11" s="9">
        <v>0</v>
      </c>
      <c r="I11" s="3">
        <v>0</v>
      </c>
      <c r="J11" s="3">
        <v>0</v>
      </c>
      <c r="K11" s="3">
        <v>0</v>
      </c>
      <c r="L11" s="3">
        <v>0</v>
      </c>
      <c r="M11" s="19">
        <v>0</v>
      </c>
      <c r="N11" s="3">
        <v>0</v>
      </c>
    </row>
    <row r="12" spans="1:14" x14ac:dyDescent="0.35">
      <c r="A12" s="43" t="s">
        <v>255</v>
      </c>
      <c r="B12" s="43" t="s">
        <v>256</v>
      </c>
      <c r="C12" s="19">
        <v>0</v>
      </c>
      <c r="D12" s="3">
        <v>0</v>
      </c>
      <c r="E12" s="3">
        <v>0</v>
      </c>
      <c r="F12" s="3">
        <v>0</v>
      </c>
      <c r="G12" s="3">
        <v>1</v>
      </c>
      <c r="H12" s="9">
        <v>0</v>
      </c>
      <c r="I12" s="3">
        <v>0</v>
      </c>
      <c r="J12" s="3">
        <v>0</v>
      </c>
      <c r="K12" s="3">
        <v>0</v>
      </c>
      <c r="L12" s="3">
        <v>0</v>
      </c>
      <c r="M12" s="19">
        <v>0</v>
      </c>
      <c r="N12" s="3">
        <v>0</v>
      </c>
    </row>
    <row r="13" spans="1:14" x14ac:dyDescent="0.35">
      <c r="A13" s="43" t="s">
        <v>257</v>
      </c>
      <c r="B13" s="43" t="s">
        <v>258</v>
      </c>
      <c r="C13" s="28">
        <v>0</v>
      </c>
      <c r="D13" s="27">
        <v>0</v>
      </c>
      <c r="E13" s="27">
        <v>0</v>
      </c>
      <c r="F13" s="27">
        <v>1</v>
      </c>
      <c r="G13" s="27">
        <v>1</v>
      </c>
      <c r="H13" s="13">
        <v>0</v>
      </c>
      <c r="I13" s="27">
        <v>1</v>
      </c>
      <c r="J13" s="27">
        <v>0</v>
      </c>
      <c r="K13" s="27">
        <v>0</v>
      </c>
      <c r="L13" s="27">
        <v>0</v>
      </c>
      <c r="M13" s="28">
        <v>0</v>
      </c>
      <c r="N13" s="27">
        <v>0</v>
      </c>
    </row>
    <row r="14" spans="1:14" s="39" customFormat="1" x14ac:dyDescent="0.35">
      <c r="A14" s="43" t="s">
        <v>259</v>
      </c>
      <c r="B14" s="43" t="s">
        <v>260</v>
      </c>
      <c r="C14" s="19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s="39" customFormat="1" x14ac:dyDescent="0.35">
      <c r="A15" s="43"/>
      <c r="B15" s="43"/>
      <c r="C15" s="1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s="39" customFormat="1" x14ac:dyDescent="0.35">
      <c r="A16" s="43"/>
      <c r="B16" s="43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s="39" customFormat="1" x14ac:dyDescent="0.35">
      <c r="A17" s="43"/>
      <c r="B17" s="43"/>
      <c r="C17" s="1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s="39" customFormat="1" x14ac:dyDescent="0.35">
      <c r="A18" s="106" t="s">
        <v>0</v>
      </c>
      <c r="B18" s="43"/>
      <c r="C18" s="1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s="39" customFormat="1" x14ac:dyDescent="0.35">
      <c r="A19" s="43" t="s">
        <v>383</v>
      </c>
      <c r="B19" s="43" t="s">
        <v>382</v>
      </c>
      <c r="C19" s="19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1</v>
      </c>
      <c r="N19" s="3">
        <v>0</v>
      </c>
    </row>
    <row r="20" spans="1:14" s="39" customFormat="1" x14ac:dyDescent="0.35">
      <c r="A20" s="43" t="s">
        <v>383</v>
      </c>
      <c r="B20" s="43" t="s">
        <v>378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1</v>
      </c>
      <c r="N20" s="3">
        <v>1</v>
      </c>
    </row>
    <row r="21" spans="1:14" s="39" customFormat="1" x14ac:dyDescent="0.35">
      <c r="A21" s="43" t="s">
        <v>383</v>
      </c>
      <c r="B21" s="43" t="s">
        <v>381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1</v>
      </c>
      <c r="N21" s="3">
        <v>0</v>
      </c>
    </row>
    <row r="22" spans="1:14" x14ac:dyDescent="0.35">
      <c r="A22" s="47"/>
      <c r="B22" s="47"/>
    </row>
    <row r="23" spans="1:14" x14ac:dyDescent="0.35">
      <c r="A23" s="47"/>
      <c r="B23" s="47"/>
    </row>
    <row r="24" spans="1:14" s="39" customFormat="1" x14ac:dyDescent="0.35">
      <c r="A24" s="52"/>
      <c r="B24" s="53"/>
      <c r="C24" s="38" t="s">
        <v>37</v>
      </c>
      <c r="D24" s="38" t="s">
        <v>38</v>
      </c>
      <c r="E24" s="38" t="s">
        <v>39</v>
      </c>
      <c r="F24" s="38" t="s">
        <v>40</v>
      </c>
      <c r="G24" s="38" t="s">
        <v>36</v>
      </c>
      <c r="H24" s="38" t="s">
        <v>41</v>
      </c>
      <c r="I24" s="38" t="s">
        <v>42</v>
      </c>
      <c r="J24" s="38" t="s">
        <v>43</v>
      </c>
      <c r="K24" s="38" t="s">
        <v>44</v>
      </c>
      <c r="L24" s="38" t="s">
        <v>45</v>
      </c>
      <c r="M24" s="38" t="s">
        <v>46</v>
      </c>
      <c r="N24" s="38" t="s">
        <v>47</v>
      </c>
    </row>
    <row r="25" spans="1:14" x14ac:dyDescent="0.35">
      <c r="A25" s="54" t="s">
        <v>0</v>
      </c>
      <c r="B25" s="55" t="s">
        <v>1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x14ac:dyDescent="0.35">
      <c r="A26" s="43" t="s">
        <v>261</v>
      </c>
      <c r="B26" s="43" t="s">
        <v>262</v>
      </c>
      <c r="C26" s="5"/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x14ac:dyDescent="0.35">
      <c r="A27" s="43" t="s">
        <v>263</v>
      </c>
      <c r="B27" s="43" t="s">
        <v>264</v>
      </c>
      <c r="C27" s="9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x14ac:dyDescent="0.35">
      <c r="A28" s="43" t="s">
        <v>265</v>
      </c>
      <c r="B28" s="43" t="s">
        <v>266</v>
      </c>
      <c r="C28" s="13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x14ac:dyDescent="0.35">
      <c r="A29" s="43" t="s">
        <v>267</v>
      </c>
      <c r="B29" s="43" t="s">
        <v>268</v>
      </c>
      <c r="C29" s="27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s="39" customFormat="1" x14ac:dyDescent="0.35">
      <c r="A30" s="43" t="s">
        <v>269</v>
      </c>
      <c r="B30" s="43" t="s">
        <v>270</v>
      </c>
      <c r="C30" s="3"/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x14ac:dyDescent="0.35">
      <c r="A31" s="43" t="s">
        <v>271</v>
      </c>
      <c r="B31" s="43" t="s">
        <v>272</v>
      </c>
      <c r="C31" s="48"/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x14ac:dyDescent="0.35">
      <c r="A32" s="43" t="s">
        <v>273</v>
      </c>
      <c r="B32" s="43" t="s">
        <v>274</v>
      </c>
      <c r="C32" s="41"/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x14ac:dyDescent="0.35">
      <c r="A33" s="43" t="s">
        <v>275</v>
      </c>
      <c r="B33" s="43" t="s">
        <v>276</v>
      </c>
      <c r="C33" s="3"/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x14ac:dyDescent="0.35">
      <c r="A34" s="43" t="s">
        <v>277</v>
      </c>
      <c r="B34" s="43" t="s">
        <v>278</v>
      </c>
      <c r="C34" s="3"/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x14ac:dyDescent="0.35">
      <c r="A35" s="43" t="s">
        <v>279</v>
      </c>
      <c r="B35" s="43" t="s">
        <v>280</v>
      </c>
      <c r="C35" s="3"/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x14ac:dyDescent="0.35">
      <c r="A36" s="43" t="s">
        <v>281</v>
      </c>
      <c r="B36" s="43" t="s">
        <v>282</v>
      </c>
      <c r="C36" s="3"/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x14ac:dyDescent="0.35">
      <c r="A37" s="43"/>
      <c r="B37" s="4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 x14ac:dyDescent="0.35">
      <c r="A38" s="43"/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</sheetData>
  <pageMargins left="0.7" right="0.7" top="0.75" bottom="0.75" header="0.3" footer="0.3"/>
  <pageSetup paperSize="9"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Normal="100" workbookViewId="0">
      <pane xSplit="3" topLeftCell="D1" activePane="topRight" state="frozen"/>
      <selection pane="topRight" activeCell="H31" sqref="H31"/>
    </sheetView>
  </sheetViews>
  <sheetFormatPr defaultColWidth="8.90625" defaultRowHeight="14.5" x14ac:dyDescent="0.35"/>
  <cols>
    <col min="1" max="1" width="20.08984375" bestFit="1" customWidth="1"/>
    <col min="2" max="2" width="23.54296875" customWidth="1"/>
  </cols>
  <sheetData>
    <row r="1" spans="1:15" ht="15" thickBot="1" x14ac:dyDescent="0.4">
      <c r="B1" s="25"/>
      <c r="C1" s="26"/>
      <c r="D1" s="62" t="s">
        <v>37</v>
      </c>
      <c r="E1" s="62" t="s">
        <v>38</v>
      </c>
      <c r="F1" s="62" t="s">
        <v>39</v>
      </c>
      <c r="G1" s="62" t="s">
        <v>40</v>
      </c>
      <c r="H1" s="62" t="s">
        <v>36</v>
      </c>
      <c r="I1" s="62" t="s">
        <v>41</v>
      </c>
      <c r="J1" s="63" t="s">
        <v>42</v>
      </c>
      <c r="K1" s="63" t="s">
        <v>43</v>
      </c>
      <c r="L1" s="63" t="s">
        <v>44</v>
      </c>
      <c r="M1" s="63" t="s">
        <v>45</v>
      </c>
      <c r="N1" s="62" t="s">
        <v>46</v>
      </c>
      <c r="O1" s="63" t="s">
        <v>47</v>
      </c>
    </row>
    <row r="2" spans="1:15" ht="15" thickBot="1" x14ac:dyDescent="0.4">
      <c r="B2" s="30" t="s">
        <v>0</v>
      </c>
      <c r="C2" s="32" t="s">
        <v>1</v>
      </c>
      <c r="D2" s="1"/>
      <c r="E2" s="2"/>
      <c r="F2" s="2"/>
      <c r="G2" s="2"/>
      <c r="H2" s="2"/>
      <c r="I2" s="1"/>
      <c r="J2" s="2"/>
      <c r="K2" s="2"/>
      <c r="L2" s="2"/>
      <c r="M2" s="2"/>
      <c r="N2" s="31"/>
      <c r="O2" s="2"/>
    </row>
    <row r="3" spans="1:15" x14ac:dyDescent="0.35">
      <c r="A3" t="s">
        <v>421</v>
      </c>
      <c r="B3" s="43" t="s">
        <v>283</v>
      </c>
      <c r="C3" s="43" t="s">
        <v>284</v>
      </c>
      <c r="D3" s="24">
        <v>0</v>
      </c>
      <c r="E3" s="8">
        <v>0</v>
      </c>
      <c r="F3" s="8">
        <v>0</v>
      </c>
      <c r="G3" s="8">
        <v>0</v>
      </c>
      <c r="H3" s="8">
        <v>0</v>
      </c>
      <c r="I3" s="7">
        <v>0</v>
      </c>
      <c r="J3" s="8">
        <v>0</v>
      </c>
      <c r="K3" s="8">
        <v>0</v>
      </c>
      <c r="L3" s="8">
        <v>0</v>
      </c>
      <c r="M3" s="8">
        <v>0</v>
      </c>
      <c r="N3" s="24">
        <v>0</v>
      </c>
      <c r="O3" s="8">
        <v>0</v>
      </c>
    </row>
    <row r="4" spans="1:15" x14ac:dyDescent="0.35">
      <c r="A4" t="s">
        <v>424</v>
      </c>
      <c r="B4" s="43" t="s">
        <v>285</v>
      </c>
      <c r="C4" s="43" t="s">
        <v>286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35">
      <c r="A5" t="s">
        <v>424</v>
      </c>
      <c r="B5" s="43" t="s">
        <v>287</v>
      </c>
      <c r="C5" s="43" t="s">
        <v>288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35">
      <c r="A6" t="s">
        <v>424</v>
      </c>
      <c r="B6" s="43" t="s">
        <v>289</v>
      </c>
      <c r="C6" s="43" t="s">
        <v>290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35">
      <c r="A7" t="s">
        <v>425</v>
      </c>
      <c r="B7" s="43" t="s">
        <v>387</v>
      </c>
      <c r="C7" s="43" t="s">
        <v>353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1</v>
      </c>
      <c r="O7" s="3">
        <v>0</v>
      </c>
    </row>
    <row r="8" spans="1:15" x14ac:dyDescent="0.35">
      <c r="A8" t="s">
        <v>425</v>
      </c>
      <c r="B8" s="43" t="s">
        <v>388</v>
      </c>
      <c r="C8" s="43" t="s">
        <v>389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35">
      <c r="A9" t="s">
        <v>425</v>
      </c>
      <c r="B9" s="43" t="s">
        <v>317</v>
      </c>
      <c r="C9" s="43" t="s">
        <v>318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5">
      <c r="A10" t="s">
        <v>426</v>
      </c>
      <c r="B10" s="43" t="s">
        <v>291</v>
      </c>
      <c r="C10" s="43" t="s">
        <v>292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</row>
    <row r="11" spans="1:15" x14ac:dyDescent="0.35">
      <c r="A11" t="s">
        <v>426</v>
      </c>
      <c r="B11" s="43" t="s">
        <v>293</v>
      </c>
      <c r="C11" s="43" t="s">
        <v>294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</row>
    <row r="12" spans="1:15" x14ac:dyDescent="0.35">
      <c r="A12" t="s">
        <v>426</v>
      </c>
      <c r="B12" s="43" t="s">
        <v>295</v>
      </c>
      <c r="C12" s="43" t="s">
        <v>296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5">
      <c r="A13" t="s">
        <v>426</v>
      </c>
      <c r="B13" s="43" t="s">
        <v>297</v>
      </c>
      <c r="C13" s="43" t="s">
        <v>298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35">
      <c r="A14" t="s">
        <v>422</v>
      </c>
      <c r="B14" s="43" t="s">
        <v>299</v>
      </c>
      <c r="C14" s="43" t="s">
        <v>300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</row>
    <row r="15" spans="1:15" x14ac:dyDescent="0.35">
      <c r="A15" t="s">
        <v>422</v>
      </c>
      <c r="B15" s="43" t="s">
        <v>301</v>
      </c>
      <c r="C15" s="43" t="s">
        <v>302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  <c r="O15" s="3">
        <v>0</v>
      </c>
    </row>
    <row r="16" spans="1:15" x14ac:dyDescent="0.35">
      <c r="A16" t="s">
        <v>427</v>
      </c>
      <c r="B16" s="43" t="s">
        <v>385</v>
      </c>
      <c r="C16" s="43" t="s">
        <v>380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1</v>
      </c>
      <c r="M16" s="3">
        <v>1</v>
      </c>
      <c r="N16" s="3">
        <v>1</v>
      </c>
      <c r="O16" s="3">
        <v>0</v>
      </c>
    </row>
    <row r="17" spans="1:16" x14ac:dyDescent="0.35">
      <c r="A17" t="s">
        <v>427</v>
      </c>
      <c r="B17" s="43" t="s">
        <v>384</v>
      </c>
      <c r="C17" s="43" t="s">
        <v>349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</row>
    <row r="18" spans="1:16" x14ac:dyDescent="0.35">
      <c r="A18" t="s">
        <v>428</v>
      </c>
      <c r="B18" s="84" t="s">
        <v>303</v>
      </c>
      <c r="C18" s="43" t="s">
        <v>304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6" s="39" customFormat="1" x14ac:dyDescent="0.35">
      <c r="A19" t="s">
        <v>429</v>
      </c>
      <c r="B19" s="84" t="s">
        <v>305</v>
      </c>
      <c r="C19" s="43" t="s">
        <v>306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1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0</v>
      </c>
      <c r="P19" s="51"/>
    </row>
    <row r="20" spans="1:16" s="50" customFormat="1" x14ac:dyDescent="0.35">
      <c r="A20" t="s">
        <v>429</v>
      </c>
      <c r="B20" s="84" t="s">
        <v>307</v>
      </c>
      <c r="C20" s="43" t="s">
        <v>308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0</v>
      </c>
    </row>
    <row r="21" spans="1:16" s="50" customFormat="1" x14ac:dyDescent="0.35">
      <c r="A21" t="s">
        <v>429</v>
      </c>
      <c r="B21" s="84" t="s">
        <v>309</v>
      </c>
      <c r="C21" s="43" t="s">
        <v>310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0</v>
      </c>
    </row>
    <row r="22" spans="1:16" s="39" customFormat="1" x14ac:dyDescent="0.35">
      <c r="A22" t="s">
        <v>430</v>
      </c>
      <c r="B22" s="43" t="s">
        <v>311</v>
      </c>
      <c r="C22" s="43" t="s">
        <v>312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51"/>
    </row>
    <row r="23" spans="1:16" x14ac:dyDescent="0.35">
      <c r="A23" t="s">
        <v>430</v>
      </c>
      <c r="B23" s="43" t="s">
        <v>313</v>
      </c>
      <c r="C23" s="43" t="s">
        <v>314</v>
      </c>
      <c r="D23" s="85">
        <v>0</v>
      </c>
      <c r="E23" s="85">
        <v>0</v>
      </c>
      <c r="F23" s="85">
        <v>0</v>
      </c>
      <c r="G23" s="85">
        <v>1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</row>
    <row r="24" spans="1:16" x14ac:dyDescent="0.35">
      <c r="A24" t="s">
        <v>423</v>
      </c>
      <c r="B24" s="43" t="s">
        <v>315</v>
      </c>
      <c r="C24" s="43" t="s">
        <v>316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6" x14ac:dyDescent="0.35">
      <c r="A25" t="s">
        <v>431</v>
      </c>
      <c r="B25" s="43" t="s">
        <v>319</v>
      </c>
      <c r="C25" s="43" t="s">
        <v>320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6" x14ac:dyDescent="0.35">
      <c r="A26" t="s">
        <v>434</v>
      </c>
      <c r="B26" s="43" t="s">
        <v>321</v>
      </c>
      <c r="C26" s="43" t="s">
        <v>322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6" s="39" customFormat="1" x14ac:dyDescent="0.35">
      <c r="A27" t="s">
        <v>439</v>
      </c>
      <c r="B27" s="43" t="s">
        <v>323</v>
      </c>
      <c r="C27" s="43" t="s">
        <v>324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1</v>
      </c>
      <c r="J27" s="3">
        <v>0</v>
      </c>
      <c r="K27" s="3">
        <v>0</v>
      </c>
      <c r="L27" s="3">
        <v>1</v>
      </c>
      <c r="M27" s="3">
        <v>1</v>
      </c>
      <c r="N27" s="3">
        <v>1</v>
      </c>
      <c r="O27" s="3">
        <v>0</v>
      </c>
      <c r="P27" s="51"/>
    </row>
    <row r="28" spans="1:16" x14ac:dyDescent="0.35">
      <c r="A28" t="s">
        <v>435</v>
      </c>
      <c r="B28" s="43" t="s">
        <v>325</v>
      </c>
      <c r="C28" s="43" t="s">
        <v>326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</row>
    <row r="29" spans="1:16" x14ac:dyDescent="0.35">
      <c r="A29" t="s">
        <v>435</v>
      </c>
      <c r="B29" s="43" t="s">
        <v>327</v>
      </c>
      <c r="C29" s="43" t="s">
        <v>328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</row>
    <row r="30" spans="1:16" x14ac:dyDescent="0.35">
      <c r="A30" t="s">
        <v>432</v>
      </c>
      <c r="B30" s="43" t="s">
        <v>329</v>
      </c>
      <c r="C30" s="43" t="s">
        <v>330</v>
      </c>
      <c r="D30" s="85">
        <v>0</v>
      </c>
      <c r="E30" s="85">
        <v>0</v>
      </c>
      <c r="F30" s="85">
        <v>0</v>
      </c>
      <c r="G30" s="85">
        <v>0</v>
      </c>
      <c r="H30" s="85">
        <v>1</v>
      </c>
      <c r="I30" s="85">
        <v>0</v>
      </c>
      <c r="J30" s="85">
        <v>0</v>
      </c>
      <c r="K30" s="85">
        <v>0</v>
      </c>
      <c r="L30" s="85">
        <v>1</v>
      </c>
      <c r="M30" s="85">
        <v>1</v>
      </c>
      <c r="N30" s="85">
        <v>0</v>
      </c>
      <c r="O30" s="85">
        <v>0</v>
      </c>
    </row>
    <row r="31" spans="1:16" x14ac:dyDescent="0.35">
      <c r="A31" t="s">
        <v>436</v>
      </c>
      <c r="B31" s="43" t="s">
        <v>331</v>
      </c>
      <c r="C31" s="43" t="s">
        <v>332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6" x14ac:dyDescent="0.35">
      <c r="A32" t="s">
        <v>433</v>
      </c>
      <c r="B32" s="43" t="s">
        <v>350</v>
      </c>
      <c r="C32" s="43" t="s">
        <v>224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</row>
    <row r="33" spans="1:15" ht="15" customHeight="1" x14ac:dyDescent="0.35">
      <c r="A33" t="s">
        <v>433</v>
      </c>
      <c r="B33" s="43" t="s">
        <v>350</v>
      </c>
      <c r="C33" s="43" t="s">
        <v>359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</row>
    <row r="34" spans="1:15" s="108" customFormat="1" x14ac:dyDescent="0.35">
      <c r="A34" t="s">
        <v>437</v>
      </c>
      <c r="B34" s="107" t="s">
        <v>390</v>
      </c>
      <c r="C34" s="107" t="s">
        <v>351</v>
      </c>
      <c r="D34" s="15">
        <v>0</v>
      </c>
      <c r="E34" s="15">
        <v>0</v>
      </c>
      <c r="F34" s="15">
        <v>0</v>
      </c>
      <c r="G34" s="15">
        <v>0</v>
      </c>
      <c r="H34" s="107">
        <v>1</v>
      </c>
      <c r="I34" s="15">
        <v>0</v>
      </c>
      <c r="J34" s="15">
        <v>0</v>
      </c>
      <c r="K34" s="107">
        <v>1</v>
      </c>
      <c r="L34" s="15">
        <v>0</v>
      </c>
      <c r="M34" s="107">
        <v>1</v>
      </c>
      <c r="N34" s="107">
        <v>1</v>
      </c>
      <c r="O34" s="15">
        <v>0</v>
      </c>
    </row>
    <row r="35" spans="1:15" x14ac:dyDescent="0.35">
      <c r="B35" s="43"/>
      <c r="C35" s="43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</row>
  </sheetData>
  <pageMargins left="0.7" right="0.7" top="0.75" bottom="0.75" header="0.3" footer="0.3"/>
  <pageSetup paperSize="9" scale="48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37" sqref="A2:A37"/>
    </sheetView>
  </sheetViews>
  <sheetFormatPr defaultRowHeight="14.5" x14ac:dyDescent="0.35"/>
  <cols>
    <col min="1" max="1" width="14.08984375" bestFit="1" customWidth="1"/>
  </cols>
  <sheetData>
    <row r="1" spans="1:2" x14ac:dyDescent="0.35">
      <c r="A1" t="s">
        <v>411</v>
      </c>
      <c r="B1" t="s">
        <v>413</v>
      </c>
    </row>
    <row r="2" spans="1:2" x14ac:dyDescent="0.35">
      <c r="A2" t="s">
        <v>352</v>
      </c>
      <c r="B2">
        <v>1</v>
      </c>
    </row>
    <row r="3" spans="1:2" x14ac:dyDescent="0.35">
      <c r="A3" t="s">
        <v>412</v>
      </c>
      <c r="B3">
        <v>1</v>
      </c>
    </row>
    <row r="4" spans="1:2" x14ac:dyDescent="0.35">
      <c r="A4" t="s">
        <v>355</v>
      </c>
      <c r="B4">
        <v>1</v>
      </c>
    </row>
    <row r="5" spans="1:2" x14ac:dyDescent="0.35">
      <c r="A5" t="s">
        <v>373</v>
      </c>
      <c r="B5">
        <v>1</v>
      </c>
    </row>
    <row r="6" spans="1:2" x14ac:dyDescent="0.35">
      <c r="A6" t="s">
        <v>414</v>
      </c>
      <c r="B6">
        <v>1</v>
      </c>
    </row>
    <row r="7" spans="1:2" x14ac:dyDescent="0.35">
      <c r="A7" t="s">
        <v>415</v>
      </c>
      <c r="B7">
        <v>0</v>
      </c>
    </row>
    <row r="8" spans="1:2" x14ac:dyDescent="0.35">
      <c r="A8" t="s">
        <v>438</v>
      </c>
      <c r="B8">
        <v>0</v>
      </c>
    </row>
    <row r="9" spans="1:2" x14ac:dyDescent="0.35">
      <c r="A9" t="s">
        <v>360</v>
      </c>
      <c r="B9">
        <v>1</v>
      </c>
    </row>
    <row r="10" spans="1:2" x14ac:dyDescent="0.35">
      <c r="A10" t="s">
        <v>416</v>
      </c>
      <c r="B10">
        <v>0</v>
      </c>
    </row>
    <row r="11" spans="1:2" x14ac:dyDescent="0.35">
      <c r="A11" t="s">
        <v>417</v>
      </c>
      <c r="B11">
        <v>0</v>
      </c>
    </row>
    <row r="12" spans="1:2" x14ac:dyDescent="0.35">
      <c r="A12" t="s">
        <v>418</v>
      </c>
      <c r="B12">
        <v>1</v>
      </c>
    </row>
    <row r="13" spans="1:2" x14ac:dyDescent="0.35">
      <c r="A13" t="s">
        <v>419</v>
      </c>
      <c r="B13">
        <v>1</v>
      </c>
    </row>
    <row r="14" spans="1:2" x14ac:dyDescent="0.35">
      <c r="A14" t="s">
        <v>383</v>
      </c>
      <c r="B14">
        <v>1</v>
      </c>
    </row>
    <row r="15" spans="1:2" x14ac:dyDescent="0.35">
      <c r="A15" t="s">
        <v>420</v>
      </c>
      <c r="B15">
        <v>0</v>
      </c>
    </row>
    <row r="16" spans="1:2" x14ac:dyDescent="0.35">
      <c r="A16" t="s">
        <v>421</v>
      </c>
      <c r="B16">
        <v>0</v>
      </c>
    </row>
    <row r="17" spans="1:2" x14ac:dyDescent="0.35">
      <c r="A17" t="s">
        <v>424</v>
      </c>
      <c r="B17">
        <v>0</v>
      </c>
    </row>
    <row r="18" spans="1:2" x14ac:dyDescent="0.35">
      <c r="A18" t="s">
        <v>425</v>
      </c>
      <c r="B18">
        <v>0</v>
      </c>
    </row>
    <row r="19" spans="1:2" x14ac:dyDescent="0.35">
      <c r="A19" t="s">
        <v>426</v>
      </c>
      <c r="B19">
        <v>0</v>
      </c>
    </row>
    <row r="20" spans="1:2" x14ac:dyDescent="0.35">
      <c r="A20" t="s">
        <v>422</v>
      </c>
      <c r="B20">
        <v>0</v>
      </c>
    </row>
    <row r="21" spans="1:2" x14ac:dyDescent="0.35">
      <c r="A21" t="s">
        <v>427</v>
      </c>
      <c r="B21">
        <v>0</v>
      </c>
    </row>
    <row r="22" spans="1:2" x14ac:dyDescent="0.35">
      <c r="A22" t="s">
        <v>428</v>
      </c>
      <c r="B22">
        <v>0</v>
      </c>
    </row>
    <row r="23" spans="1:2" x14ac:dyDescent="0.35">
      <c r="A23" t="s">
        <v>429</v>
      </c>
      <c r="B23">
        <v>0</v>
      </c>
    </row>
    <row r="24" spans="1:2" x14ac:dyDescent="0.35">
      <c r="A24" t="s">
        <v>430</v>
      </c>
      <c r="B24">
        <v>0</v>
      </c>
    </row>
    <row r="25" spans="1:2" x14ac:dyDescent="0.35">
      <c r="A25" t="s">
        <v>423</v>
      </c>
      <c r="B25">
        <v>0</v>
      </c>
    </row>
    <row r="26" spans="1:2" x14ac:dyDescent="0.35">
      <c r="A26" t="s">
        <v>431</v>
      </c>
      <c r="B26">
        <v>0</v>
      </c>
    </row>
    <row r="27" spans="1:2" x14ac:dyDescent="0.35">
      <c r="A27" t="s">
        <v>434</v>
      </c>
      <c r="B27">
        <v>0</v>
      </c>
    </row>
    <row r="28" spans="1:2" x14ac:dyDescent="0.35">
      <c r="A28" t="s">
        <v>439</v>
      </c>
      <c r="B28">
        <v>1</v>
      </c>
    </row>
    <row r="29" spans="1:2" x14ac:dyDescent="0.35">
      <c r="A29" t="s">
        <v>435</v>
      </c>
      <c r="B29">
        <v>0</v>
      </c>
    </row>
    <row r="30" spans="1:2" x14ac:dyDescent="0.35">
      <c r="A30" t="s">
        <v>432</v>
      </c>
      <c r="B30">
        <v>0</v>
      </c>
    </row>
    <row r="31" spans="1:2" x14ac:dyDescent="0.35">
      <c r="A31" t="s">
        <v>436</v>
      </c>
      <c r="B31">
        <v>0</v>
      </c>
    </row>
    <row r="32" spans="1:2" x14ac:dyDescent="0.35">
      <c r="A32" t="s">
        <v>433</v>
      </c>
      <c r="B32">
        <v>0</v>
      </c>
    </row>
    <row r="33" spans="1:2" x14ac:dyDescent="0.35">
      <c r="A33" t="s">
        <v>437</v>
      </c>
      <c r="B33">
        <v>0</v>
      </c>
    </row>
    <row r="34" spans="1:2" ht="15.5" x14ac:dyDescent="0.35">
      <c r="A34" s="113" t="s">
        <v>485</v>
      </c>
      <c r="B34">
        <v>1</v>
      </c>
    </row>
    <row r="35" spans="1:2" ht="15.5" x14ac:dyDescent="0.35">
      <c r="A35" s="113" t="s">
        <v>486</v>
      </c>
      <c r="B35">
        <v>0</v>
      </c>
    </row>
    <row r="36" spans="1:2" ht="15.5" x14ac:dyDescent="0.35">
      <c r="A36" s="113" t="s">
        <v>487</v>
      </c>
      <c r="B36">
        <v>0</v>
      </c>
    </row>
    <row r="37" spans="1:2" ht="15.5" x14ac:dyDescent="0.35">
      <c r="A37" s="113" t="s">
        <v>488</v>
      </c>
      <c r="B37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49"/>
  <sheetViews>
    <sheetView zoomScale="70" zoomScaleNormal="70" workbookViewId="0">
      <pane ySplit="1" topLeftCell="A2" activePane="bottomLeft" state="frozen"/>
      <selection pane="bottomLeft" activeCell="Q99" sqref="P98:Q99"/>
    </sheetView>
  </sheetViews>
  <sheetFormatPr defaultRowHeight="14.5" x14ac:dyDescent="0.35"/>
  <cols>
    <col min="1" max="1" width="14.08984375" bestFit="1" customWidth="1"/>
    <col min="2" max="2" width="18.90625" bestFit="1" customWidth="1"/>
    <col min="12" max="12" width="8.453125" style="108" customWidth="1"/>
    <col min="13" max="13" width="7.54296875" style="108" customWidth="1"/>
    <col min="14" max="14" width="6.453125" style="123" customWidth="1"/>
    <col min="15" max="15" width="5.90625" style="108" customWidth="1"/>
    <col min="16" max="16" width="9.81640625" style="108" customWidth="1"/>
    <col min="17" max="17" width="7.54296875" style="108" bestFit="1" customWidth="1"/>
    <col min="18" max="18" width="10.54296875" bestFit="1" customWidth="1"/>
    <col min="19" max="19" width="9.90625" bestFit="1" customWidth="1"/>
    <col min="20" max="20" width="11.08984375" bestFit="1" customWidth="1"/>
    <col min="21" max="21" width="11.90625" customWidth="1"/>
    <col min="22" max="24" width="8.453125" customWidth="1"/>
    <col min="25" max="25" width="31.54296875" bestFit="1" customWidth="1"/>
  </cols>
  <sheetData>
    <row r="1" spans="1:27" x14ac:dyDescent="0.35">
      <c r="A1" t="s">
        <v>411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  <c r="I1" t="s">
        <v>462</v>
      </c>
      <c r="J1" t="s">
        <v>461</v>
      </c>
      <c r="K1" t="s">
        <v>463</v>
      </c>
      <c r="L1" s="108" t="s">
        <v>464</v>
      </c>
      <c r="M1" s="108" t="s">
        <v>465</v>
      </c>
      <c r="N1" s="123" t="s">
        <v>466</v>
      </c>
      <c r="O1" s="108" t="s">
        <v>467</v>
      </c>
      <c r="P1" s="108" t="s">
        <v>468</v>
      </c>
      <c r="Q1" s="108" t="s">
        <v>469</v>
      </c>
      <c r="R1" t="s">
        <v>470</v>
      </c>
      <c r="S1" t="s">
        <v>471</v>
      </c>
      <c r="T1" t="s">
        <v>474</v>
      </c>
      <c r="U1" t="s">
        <v>472</v>
      </c>
      <c r="V1" s="109" t="s">
        <v>473</v>
      </c>
      <c r="W1" s="109" t="s">
        <v>483</v>
      </c>
      <c r="X1" s="109" t="s">
        <v>484</v>
      </c>
    </row>
    <row r="2" spans="1:27" s="108" customFormat="1" x14ac:dyDescent="0.35">
      <c r="A2" s="108" t="s">
        <v>352</v>
      </c>
      <c r="B2" s="108" t="s">
        <v>49</v>
      </c>
      <c r="C2" s="108" t="s">
        <v>69</v>
      </c>
      <c r="D2" s="108">
        <v>0</v>
      </c>
      <c r="E2" s="108">
        <v>0</v>
      </c>
      <c r="F2" s="108">
        <v>0</v>
      </c>
      <c r="G2" s="108">
        <v>0</v>
      </c>
      <c r="H2" s="108">
        <v>0</v>
      </c>
      <c r="I2" s="108">
        <v>0</v>
      </c>
      <c r="J2" s="108">
        <v>1</v>
      </c>
      <c r="K2" s="108">
        <v>1</v>
      </c>
      <c r="L2" s="108">
        <v>1</v>
      </c>
      <c r="M2" s="108">
        <v>1</v>
      </c>
      <c r="N2" s="123">
        <v>1</v>
      </c>
      <c r="O2" s="108">
        <v>1</v>
      </c>
      <c r="P2" s="108">
        <v>1</v>
      </c>
      <c r="Q2" s="108">
        <v>1</v>
      </c>
      <c r="R2" s="111">
        <v>0</v>
      </c>
      <c r="S2" s="108">
        <v>1</v>
      </c>
      <c r="T2" s="108">
        <v>2013</v>
      </c>
      <c r="U2" s="108">
        <v>7</v>
      </c>
      <c r="V2" s="108">
        <v>0</v>
      </c>
      <c r="W2" s="108">
        <f>VLOOKUP(A2,'pride covariates'!A$2:B$33,2,FALSE)</f>
        <v>1</v>
      </c>
      <c r="X2" s="108">
        <v>1</v>
      </c>
      <c r="Y2" s="108" t="str">
        <f>CONCATENATE("/* ",C2," */ ",G2,H2,I2,J2,K2,L2,M2,N2," 1"," ",P2," ",S2," ",R2," ",X2," ",V2," ",W2,";")</f>
        <v>/* ELI-583 */ 00011111 1 1 1 0 1 0 1;</v>
      </c>
      <c r="Z2" s="108" t="str">
        <f>CONCATENATE(G2,H2,I2,J2,K2,L2,M2,N2)</f>
        <v>00011111</v>
      </c>
      <c r="AA2" s="108" t="str">
        <f>CONCATENATE("/*",C2,"*/ ",G2,H2,I2,J2,K2,L2,M2,N2," 1",";")</f>
        <v>/*ELI-583*/ 00011111 1;</v>
      </c>
    </row>
    <row r="3" spans="1:27" s="108" customFormat="1" x14ac:dyDescent="0.35">
      <c r="A3" s="108" t="s">
        <v>352</v>
      </c>
      <c r="B3" s="108" t="s">
        <v>50</v>
      </c>
      <c r="C3" s="108" t="s">
        <v>70</v>
      </c>
      <c r="D3" s="108">
        <v>0</v>
      </c>
      <c r="E3" s="108">
        <v>0</v>
      </c>
      <c r="F3" s="108">
        <v>0</v>
      </c>
      <c r="G3" s="108">
        <v>0</v>
      </c>
      <c r="H3" s="108">
        <v>0</v>
      </c>
      <c r="I3" s="108">
        <v>0</v>
      </c>
      <c r="J3" s="108">
        <v>1</v>
      </c>
      <c r="K3" s="108">
        <v>1</v>
      </c>
      <c r="L3" s="108">
        <v>1</v>
      </c>
      <c r="M3" s="108">
        <v>1</v>
      </c>
      <c r="N3" s="123">
        <v>1</v>
      </c>
      <c r="O3" s="108">
        <v>1</v>
      </c>
      <c r="P3" s="108">
        <v>1</v>
      </c>
      <c r="Q3" s="108">
        <v>0</v>
      </c>
      <c r="R3" s="111">
        <v>0</v>
      </c>
      <c r="S3" s="108">
        <v>1</v>
      </c>
      <c r="T3" s="108">
        <v>2013</v>
      </c>
      <c r="U3" s="108">
        <v>7</v>
      </c>
      <c r="V3" s="108">
        <v>0</v>
      </c>
      <c r="W3" s="108">
        <f>VLOOKUP(A3,'pride covariates'!A$2:B$33,2,FALSE)</f>
        <v>1</v>
      </c>
      <c r="X3" s="108">
        <v>0</v>
      </c>
      <c r="Y3" s="108" t="str">
        <f t="shared" ref="Y3:Y66" si="0">CONCATENATE("/* ",C3," */ ",G3,H3,I3,J3,K3,L3,M3,N3," 1"," ",P3," ",S3," ",R3," ",X3," ",V3," ",W3,";")</f>
        <v>/* ELI-584 */ 00011111 1 1 1 0 0 0 1;</v>
      </c>
      <c r="Z3" s="108" t="str">
        <f t="shared" ref="Z3:Z66" si="1">CONCATENATE(G3,H3,I3,J3,K3,L3,M3,N3)</f>
        <v>00011111</v>
      </c>
      <c r="AA3" s="108" t="str">
        <f t="shared" ref="AA3:AA66" si="2">CONCATENATE("/*",C3,"*/ ",G3,H3,I3,J3,K3,L3,M3,N3," 1",";")</f>
        <v>/*ELI-584*/ 00011111 1;</v>
      </c>
    </row>
    <row r="4" spans="1:27" s="108" customFormat="1" x14ac:dyDescent="0.35">
      <c r="A4" s="108" t="s">
        <v>352</v>
      </c>
      <c r="B4" s="108" t="s">
        <v>51</v>
      </c>
      <c r="C4" s="108" t="s">
        <v>71</v>
      </c>
      <c r="D4" s="108">
        <v>0</v>
      </c>
      <c r="E4" s="108">
        <v>0</v>
      </c>
      <c r="F4" s="108">
        <v>0</v>
      </c>
      <c r="G4" s="108">
        <v>0</v>
      </c>
      <c r="H4" s="108">
        <v>0</v>
      </c>
      <c r="I4" s="108">
        <v>0</v>
      </c>
      <c r="J4" s="108">
        <v>1</v>
      </c>
      <c r="K4" s="108">
        <v>1</v>
      </c>
      <c r="L4" s="108">
        <v>1</v>
      </c>
      <c r="M4" s="108">
        <v>1</v>
      </c>
      <c r="N4" s="123">
        <v>1</v>
      </c>
      <c r="O4" s="108">
        <v>1</v>
      </c>
      <c r="P4" s="108">
        <v>1</v>
      </c>
      <c r="Q4" s="108">
        <v>0</v>
      </c>
      <c r="R4" s="111">
        <v>0</v>
      </c>
      <c r="S4" s="108">
        <v>1</v>
      </c>
      <c r="T4" s="108">
        <v>2013</v>
      </c>
      <c r="U4" s="108">
        <v>7</v>
      </c>
      <c r="V4" s="108">
        <v>0</v>
      </c>
      <c r="W4" s="108">
        <f>VLOOKUP(A4,'pride covariates'!A$2:B$33,2,FALSE)</f>
        <v>1</v>
      </c>
      <c r="X4" s="108">
        <v>0</v>
      </c>
      <c r="Y4" s="108" t="str">
        <f t="shared" si="0"/>
        <v>/* ELI-585 */ 00011111 1 1 1 0 0 0 1;</v>
      </c>
      <c r="Z4" s="108" t="str">
        <f t="shared" si="1"/>
        <v>00011111</v>
      </c>
      <c r="AA4" s="108" t="str">
        <f t="shared" si="2"/>
        <v>/*ELI-585*/ 00011111 1;</v>
      </c>
    </row>
    <row r="5" spans="1:27" s="108" customFormat="1" x14ac:dyDescent="0.35">
      <c r="A5" s="108" t="s">
        <v>352</v>
      </c>
      <c r="B5" s="108" t="s">
        <v>52</v>
      </c>
      <c r="C5" s="108" t="s">
        <v>72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1</v>
      </c>
      <c r="K5" s="108">
        <v>1</v>
      </c>
      <c r="L5" s="108">
        <v>1</v>
      </c>
      <c r="M5" s="108">
        <v>1</v>
      </c>
      <c r="N5" s="123">
        <v>1</v>
      </c>
      <c r="O5" s="108">
        <v>1</v>
      </c>
      <c r="P5" s="108">
        <v>1</v>
      </c>
      <c r="Q5" s="108">
        <v>1</v>
      </c>
      <c r="R5" s="111">
        <v>0</v>
      </c>
      <c r="S5" s="108">
        <v>1</v>
      </c>
      <c r="T5" s="108">
        <v>2013</v>
      </c>
      <c r="U5" s="108">
        <v>7</v>
      </c>
      <c r="V5" s="108">
        <v>0</v>
      </c>
      <c r="W5" s="108">
        <f>VLOOKUP(A5,'pride covariates'!A$2:B$33,2,FALSE)</f>
        <v>1</v>
      </c>
      <c r="X5" s="108">
        <v>1</v>
      </c>
      <c r="Y5" s="108" t="str">
        <f t="shared" si="0"/>
        <v>/* ELI-586 */ 00011111 1 1 1 0 1 0 1;</v>
      </c>
      <c r="Z5" s="108" t="str">
        <f t="shared" si="1"/>
        <v>00011111</v>
      </c>
      <c r="AA5" s="108" t="str">
        <f t="shared" si="2"/>
        <v>/*ELI-586*/ 00011111 1;</v>
      </c>
    </row>
    <row r="6" spans="1:27" s="108" customFormat="1" x14ac:dyDescent="0.35">
      <c r="A6" s="108" t="s">
        <v>352</v>
      </c>
      <c r="B6" s="108" t="s">
        <v>53</v>
      </c>
      <c r="C6" s="108" t="s">
        <v>73</v>
      </c>
      <c r="D6" s="108">
        <v>0</v>
      </c>
      <c r="E6" s="108">
        <v>0</v>
      </c>
      <c r="F6" s="108">
        <v>0</v>
      </c>
      <c r="G6" s="108">
        <v>0</v>
      </c>
      <c r="H6" s="108">
        <v>0</v>
      </c>
      <c r="I6" s="108">
        <v>0</v>
      </c>
      <c r="J6" s="108">
        <v>1</v>
      </c>
      <c r="K6" s="108">
        <v>1</v>
      </c>
      <c r="L6" s="108">
        <v>1</v>
      </c>
      <c r="M6" s="108">
        <v>1</v>
      </c>
      <c r="N6" s="123">
        <v>1</v>
      </c>
      <c r="O6" s="108">
        <v>1</v>
      </c>
      <c r="P6" s="108">
        <v>1</v>
      </c>
      <c r="Q6" s="108">
        <v>0</v>
      </c>
      <c r="R6" s="111">
        <v>0</v>
      </c>
      <c r="S6" s="108">
        <v>1</v>
      </c>
      <c r="T6" s="108">
        <v>2013</v>
      </c>
      <c r="U6" s="108">
        <v>7</v>
      </c>
      <c r="V6" s="108">
        <v>0</v>
      </c>
      <c r="W6" s="108">
        <f>VLOOKUP(A6,'pride covariates'!A$2:B$33,2,FALSE)</f>
        <v>1</v>
      </c>
      <c r="X6" s="108">
        <v>0</v>
      </c>
      <c r="Y6" s="108" t="str">
        <f t="shared" si="0"/>
        <v>/* ELI-587 */ 00011111 1 1 1 0 0 0 1;</v>
      </c>
      <c r="Z6" s="108" t="str">
        <f t="shared" si="1"/>
        <v>00011111</v>
      </c>
      <c r="AA6" s="108" t="str">
        <f t="shared" si="2"/>
        <v>/*ELI-587*/ 00011111 1;</v>
      </c>
    </row>
    <row r="7" spans="1:27" s="108" customFormat="1" x14ac:dyDescent="0.35">
      <c r="A7" s="108" t="s">
        <v>352</v>
      </c>
      <c r="B7" s="108" t="s">
        <v>341</v>
      </c>
      <c r="C7" s="108" t="s">
        <v>335</v>
      </c>
      <c r="D7" s="108">
        <v>0</v>
      </c>
      <c r="E7" s="108">
        <v>0</v>
      </c>
      <c r="F7" s="108">
        <v>0</v>
      </c>
      <c r="G7" s="108">
        <v>1</v>
      </c>
      <c r="H7" s="108">
        <v>0</v>
      </c>
      <c r="I7" s="108">
        <v>0</v>
      </c>
      <c r="J7" s="108">
        <v>1</v>
      </c>
      <c r="K7" s="108">
        <v>1</v>
      </c>
      <c r="L7" s="108">
        <v>1</v>
      </c>
      <c r="M7" s="108">
        <v>1</v>
      </c>
      <c r="N7" s="123">
        <v>1</v>
      </c>
      <c r="O7" s="108">
        <v>1</v>
      </c>
      <c r="P7" s="108">
        <v>1</v>
      </c>
      <c r="Q7" s="108">
        <v>0</v>
      </c>
      <c r="R7" s="111">
        <v>0</v>
      </c>
      <c r="S7" s="108">
        <v>1</v>
      </c>
      <c r="T7" s="108">
        <v>2013</v>
      </c>
      <c r="U7" s="108">
        <v>4</v>
      </c>
      <c r="V7" s="108">
        <v>0</v>
      </c>
      <c r="W7" s="108">
        <f>VLOOKUP(A7,'pride covariates'!A$2:B$33,2,FALSE)</f>
        <v>1</v>
      </c>
      <c r="X7" s="108">
        <v>0</v>
      </c>
      <c r="Y7" s="108" t="str">
        <f t="shared" si="0"/>
        <v>/* ELI-590 */ 10011111 1 1 1 0 0 0 1;</v>
      </c>
      <c r="Z7" s="108" t="str">
        <f t="shared" si="1"/>
        <v>10011111</v>
      </c>
      <c r="AA7" s="108" t="str">
        <f t="shared" si="2"/>
        <v>/*ELI-590*/ 10011111 1;</v>
      </c>
    </row>
    <row r="8" spans="1:27" s="108" customFormat="1" x14ac:dyDescent="0.35">
      <c r="A8" s="108" t="s">
        <v>352</v>
      </c>
      <c r="B8" s="108" t="s">
        <v>342</v>
      </c>
      <c r="C8" s="108" t="s">
        <v>336</v>
      </c>
      <c r="D8" s="108">
        <v>0</v>
      </c>
      <c r="E8" s="108">
        <v>0</v>
      </c>
      <c r="F8" s="108">
        <v>0</v>
      </c>
      <c r="G8" s="108">
        <v>1</v>
      </c>
      <c r="H8" s="108">
        <v>0</v>
      </c>
      <c r="I8" s="108">
        <v>0</v>
      </c>
      <c r="J8" s="108">
        <v>1</v>
      </c>
      <c r="K8" s="108">
        <v>0</v>
      </c>
      <c r="L8" s="108">
        <v>0</v>
      </c>
      <c r="M8" s="108">
        <v>0</v>
      </c>
      <c r="N8" s="123">
        <v>0</v>
      </c>
      <c r="O8" s="108">
        <v>0</v>
      </c>
      <c r="P8" s="108">
        <v>0</v>
      </c>
      <c r="Q8" s="108" t="s">
        <v>478</v>
      </c>
      <c r="R8" s="108">
        <v>1</v>
      </c>
      <c r="S8" s="108">
        <v>1</v>
      </c>
      <c r="T8" s="108">
        <v>2013</v>
      </c>
      <c r="U8" s="108">
        <v>4</v>
      </c>
      <c r="V8" s="108">
        <v>0</v>
      </c>
      <c r="W8" s="108">
        <f>VLOOKUP(A8,'pride covariates'!A$2:B$33,2,FALSE)</f>
        <v>1</v>
      </c>
      <c r="X8" s="108">
        <v>0</v>
      </c>
      <c r="Y8" s="108" t="str">
        <f t="shared" si="0"/>
        <v>/* ELI-591 */ 10010000 1 0 1 1 0 0 1;</v>
      </c>
      <c r="Z8" s="108" t="str">
        <f t="shared" si="1"/>
        <v>10010000</v>
      </c>
      <c r="AA8" s="108" t="str">
        <f t="shared" si="2"/>
        <v>/*ELI-591*/ 10010000 1;</v>
      </c>
    </row>
    <row r="9" spans="1:27" s="108" customFormat="1" x14ac:dyDescent="0.35">
      <c r="A9" s="108" t="s">
        <v>352</v>
      </c>
      <c r="B9" s="108" t="s">
        <v>343</v>
      </c>
      <c r="C9" s="108" t="s">
        <v>337</v>
      </c>
      <c r="D9" s="108">
        <v>0</v>
      </c>
      <c r="E9" s="108">
        <v>0</v>
      </c>
      <c r="F9" s="108">
        <v>0</v>
      </c>
      <c r="G9" s="108">
        <v>1</v>
      </c>
      <c r="H9" s="108">
        <v>0</v>
      </c>
      <c r="I9" s="108">
        <v>0</v>
      </c>
      <c r="J9" s="108">
        <v>1</v>
      </c>
      <c r="K9" s="108">
        <v>1</v>
      </c>
      <c r="L9" s="108">
        <v>1</v>
      </c>
      <c r="M9" s="108">
        <v>1</v>
      </c>
      <c r="N9" s="123">
        <v>1</v>
      </c>
      <c r="O9" s="108">
        <v>1</v>
      </c>
      <c r="P9" s="108">
        <v>1</v>
      </c>
      <c r="Q9" s="108">
        <v>0</v>
      </c>
      <c r="R9" s="108">
        <v>0</v>
      </c>
      <c r="S9" s="108">
        <v>1</v>
      </c>
      <c r="T9" s="108">
        <v>2013</v>
      </c>
      <c r="U9" s="108">
        <v>4</v>
      </c>
      <c r="V9" s="108">
        <v>0</v>
      </c>
      <c r="W9" s="108">
        <f>VLOOKUP(A9,'pride covariates'!A$2:B$33,2,FALSE)</f>
        <v>1</v>
      </c>
      <c r="X9" s="108">
        <v>0</v>
      </c>
      <c r="Y9" s="108" t="str">
        <f t="shared" si="0"/>
        <v>/* ELI-592 */ 10011111 1 1 1 0 0 0 1;</v>
      </c>
      <c r="Z9" s="108" t="str">
        <f t="shared" si="1"/>
        <v>10011111</v>
      </c>
      <c r="AA9" s="108" t="str">
        <f t="shared" si="2"/>
        <v>/*ELI-592*/ 10011111 1;</v>
      </c>
    </row>
    <row r="10" spans="1:27" s="108" customFormat="1" x14ac:dyDescent="0.35">
      <c r="A10" s="108" t="s">
        <v>352</v>
      </c>
      <c r="B10" s="108" t="s">
        <v>344</v>
      </c>
      <c r="C10" s="108" t="s">
        <v>338</v>
      </c>
      <c r="D10" s="108">
        <v>0</v>
      </c>
      <c r="E10" s="108">
        <v>0</v>
      </c>
      <c r="F10" s="108">
        <v>0</v>
      </c>
      <c r="G10" s="108">
        <v>0</v>
      </c>
      <c r="H10" s="108">
        <v>0</v>
      </c>
      <c r="I10" s="108">
        <v>0</v>
      </c>
      <c r="J10" s="108">
        <v>1</v>
      </c>
      <c r="K10" s="108">
        <v>1</v>
      </c>
      <c r="L10" s="108">
        <v>1</v>
      </c>
      <c r="M10" s="108">
        <v>1</v>
      </c>
      <c r="N10" s="123">
        <v>1</v>
      </c>
      <c r="O10" s="108">
        <v>1</v>
      </c>
      <c r="P10" s="108">
        <v>1</v>
      </c>
      <c r="Q10" s="108">
        <v>1</v>
      </c>
      <c r="R10" s="108">
        <v>0</v>
      </c>
      <c r="S10" s="108">
        <v>1</v>
      </c>
      <c r="T10" s="108">
        <v>2013</v>
      </c>
      <c r="U10" s="108">
        <v>7</v>
      </c>
      <c r="V10" s="108">
        <v>0</v>
      </c>
      <c r="W10" s="108">
        <f>VLOOKUP(A10,'pride covariates'!A$2:B$33,2,FALSE)</f>
        <v>1</v>
      </c>
      <c r="X10" s="108">
        <v>1</v>
      </c>
      <c r="Y10" s="108" t="str">
        <f t="shared" si="0"/>
        <v>/* ELI-593 */ 00011111 1 1 1 0 1 0 1;</v>
      </c>
      <c r="Z10" s="108" t="str">
        <f t="shared" si="1"/>
        <v>00011111</v>
      </c>
      <c r="AA10" s="108" t="str">
        <f t="shared" si="2"/>
        <v>/*ELI-593*/ 00011111 1;</v>
      </c>
    </row>
    <row r="11" spans="1:27" s="108" customFormat="1" x14ac:dyDescent="0.35">
      <c r="A11" s="108" t="s">
        <v>352</v>
      </c>
      <c r="B11" s="108" t="s">
        <v>345</v>
      </c>
      <c r="C11" s="108" t="s">
        <v>339</v>
      </c>
      <c r="D11" s="108">
        <v>0</v>
      </c>
      <c r="E11" s="108">
        <v>0</v>
      </c>
      <c r="F11" s="108">
        <v>0</v>
      </c>
      <c r="G11" s="108">
        <v>0</v>
      </c>
      <c r="H11" s="108">
        <v>0</v>
      </c>
      <c r="I11" s="108">
        <v>0</v>
      </c>
      <c r="J11" s="108">
        <v>1</v>
      </c>
      <c r="K11" s="108">
        <v>1</v>
      </c>
      <c r="L11" s="108">
        <v>1</v>
      </c>
      <c r="M11" s="108">
        <v>1</v>
      </c>
      <c r="N11" s="123">
        <v>0</v>
      </c>
      <c r="O11" s="108">
        <v>1</v>
      </c>
      <c r="P11" s="108">
        <v>1</v>
      </c>
      <c r="Q11" s="108">
        <v>0</v>
      </c>
      <c r="R11" s="108">
        <v>0</v>
      </c>
      <c r="S11" s="108">
        <v>1</v>
      </c>
      <c r="T11" s="108">
        <v>2013</v>
      </c>
      <c r="U11" s="108">
        <v>7</v>
      </c>
      <c r="V11" s="108">
        <v>0</v>
      </c>
      <c r="W11" s="108">
        <f>VLOOKUP(A11,'pride covariates'!A$2:B$33,2,FALSE)</f>
        <v>1</v>
      </c>
      <c r="X11" s="108">
        <v>0</v>
      </c>
      <c r="Y11" s="108" t="str">
        <f t="shared" si="0"/>
        <v>/* ELI-594 */ 00011110 1 1 1 0 0 0 1;</v>
      </c>
      <c r="Z11" s="108" t="str">
        <f t="shared" si="1"/>
        <v>00011110</v>
      </c>
      <c r="AA11" s="108" t="str">
        <f t="shared" si="2"/>
        <v>/*ELI-594*/ 00011110 1;</v>
      </c>
    </row>
    <row r="12" spans="1:27" s="108" customFormat="1" x14ac:dyDescent="0.35">
      <c r="A12" s="108" t="s">
        <v>352</v>
      </c>
      <c r="B12" s="108" t="s">
        <v>346</v>
      </c>
      <c r="C12" s="108" t="s">
        <v>340</v>
      </c>
      <c r="D12" s="108">
        <v>0</v>
      </c>
      <c r="E12" s="108">
        <v>0</v>
      </c>
      <c r="F12" s="108">
        <v>0</v>
      </c>
      <c r="G12" s="108">
        <v>0</v>
      </c>
      <c r="H12" s="108">
        <v>0</v>
      </c>
      <c r="I12" s="108">
        <v>0</v>
      </c>
      <c r="J12" s="108">
        <v>1</v>
      </c>
      <c r="K12" s="108">
        <v>0</v>
      </c>
      <c r="L12" s="108">
        <v>0</v>
      </c>
      <c r="M12" s="108">
        <v>1</v>
      </c>
      <c r="N12" s="123">
        <v>0</v>
      </c>
      <c r="O12" s="108">
        <v>1</v>
      </c>
      <c r="P12" s="108">
        <v>1</v>
      </c>
      <c r="Q12" s="108">
        <v>1</v>
      </c>
      <c r="R12" s="108">
        <v>0</v>
      </c>
      <c r="S12" s="108">
        <v>1</v>
      </c>
      <c r="T12" s="108">
        <v>2013</v>
      </c>
      <c r="U12" s="108">
        <v>7</v>
      </c>
      <c r="V12" s="108">
        <v>0</v>
      </c>
      <c r="W12" s="108">
        <f>VLOOKUP(A12,'pride covariates'!A$2:B$33,2,FALSE)</f>
        <v>1</v>
      </c>
      <c r="X12" s="108">
        <v>1</v>
      </c>
      <c r="Y12" s="108" t="str">
        <f t="shared" si="0"/>
        <v>/* ELI-595 */ 00010010 1 1 1 0 1 0 1;</v>
      </c>
      <c r="Z12" s="108" t="str">
        <f t="shared" si="1"/>
        <v>00010010</v>
      </c>
      <c r="AA12" s="108" t="str">
        <f t="shared" si="2"/>
        <v>/*ELI-595*/ 00010010 1;</v>
      </c>
    </row>
    <row r="13" spans="1:27" s="108" customFormat="1" x14ac:dyDescent="0.35">
      <c r="A13" s="108" t="s">
        <v>352</v>
      </c>
      <c r="B13" s="108" t="s">
        <v>476</v>
      </c>
      <c r="C13" s="108" t="s">
        <v>489</v>
      </c>
      <c r="D13" s="108">
        <v>0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1</v>
      </c>
      <c r="K13" s="108">
        <v>0</v>
      </c>
      <c r="L13" s="108">
        <v>0</v>
      </c>
      <c r="M13" s="108">
        <v>0</v>
      </c>
      <c r="N13" s="123">
        <v>0</v>
      </c>
      <c r="O13" s="108">
        <v>0</v>
      </c>
      <c r="P13" s="108">
        <v>0</v>
      </c>
      <c r="Q13" s="108" t="s">
        <v>478</v>
      </c>
      <c r="R13" s="108">
        <v>1</v>
      </c>
      <c r="S13" s="108">
        <v>1</v>
      </c>
      <c r="T13" s="108">
        <v>2013</v>
      </c>
      <c r="U13" s="108">
        <v>7</v>
      </c>
      <c r="V13" s="108">
        <v>0</v>
      </c>
      <c r="W13" s="108">
        <f>VLOOKUP(A13,'pride covariates'!A$2:B$33,2,FALSE)</f>
        <v>1</v>
      </c>
      <c r="X13" s="108">
        <v>1</v>
      </c>
      <c r="Y13" s="108" t="str">
        <f t="shared" si="0"/>
        <v>/* ELI-596 */ 00010000 1 0 1 1 1 0 1;</v>
      </c>
      <c r="Z13" s="108" t="str">
        <f t="shared" si="1"/>
        <v>00010000</v>
      </c>
      <c r="AA13" s="108" t="str">
        <f t="shared" si="2"/>
        <v>/*ELI-596*/ 00010000 1;</v>
      </c>
    </row>
    <row r="14" spans="1:27" x14ac:dyDescent="0.35">
      <c r="A14" t="s">
        <v>352</v>
      </c>
      <c r="B14" t="s">
        <v>54</v>
      </c>
      <c r="C14" t="s">
        <v>74</v>
      </c>
      <c r="D14">
        <v>0</v>
      </c>
      <c r="E14" s="125">
        <v>1</v>
      </c>
      <c r="F14" s="125">
        <v>1</v>
      </c>
      <c r="G14">
        <v>1</v>
      </c>
      <c r="H14">
        <v>0</v>
      </c>
      <c r="I14">
        <v>1</v>
      </c>
      <c r="J14">
        <v>1</v>
      </c>
      <c r="K14">
        <v>1</v>
      </c>
      <c r="L14" s="108">
        <v>1</v>
      </c>
      <c r="M14" s="108">
        <v>1</v>
      </c>
      <c r="N14" s="123">
        <v>1</v>
      </c>
      <c r="O14" s="108">
        <v>1</v>
      </c>
      <c r="P14" s="108">
        <v>1</v>
      </c>
      <c r="Q14" s="108">
        <v>0</v>
      </c>
      <c r="R14" s="110">
        <v>0</v>
      </c>
      <c r="S14">
        <v>1</v>
      </c>
      <c r="T14">
        <v>2008</v>
      </c>
      <c r="U14">
        <v>10</v>
      </c>
      <c r="V14">
        <v>3</v>
      </c>
      <c r="W14" s="108">
        <f>VLOOKUP(A14,'pride covariates'!A$2:B$33,2,FALSE)</f>
        <v>1</v>
      </c>
      <c r="X14" s="108">
        <v>0</v>
      </c>
      <c r="Y14" s="108" t="str">
        <f t="shared" si="0"/>
        <v>/* ELI-243 */ 10111111 1 1 1 0 0 3 1;</v>
      </c>
      <c r="Z14" s="108" t="str">
        <f t="shared" si="1"/>
        <v>10111111</v>
      </c>
      <c r="AA14" s="108" t="str">
        <f t="shared" si="2"/>
        <v>/*ELI-243*/ 10111111 1;</v>
      </c>
    </row>
    <row r="15" spans="1:27" x14ac:dyDescent="0.35">
      <c r="A15" t="s">
        <v>352</v>
      </c>
      <c r="B15" t="s">
        <v>55</v>
      </c>
      <c r="C15" t="s">
        <v>75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 s="108">
        <v>1</v>
      </c>
      <c r="M15" s="108">
        <v>1</v>
      </c>
      <c r="N15" s="123">
        <v>1</v>
      </c>
      <c r="O15" s="108">
        <v>1</v>
      </c>
      <c r="P15" s="108">
        <v>1</v>
      </c>
      <c r="Q15" s="108">
        <v>0</v>
      </c>
      <c r="R15" s="110">
        <v>0</v>
      </c>
      <c r="S15">
        <v>1</v>
      </c>
      <c r="T15">
        <v>2008</v>
      </c>
      <c r="U15">
        <v>10</v>
      </c>
      <c r="V15">
        <v>6</v>
      </c>
      <c r="W15" s="108">
        <f>VLOOKUP(A15,'pride covariates'!A$2:B$33,2,FALSE)</f>
        <v>1</v>
      </c>
      <c r="X15" s="108">
        <v>0</v>
      </c>
      <c r="Y15" s="108" t="str">
        <f t="shared" si="0"/>
        <v>/* ELI-242 */ 00111111 1 1 1 0 0 6 1;</v>
      </c>
      <c r="Z15" s="108" t="str">
        <f t="shared" si="1"/>
        <v>00111111</v>
      </c>
      <c r="AA15" s="108" t="str">
        <f t="shared" si="2"/>
        <v>/*ELI-242*/ 00111111 1;</v>
      </c>
    </row>
    <row r="16" spans="1:27" x14ac:dyDescent="0.35">
      <c r="A16" t="s">
        <v>352</v>
      </c>
      <c r="B16" t="s">
        <v>57</v>
      </c>
      <c r="C16" t="s">
        <v>77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 s="108">
        <v>1</v>
      </c>
      <c r="M16" s="108">
        <v>0</v>
      </c>
      <c r="N16" s="123">
        <v>1</v>
      </c>
      <c r="O16" s="108">
        <v>0</v>
      </c>
      <c r="P16" s="108">
        <v>1</v>
      </c>
      <c r="Q16" s="108">
        <v>0</v>
      </c>
      <c r="R16" s="110">
        <v>0</v>
      </c>
      <c r="S16">
        <v>1</v>
      </c>
      <c r="T16">
        <v>2009</v>
      </c>
      <c r="U16">
        <v>4</v>
      </c>
      <c r="V16">
        <v>4</v>
      </c>
      <c r="W16" s="108">
        <f>VLOOKUP(A16,'pride covariates'!A$2:B$33,2,FALSE)</f>
        <v>1</v>
      </c>
      <c r="X16" s="108">
        <v>0</v>
      </c>
      <c r="Y16" s="108" t="str">
        <f t="shared" si="0"/>
        <v>/* ELI-224 */ 00101101 1 1 1 0 0 4 1;</v>
      </c>
      <c r="Z16" s="108" t="str">
        <f t="shared" si="1"/>
        <v>00101101</v>
      </c>
      <c r="AA16" s="108" t="str">
        <f t="shared" si="2"/>
        <v>/*ELI-224*/ 00101101 1;</v>
      </c>
    </row>
    <row r="17" spans="1:27" x14ac:dyDescent="0.35">
      <c r="A17" t="s">
        <v>352</v>
      </c>
      <c r="B17" t="s">
        <v>58</v>
      </c>
      <c r="C17" t="s">
        <v>78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 s="108">
        <v>1</v>
      </c>
      <c r="M17" s="108">
        <v>1</v>
      </c>
      <c r="N17" s="123">
        <v>1</v>
      </c>
      <c r="O17" s="108">
        <v>1</v>
      </c>
      <c r="P17" s="108">
        <v>1</v>
      </c>
      <c r="Q17" s="108">
        <v>0</v>
      </c>
      <c r="R17" s="110">
        <v>0</v>
      </c>
      <c r="S17">
        <v>1</v>
      </c>
      <c r="T17">
        <v>2008</v>
      </c>
      <c r="U17">
        <v>10</v>
      </c>
      <c r="V17">
        <v>1</v>
      </c>
      <c r="W17" s="108">
        <f>VLOOKUP(A17,'pride covariates'!A$2:B$33,2,FALSE)</f>
        <v>1</v>
      </c>
      <c r="X17" s="108">
        <v>0</v>
      </c>
      <c r="Y17" s="108" t="str">
        <f t="shared" si="0"/>
        <v>/* ELI-245 */ 00111111 1 1 1 0 0 1 1;</v>
      </c>
      <c r="Z17" s="108" t="str">
        <f t="shared" si="1"/>
        <v>00111111</v>
      </c>
      <c r="AA17" s="108" t="str">
        <f t="shared" si="2"/>
        <v>/*ELI-245*/ 00111111 1;</v>
      </c>
    </row>
    <row r="18" spans="1:27" x14ac:dyDescent="0.35">
      <c r="A18" t="s">
        <v>352</v>
      </c>
      <c r="B18" t="s">
        <v>59</v>
      </c>
      <c r="C18" t="s">
        <v>79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 s="108">
        <v>1</v>
      </c>
      <c r="M18" s="108">
        <v>1</v>
      </c>
      <c r="N18" s="123">
        <v>1</v>
      </c>
      <c r="O18" s="108">
        <v>1</v>
      </c>
      <c r="P18" s="108">
        <v>1</v>
      </c>
      <c r="Q18" s="108">
        <v>0</v>
      </c>
      <c r="R18" s="110">
        <v>0</v>
      </c>
      <c r="S18">
        <v>1</v>
      </c>
      <c r="T18">
        <v>2008</v>
      </c>
      <c r="U18">
        <v>10</v>
      </c>
      <c r="V18">
        <v>1</v>
      </c>
      <c r="W18" s="108">
        <f>VLOOKUP(A18,'pride covariates'!A$2:B$33,2,FALSE)</f>
        <v>1</v>
      </c>
      <c r="X18" s="108">
        <v>0</v>
      </c>
      <c r="Y18" s="108" t="str">
        <f t="shared" si="0"/>
        <v>/* ELI-223 */ 00111111 1 1 1 0 0 1 1;</v>
      </c>
      <c r="Z18" s="108" t="str">
        <f t="shared" si="1"/>
        <v>00111111</v>
      </c>
      <c r="AA18" s="108" t="str">
        <f t="shared" si="2"/>
        <v>/*ELI-223*/ 00111111 1;</v>
      </c>
    </row>
    <row r="19" spans="1:27" x14ac:dyDescent="0.35">
      <c r="A19" t="s">
        <v>352</v>
      </c>
      <c r="B19" t="s">
        <v>60</v>
      </c>
      <c r="C19" t="s">
        <v>80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 s="108">
        <v>1</v>
      </c>
      <c r="M19" s="108">
        <v>1</v>
      </c>
      <c r="N19" s="123">
        <v>1</v>
      </c>
      <c r="O19" s="108">
        <v>1</v>
      </c>
      <c r="P19" s="108">
        <v>1</v>
      </c>
      <c r="Q19" s="108">
        <v>0</v>
      </c>
      <c r="R19" s="110">
        <v>0</v>
      </c>
      <c r="S19">
        <v>1</v>
      </c>
      <c r="T19">
        <v>2008</v>
      </c>
      <c r="U19">
        <v>10</v>
      </c>
      <c r="V19">
        <v>0</v>
      </c>
      <c r="W19" s="108">
        <f>VLOOKUP(A19,'pride covariates'!A$2:B$33,2,FALSE)</f>
        <v>1</v>
      </c>
      <c r="X19" s="108">
        <v>0</v>
      </c>
      <c r="Y19" s="108" t="str">
        <f t="shared" si="0"/>
        <v>/* ELI-220 */ 00111111 1 1 1 0 0 0 1;</v>
      </c>
      <c r="Z19" s="108" t="str">
        <f t="shared" si="1"/>
        <v>00111111</v>
      </c>
      <c r="AA19" s="108" t="str">
        <f t="shared" si="2"/>
        <v>/*ELI-220*/ 00111111 1;</v>
      </c>
    </row>
    <row r="20" spans="1:27" x14ac:dyDescent="0.35">
      <c r="A20" t="s">
        <v>352</v>
      </c>
      <c r="B20" t="s">
        <v>61</v>
      </c>
      <c r="C20" t="s">
        <v>81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 s="108">
        <v>1</v>
      </c>
      <c r="M20" s="108">
        <v>1</v>
      </c>
      <c r="N20" s="123">
        <v>1</v>
      </c>
      <c r="O20" s="108">
        <v>1</v>
      </c>
      <c r="P20" s="108">
        <v>1</v>
      </c>
      <c r="Q20" s="108">
        <v>0</v>
      </c>
      <c r="R20" s="110">
        <v>0</v>
      </c>
      <c r="S20">
        <v>1</v>
      </c>
      <c r="T20">
        <v>2009</v>
      </c>
      <c r="U20">
        <v>4</v>
      </c>
      <c r="V20">
        <v>1</v>
      </c>
      <c r="W20" s="108">
        <f>VLOOKUP(A20,'pride covariates'!A$2:B$33,2,FALSE)</f>
        <v>1</v>
      </c>
      <c r="X20" s="108">
        <v>0</v>
      </c>
      <c r="Y20" s="108" t="str">
        <f t="shared" si="0"/>
        <v>/* ELI-218 */ 00111111 1 1 1 0 0 1 1;</v>
      </c>
      <c r="Z20" s="108" t="str">
        <f t="shared" si="1"/>
        <v>00111111</v>
      </c>
      <c r="AA20" s="108" t="str">
        <f t="shared" si="2"/>
        <v>/*ELI-218*/ 00111111 1;</v>
      </c>
    </row>
    <row r="21" spans="1:27" x14ac:dyDescent="0.35">
      <c r="A21" t="s">
        <v>352</v>
      </c>
      <c r="B21" t="s">
        <v>62</v>
      </c>
      <c r="C21" t="s">
        <v>82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 s="108">
        <v>0</v>
      </c>
      <c r="M21" s="108">
        <v>0</v>
      </c>
      <c r="N21" s="123">
        <v>0</v>
      </c>
      <c r="O21" s="108">
        <v>0</v>
      </c>
      <c r="P21" s="108">
        <v>1</v>
      </c>
      <c r="Q21" s="108">
        <v>0</v>
      </c>
      <c r="R21" s="110">
        <v>0</v>
      </c>
      <c r="S21">
        <v>1</v>
      </c>
      <c r="T21">
        <v>2009</v>
      </c>
      <c r="U21">
        <v>7</v>
      </c>
      <c r="V21">
        <v>1</v>
      </c>
      <c r="W21" s="108">
        <f>VLOOKUP(A21,'pride covariates'!A$2:B$33,2,FALSE)</f>
        <v>1</v>
      </c>
      <c r="X21" s="108">
        <v>0</v>
      </c>
      <c r="Y21" s="108" t="str">
        <f t="shared" si="0"/>
        <v>/* ELI-143 */ 00100000 1 1 1 0 0 1 1;</v>
      </c>
      <c r="Z21" s="108" t="str">
        <f t="shared" si="1"/>
        <v>00100000</v>
      </c>
      <c r="AA21" s="108" t="str">
        <f t="shared" si="2"/>
        <v>/*ELI-143*/ 00100000 1;</v>
      </c>
    </row>
    <row r="22" spans="1:27" x14ac:dyDescent="0.35">
      <c r="A22" t="s">
        <v>352</v>
      </c>
      <c r="B22" t="s">
        <v>63</v>
      </c>
      <c r="C22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 s="108">
        <v>1</v>
      </c>
      <c r="M22" s="108">
        <v>1</v>
      </c>
      <c r="N22" s="123">
        <v>1</v>
      </c>
      <c r="O22" s="108">
        <v>1</v>
      </c>
      <c r="P22" s="108">
        <v>1</v>
      </c>
      <c r="Q22" s="108">
        <v>0</v>
      </c>
      <c r="R22" s="110">
        <v>0</v>
      </c>
      <c r="S22">
        <v>1</v>
      </c>
      <c r="T22">
        <v>2008</v>
      </c>
      <c r="U22">
        <v>10</v>
      </c>
      <c r="V22">
        <v>0</v>
      </c>
      <c r="W22" s="108">
        <f>VLOOKUP(A22,'pride covariates'!A$2:B$33,2,FALSE)</f>
        <v>1</v>
      </c>
      <c r="X22" s="108">
        <v>0</v>
      </c>
      <c r="Y22" s="108" t="str">
        <f t="shared" si="0"/>
        <v>/* ELI-219 */ 00111111 1 1 1 0 0 0 1;</v>
      </c>
      <c r="Z22" s="108" t="str">
        <f t="shared" si="1"/>
        <v>00111111</v>
      </c>
      <c r="AA22" s="108" t="str">
        <f t="shared" si="2"/>
        <v>/*ELI-219*/ 00111111 1;</v>
      </c>
    </row>
    <row r="23" spans="1:27" s="108" customFormat="1" x14ac:dyDescent="0.35">
      <c r="A23" s="108" t="s">
        <v>355</v>
      </c>
      <c r="B23" s="108" t="s">
        <v>23</v>
      </c>
      <c r="C23" s="108" t="s">
        <v>17</v>
      </c>
      <c r="D23" s="125">
        <v>1</v>
      </c>
      <c r="E23" s="108">
        <v>1</v>
      </c>
      <c r="F23" s="125">
        <v>1</v>
      </c>
      <c r="G23" s="108">
        <v>1</v>
      </c>
      <c r="H23" s="108">
        <v>1</v>
      </c>
      <c r="I23" s="108">
        <v>1</v>
      </c>
      <c r="J23" s="125">
        <v>1</v>
      </c>
      <c r="K23" s="108">
        <v>0</v>
      </c>
      <c r="L23" s="108">
        <v>1</v>
      </c>
      <c r="M23" s="108">
        <v>1</v>
      </c>
      <c r="N23" s="123">
        <v>1</v>
      </c>
      <c r="O23" s="125">
        <v>1</v>
      </c>
      <c r="P23" s="108">
        <v>1</v>
      </c>
      <c r="Q23" s="108">
        <v>0</v>
      </c>
      <c r="R23" s="111">
        <v>0</v>
      </c>
      <c r="S23" s="108">
        <v>1</v>
      </c>
      <c r="T23" s="108">
        <v>2011</v>
      </c>
      <c r="U23" s="108">
        <v>7</v>
      </c>
      <c r="V23" s="108">
        <v>3</v>
      </c>
      <c r="W23" s="108">
        <f>VLOOKUP(A23,'pride covariates'!A$2:B$33,2,FALSE)</f>
        <v>1</v>
      </c>
      <c r="X23" s="108">
        <v>0</v>
      </c>
      <c r="Y23" s="108" t="e">
        <f>CONCATENATE("/* ",C23," */ ",G23,H23,I23,#REF!,K23,L23,M23,N23," 1"," ",P23," ",S23," ",R23," ",X23," ",V23," ",W23,";")</f>
        <v>#REF!</v>
      </c>
      <c r="Z23" s="108" t="e">
        <f>CONCATENATE(G23,H23,I23,#REF!,K23,L23,M23,N23)</f>
        <v>#REF!</v>
      </c>
      <c r="AA23" s="108" t="e">
        <f>CONCATENATE("/*",C23,"*/ ",G23,H23,I23,#REF!,K23,L23,M23,N23," 1",";")</f>
        <v>#REF!</v>
      </c>
    </row>
    <row r="24" spans="1:27" s="108" customFormat="1" x14ac:dyDescent="0.35">
      <c r="A24" s="108" t="s">
        <v>355</v>
      </c>
      <c r="B24" s="108" t="s">
        <v>27</v>
      </c>
      <c r="C24" s="108" t="s">
        <v>21</v>
      </c>
      <c r="D24" s="108">
        <v>0</v>
      </c>
      <c r="E24" s="108">
        <v>1</v>
      </c>
      <c r="F24" s="108">
        <v>0</v>
      </c>
      <c r="G24" s="108">
        <v>1</v>
      </c>
      <c r="H24" s="108">
        <v>1</v>
      </c>
      <c r="I24" s="108">
        <v>1</v>
      </c>
      <c r="J24" s="108">
        <v>0</v>
      </c>
      <c r="K24" s="108">
        <v>0</v>
      </c>
      <c r="L24" s="108">
        <v>1</v>
      </c>
      <c r="M24" s="108">
        <v>1</v>
      </c>
      <c r="N24" s="123">
        <v>1</v>
      </c>
      <c r="O24" s="123">
        <v>0</v>
      </c>
      <c r="P24" s="108">
        <v>1</v>
      </c>
      <c r="Q24" s="108">
        <v>0</v>
      </c>
      <c r="R24" s="111">
        <v>0</v>
      </c>
      <c r="S24" s="108">
        <v>1</v>
      </c>
      <c r="T24" s="108">
        <v>2012</v>
      </c>
      <c r="U24" s="108">
        <v>6</v>
      </c>
      <c r="V24" s="108">
        <v>4</v>
      </c>
      <c r="W24" s="108">
        <f>VLOOKUP(A24,'pride covariates'!A$2:B$33,2,FALSE)</f>
        <v>1</v>
      </c>
      <c r="X24" s="108">
        <v>0</v>
      </c>
      <c r="Y24" s="108" t="str">
        <f>CONCATENATE("/* ",C24," */ ",G24,H24,I24,J23,K24,L24,M24,N24," 1"," ",P24," ",S24," ",R24," ",X24," ",V24," ",W24,";")</f>
        <v>/* ELI-493 */ 11110111 1 1 1 0 0 4 1;</v>
      </c>
      <c r="Z24" s="108" t="str">
        <f>CONCATENATE(G24,H24,I24,J23,K24,L24,M24,N24)</f>
        <v>11110111</v>
      </c>
      <c r="AA24" s="108" t="str">
        <f>CONCATENATE("/*",C24,"*/ ",G24,H24,I24,J23,K24,L24,M24,N24," 1",";")</f>
        <v>/*ELI-493*/ 11110111 1;</v>
      </c>
    </row>
    <row r="25" spans="1:27" s="108" customFormat="1" x14ac:dyDescent="0.35">
      <c r="A25" s="108" t="s">
        <v>355</v>
      </c>
      <c r="B25" s="108" t="s">
        <v>28</v>
      </c>
      <c r="C25" s="108" t="s">
        <v>22</v>
      </c>
      <c r="D25" s="108">
        <v>0</v>
      </c>
      <c r="E25" s="108">
        <v>1</v>
      </c>
      <c r="F25" s="108">
        <v>0</v>
      </c>
      <c r="G25" s="108">
        <v>1</v>
      </c>
      <c r="H25" s="108">
        <v>1</v>
      </c>
      <c r="I25" s="108">
        <v>1</v>
      </c>
      <c r="J25" s="108">
        <v>0</v>
      </c>
      <c r="K25" s="108">
        <v>0</v>
      </c>
      <c r="L25" s="108">
        <v>1</v>
      </c>
      <c r="M25" s="108">
        <v>1</v>
      </c>
      <c r="N25" s="123">
        <v>1</v>
      </c>
      <c r="O25" s="108">
        <v>0</v>
      </c>
      <c r="P25" s="108">
        <v>1</v>
      </c>
      <c r="Q25" s="108">
        <v>0</v>
      </c>
      <c r="R25" s="111">
        <v>0</v>
      </c>
      <c r="S25" s="108">
        <v>1</v>
      </c>
      <c r="T25" s="108">
        <v>2012</v>
      </c>
      <c r="U25" s="108">
        <v>6</v>
      </c>
      <c r="V25" s="108">
        <v>1</v>
      </c>
      <c r="W25" s="108">
        <f>VLOOKUP(A25,'pride covariates'!A$2:B$33,2,FALSE)</f>
        <v>1</v>
      </c>
      <c r="X25" s="108">
        <v>0</v>
      </c>
      <c r="Y25" s="108" t="str">
        <f t="shared" si="0"/>
        <v>/* ELI-494 */ 11100111 1 1 1 0 0 1 1;</v>
      </c>
      <c r="Z25" s="108" t="str">
        <f t="shared" si="1"/>
        <v>11100111</v>
      </c>
      <c r="AA25" s="108" t="str">
        <f t="shared" si="2"/>
        <v>/*ELI-494*/ 11100111 1;</v>
      </c>
    </row>
    <row r="26" spans="1:27" s="108" customFormat="1" x14ac:dyDescent="0.35">
      <c r="A26" s="108" t="s">
        <v>355</v>
      </c>
      <c r="B26" s="108" t="s">
        <v>355</v>
      </c>
      <c r="C26" s="108" t="s">
        <v>357</v>
      </c>
      <c r="D26" s="108">
        <v>0</v>
      </c>
      <c r="E26" s="108">
        <v>0</v>
      </c>
      <c r="F26" s="108">
        <v>0</v>
      </c>
      <c r="G26" s="108">
        <v>1</v>
      </c>
      <c r="H26" s="108">
        <v>0</v>
      </c>
      <c r="I26" s="108">
        <v>1</v>
      </c>
      <c r="J26" s="108">
        <v>0</v>
      </c>
      <c r="K26" s="108">
        <v>0</v>
      </c>
      <c r="L26" s="108">
        <v>1</v>
      </c>
      <c r="M26" s="108">
        <v>1</v>
      </c>
      <c r="N26" s="123">
        <v>1</v>
      </c>
      <c r="O26" s="108">
        <v>0</v>
      </c>
      <c r="P26" s="108">
        <v>1</v>
      </c>
      <c r="Q26" s="108">
        <v>0</v>
      </c>
      <c r="R26" s="108">
        <v>0</v>
      </c>
      <c r="S26" s="108">
        <v>1</v>
      </c>
      <c r="T26" s="108">
        <v>2013</v>
      </c>
      <c r="U26" s="108">
        <v>4</v>
      </c>
      <c r="V26" s="108">
        <v>0</v>
      </c>
      <c r="W26" s="108">
        <f>VLOOKUP(A26,'pride covariates'!A$2:B$33,2,FALSE)</f>
        <v>1</v>
      </c>
      <c r="X26" s="108">
        <v>0</v>
      </c>
      <c r="Y26" s="108" t="str">
        <f t="shared" si="0"/>
        <v>/* ELI-598 */ 10100111 1 1 1 0 0 0 1;</v>
      </c>
      <c r="Z26" s="108" t="str">
        <f t="shared" si="1"/>
        <v>10100111</v>
      </c>
      <c r="AA26" s="108" t="str">
        <f t="shared" si="2"/>
        <v>/*ELI-598*/ 10100111 1;</v>
      </c>
    </row>
    <row r="27" spans="1:27" s="108" customFormat="1" x14ac:dyDescent="0.35">
      <c r="A27" s="108" t="s">
        <v>355</v>
      </c>
      <c r="B27" s="108" t="s">
        <v>355</v>
      </c>
      <c r="C27" s="108" t="s">
        <v>358</v>
      </c>
      <c r="D27" s="108">
        <v>0</v>
      </c>
      <c r="E27" s="108">
        <v>0</v>
      </c>
      <c r="F27" s="108">
        <v>0</v>
      </c>
      <c r="G27" s="108">
        <v>1</v>
      </c>
      <c r="H27" s="108">
        <v>0</v>
      </c>
      <c r="I27" s="108">
        <v>1</v>
      </c>
      <c r="J27" s="108">
        <v>0</v>
      </c>
      <c r="K27" s="108">
        <v>0</v>
      </c>
      <c r="L27" s="108">
        <v>1</v>
      </c>
      <c r="M27" s="108">
        <v>1</v>
      </c>
      <c r="N27" s="123">
        <v>1</v>
      </c>
      <c r="O27" s="108">
        <v>0</v>
      </c>
      <c r="P27" s="108">
        <v>1</v>
      </c>
      <c r="Q27" s="108">
        <v>0</v>
      </c>
      <c r="R27" s="108">
        <v>0</v>
      </c>
      <c r="S27" s="108">
        <v>1</v>
      </c>
      <c r="T27" s="108">
        <v>2013</v>
      </c>
      <c r="U27" s="108">
        <v>4</v>
      </c>
      <c r="V27" s="108">
        <v>0</v>
      </c>
      <c r="W27" s="108">
        <f>VLOOKUP(A27,'pride covariates'!A$2:B$33,2,FALSE)</f>
        <v>1</v>
      </c>
      <c r="X27" s="108">
        <v>0</v>
      </c>
      <c r="Y27" s="108" t="str">
        <f t="shared" si="0"/>
        <v>/* ELI-599 */ 10100111 1 1 1 0 0 0 1;</v>
      </c>
      <c r="Z27" s="108" t="str">
        <f t="shared" si="1"/>
        <v>10100111</v>
      </c>
      <c r="AA27" s="108" t="str">
        <f t="shared" si="2"/>
        <v>/*ELI-599*/ 10100111 1;</v>
      </c>
    </row>
    <row r="28" spans="1:27" s="108" customFormat="1" x14ac:dyDescent="0.35">
      <c r="A28" s="108" t="s">
        <v>355</v>
      </c>
      <c r="B28" s="108" t="s">
        <v>355</v>
      </c>
      <c r="C28" s="108" t="s">
        <v>498</v>
      </c>
      <c r="D28" s="108">
        <v>0</v>
      </c>
      <c r="E28" s="108">
        <v>0</v>
      </c>
      <c r="F28" s="108">
        <v>0</v>
      </c>
      <c r="G28" s="108">
        <v>1</v>
      </c>
      <c r="H28" s="108">
        <v>0</v>
      </c>
      <c r="I28" s="108">
        <v>0</v>
      </c>
      <c r="J28" s="108">
        <v>0</v>
      </c>
      <c r="K28" s="108">
        <v>0</v>
      </c>
      <c r="L28" s="108">
        <v>0</v>
      </c>
      <c r="M28" s="108">
        <v>0</v>
      </c>
      <c r="N28" s="123">
        <v>0</v>
      </c>
      <c r="O28" s="108">
        <v>0</v>
      </c>
      <c r="P28" s="108">
        <v>0</v>
      </c>
      <c r="Q28" s="108" t="s">
        <v>478</v>
      </c>
      <c r="R28" s="108">
        <v>1</v>
      </c>
      <c r="S28" s="108">
        <v>1</v>
      </c>
      <c r="T28" s="108">
        <v>2013</v>
      </c>
      <c r="U28" s="108">
        <v>4</v>
      </c>
      <c r="V28" s="108">
        <v>0</v>
      </c>
      <c r="W28" s="108">
        <f>VLOOKUP(A28,'pride covariates'!A$2:B$33,2,FALSE)</f>
        <v>1</v>
      </c>
      <c r="X28" s="108">
        <v>0</v>
      </c>
      <c r="Y28" s="108" t="str">
        <f t="shared" si="0"/>
        <v>/* ELI-597 */ 10000000 1 0 1 1 0 0 1;</v>
      </c>
      <c r="Z28" s="108" t="str">
        <f t="shared" si="1"/>
        <v>10000000</v>
      </c>
      <c r="AA28" s="108" t="str">
        <f t="shared" si="2"/>
        <v>/*ELI-597*/ 10000000 1;</v>
      </c>
    </row>
    <row r="29" spans="1:27" s="108" customFormat="1" x14ac:dyDescent="0.35">
      <c r="A29" s="108" t="s">
        <v>355</v>
      </c>
      <c r="B29" s="108" t="s">
        <v>88</v>
      </c>
      <c r="C29" s="108" t="s">
        <v>91</v>
      </c>
      <c r="D29" s="108">
        <v>0</v>
      </c>
      <c r="E29" s="108">
        <v>1</v>
      </c>
      <c r="F29" s="108">
        <v>0</v>
      </c>
      <c r="G29" s="108">
        <v>1</v>
      </c>
      <c r="H29" s="108">
        <v>0</v>
      </c>
      <c r="I29" s="108">
        <v>1</v>
      </c>
      <c r="J29" s="108">
        <v>0</v>
      </c>
      <c r="K29" s="108">
        <v>0</v>
      </c>
      <c r="L29" s="108">
        <v>1</v>
      </c>
      <c r="M29" s="108">
        <v>0</v>
      </c>
      <c r="N29" s="123">
        <v>0</v>
      </c>
      <c r="O29" s="108">
        <v>0</v>
      </c>
      <c r="P29" s="108">
        <v>0</v>
      </c>
      <c r="Q29" s="108" t="s">
        <v>478</v>
      </c>
      <c r="R29" s="111">
        <v>1</v>
      </c>
      <c r="S29" s="108">
        <v>1</v>
      </c>
      <c r="T29" s="108">
        <v>2012</v>
      </c>
      <c r="U29" s="108">
        <v>10</v>
      </c>
      <c r="V29" s="108">
        <v>0</v>
      </c>
      <c r="W29" s="108">
        <f>VLOOKUP(A29,'pride covariates'!A$2:B$33,2,FALSE)</f>
        <v>1</v>
      </c>
      <c r="X29" s="108">
        <v>1</v>
      </c>
      <c r="Y29" s="108" t="str">
        <f t="shared" si="0"/>
        <v>/* ELI-523 */ 10100100 1 0 1 1 1 0 1;</v>
      </c>
      <c r="Z29" s="108" t="str">
        <f t="shared" si="1"/>
        <v>10100100</v>
      </c>
      <c r="AA29" s="108" t="str">
        <f t="shared" si="2"/>
        <v>/*ELI-523*/ 10100100 1;</v>
      </c>
    </row>
    <row r="30" spans="1:27" s="108" customFormat="1" x14ac:dyDescent="0.35">
      <c r="A30" s="108" t="s">
        <v>355</v>
      </c>
      <c r="B30" s="108" t="s">
        <v>89</v>
      </c>
      <c r="C30" s="108" t="s">
        <v>92</v>
      </c>
      <c r="D30" s="108">
        <v>0</v>
      </c>
      <c r="E30" s="108">
        <v>1</v>
      </c>
      <c r="F30" s="108">
        <v>0</v>
      </c>
      <c r="G30" s="108">
        <v>1</v>
      </c>
      <c r="H30" s="108">
        <v>0</v>
      </c>
      <c r="I30" s="108">
        <v>1</v>
      </c>
      <c r="J30" s="108">
        <v>0</v>
      </c>
      <c r="K30" s="108">
        <v>0</v>
      </c>
      <c r="L30" s="108">
        <v>1</v>
      </c>
      <c r="M30" s="108">
        <v>1</v>
      </c>
      <c r="N30" s="123">
        <v>1</v>
      </c>
      <c r="O30" s="108">
        <v>0</v>
      </c>
      <c r="P30" s="108">
        <v>1</v>
      </c>
      <c r="Q30" s="108">
        <v>0</v>
      </c>
      <c r="R30" s="111">
        <v>0</v>
      </c>
      <c r="S30" s="108">
        <v>1</v>
      </c>
      <c r="T30" s="108">
        <v>2012</v>
      </c>
      <c r="U30" s="108">
        <v>10</v>
      </c>
      <c r="V30" s="108">
        <v>0</v>
      </c>
      <c r="W30" s="108">
        <f>VLOOKUP(A30,'pride covariates'!A$2:B$33,2,FALSE)</f>
        <v>1</v>
      </c>
      <c r="X30" s="108">
        <v>0</v>
      </c>
      <c r="Y30" s="108" t="str">
        <f t="shared" si="0"/>
        <v>/* ELI-524 */ 10100111 1 1 1 0 0 0 1;</v>
      </c>
      <c r="Z30" s="108" t="str">
        <f t="shared" si="1"/>
        <v>10100111</v>
      </c>
      <c r="AA30" s="108" t="str">
        <f t="shared" si="2"/>
        <v>/*ELI-524*/ 10100111 1;</v>
      </c>
    </row>
    <row r="31" spans="1:27" s="108" customFormat="1" x14ac:dyDescent="0.35">
      <c r="A31" s="108" t="s">
        <v>355</v>
      </c>
      <c r="B31" s="108" t="s">
        <v>90</v>
      </c>
      <c r="C31" s="108" t="s">
        <v>93</v>
      </c>
      <c r="D31" s="108">
        <v>0</v>
      </c>
      <c r="E31" s="108">
        <v>1</v>
      </c>
      <c r="F31" s="108">
        <v>0</v>
      </c>
      <c r="G31" s="108">
        <v>1</v>
      </c>
      <c r="H31" s="108">
        <v>0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23">
        <v>0</v>
      </c>
      <c r="O31" s="108">
        <v>0</v>
      </c>
      <c r="P31" s="108">
        <v>0</v>
      </c>
      <c r="Q31" s="108" t="s">
        <v>478</v>
      </c>
      <c r="R31" s="111">
        <v>1</v>
      </c>
      <c r="S31" s="108">
        <v>1</v>
      </c>
      <c r="T31" s="108">
        <v>2012</v>
      </c>
      <c r="U31" s="108">
        <v>10</v>
      </c>
      <c r="V31" s="108">
        <v>0</v>
      </c>
      <c r="W31" s="108">
        <f>VLOOKUP(A31,'pride covariates'!A$2:B$33,2,FALSE)</f>
        <v>1</v>
      </c>
      <c r="X31" s="108">
        <v>0</v>
      </c>
      <c r="Y31" s="108" t="str">
        <f t="shared" si="0"/>
        <v>/* ELI-525 */ 10000000 1 0 1 1 0 0 1;</v>
      </c>
      <c r="Z31" s="108" t="str">
        <f t="shared" si="1"/>
        <v>10000000</v>
      </c>
      <c r="AA31" s="108" t="str">
        <f t="shared" si="2"/>
        <v>/*ELI-525*/ 10000000 1;</v>
      </c>
    </row>
    <row r="32" spans="1:27" s="108" customFormat="1" x14ac:dyDescent="0.35">
      <c r="A32" s="108" t="s">
        <v>412</v>
      </c>
      <c r="B32" s="108" t="s">
        <v>94</v>
      </c>
      <c r="C32" s="108" t="s">
        <v>15</v>
      </c>
      <c r="D32" s="108">
        <v>0</v>
      </c>
      <c r="E32" s="108">
        <v>0</v>
      </c>
      <c r="F32" s="108">
        <v>1</v>
      </c>
      <c r="G32" s="108">
        <v>1</v>
      </c>
      <c r="H32" s="108">
        <v>1</v>
      </c>
      <c r="I32" s="108">
        <v>1</v>
      </c>
      <c r="J32" s="108">
        <v>1</v>
      </c>
      <c r="K32" s="108">
        <v>0</v>
      </c>
      <c r="L32" s="108">
        <v>1</v>
      </c>
      <c r="M32" s="108">
        <v>0</v>
      </c>
      <c r="N32" s="123">
        <v>0</v>
      </c>
      <c r="O32" s="108">
        <v>1</v>
      </c>
      <c r="P32" s="108">
        <v>1</v>
      </c>
      <c r="Q32" s="108">
        <v>0</v>
      </c>
      <c r="R32" s="111">
        <v>0</v>
      </c>
      <c r="S32" s="108">
        <v>1</v>
      </c>
      <c r="T32" s="108">
        <v>2008</v>
      </c>
      <c r="U32" s="108">
        <v>9</v>
      </c>
      <c r="V32" s="108">
        <v>5</v>
      </c>
      <c r="W32" s="108">
        <f>VLOOKUP(A32,'pride covariates'!A$2:B$33,2,FALSE)</f>
        <v>1</v>
      </c>
      <c r="X32" s="108">
        <v>0</v>
      </c>
      <c r="Y32" s="108" t="str">
        <f t="shared" si="0"/>
        <v>/* ELI-236 */ 11110100 1 1 1 0 0 5 1;</v>
      </c>
      <c r="Z32" s="108" t="str">
        <f t="shared" si="1"/>
        <v>11110100</v>
      </c>
      <c r="AA32" s="108" t="str">
        <f t="shared" si="2"/>
        <v>/*ELI-236*/ 11110100 1;</v>
      </c>
    </row>
    <row r="33" spans="1:27" x14ac:dyDescent="0.35">
      <c r="A33" t="s">
        <v>412</v>
      </c>
      <c r="B33" t="s">
        <v>95</v>
      </c>
      <c r="C33" t="s">
        <v>16</v>
      </c>
      <c r="D33">
        <v>0</v>
      </c>
      <c r="E33" s="125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 s="108">
        <v>1</v>
      </c>
      <c r="M33" s="108">
        <v>1</v>
      </c>
      <c r="N33" s="123">
        <v>0</v>
      </c>
      <c r="O33" s="108">
        <v>1</v>
      </c>
      <c r="P33" s="108">
        <v>1</v>
      </c>
      <c r="Q33" s="108">
        <v>0</v>
      </c>
      <c r="R33" s="110">
        <v>0</v>
      </c>
      <c r="S33">
        <v>1</v>
      </c>
      <c r="T33">
        <v>2008</v>
      </c>
      <c r="U33">
        <v>9</v>
      </c>
      <c r="V33">
        <v>2</v>
      </c>
      <c r="W33" s="108">
        <f>VLOOKUP(A33,'pride covariates'!A$2:B$33,2,FALSE)</f>
        <v>1</v>
      </c>
      <c r="X33" s="108">
        <v>0</v>
      </c>
      <c r="Y33" s="108" t="str">
        <f t="shared" si="0"/>
        <v>/* ELI-235 */ 11110110 1 1 1 0 0 2 1;</v>
      </c>
      <c r="Z33" s="108" t="str">
        <f t="shared" si="1"/>
        <v>11110110</v>
      </c>
      <c r="AA33" s="108" t="str">
        <f t="shared" si="2"/>
        <v>/*ELI-235*/ 11110110 1;</v>
      </c>
    </row>
    <row r="34" spans="1:27" x14ac:dyDescent="0.35">
      <c r="A34" t="s">
        <v>412</v>
      </c>
      <c r="B34" t="s">
        <v>97</v>
      </c>
      <c r="C34" t="s">
        <v>96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 s="108">
        <v>0</v>
      </c>
      <c r="M34" s="108">
        <v>0</v>
      </c>
      <c r="N34" s="123">
        <v>0</v>
      </c>
      <c r="O34" s="108">
        <v>0</v>
      </c>
      <c r="P34" s="108">
        <v>1</v>
      </c>
      <c r="Q34" s="108">
        <v>0</v>
      </c>
      <c r="R34" s="110">
        <v>0</v>
      </c>
      <c r="S34">
        <v>1</v>
      </c>
      <c r="T34">
        <v>2012</v>
      </c>
      <c r="U34">
        <v>11</v>
      </c>
      <c r="V34">
        <v>0</v>
      </c>
      <c r="W34" s="108">
        <f>VLOOKUP(A34,'pride covariates'!A$2:B$33,2,FALSE)</f>
        <v>1</v>
      </c>
      <c r="X34" s="108">
        <v>0</v>
      </c>
      <c r="Y34" s="108" t="str">
        <f t="shared" si="0"/>
        <v>/* ELI-554 */ 11110000 1 1 1 0 0 0 1;</v>
      </c>
      <c r="Z34" s="108" t="str">
        <f t="shared" si="1"/>
        <v>11110000</v>
      </c>
      <c r="AA34" s="108" t="str">
        <f t="shared" si="2"/>
        <v>/*ELI-554*/ 11110000 1;</v>
      </c>
    </row>
    <row r="35" spans="1:27" x14ac:dyDescent="0.35">
      <c r="A35" t="s">
        <v>412</v>
      </c>
      <c r="B35" t="s">
        <v>99</v>
      </c>
      <c r="C35" t="s">
        <v>98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 s="108">
        <v>0</v>
      </c>
      <c r="M35" s="108">
        <v>0</v>
      </c>
      <c r="N35" s="123">
        <v>0</v>
      </c>
      <c r="O35" s="108">
        <v>0</v>
      </c>
      <c r="P35" s="108">
        <v>1</v>
      </c>
      <c r="Q35" s="108">
        <v>0</v>
      </c>
      <c r="R35" s="110">
        <v>0</v>
      </c>
      <c r="S35">
        <v>1</v>
      </c>
      <c r="T35">
        <v>2012</v>
      </c>
      <c r="U35">
        <v>11</v>
      </c>
      <c r="V35">
        <v>0</v>
      </c>
      <c r="W35" s="108">
        <f>VLOOKUP(A35,'pride covariates'!A$2:B$33,2,FALSE)</f>
        <v>1</v>
      </c>
      <c r="X35" s="108">
        <v>0</v>
      </c>
      <c r="Y35" s="108" t="str">
        <f t="shared" si="0"/>
        <v>/* ELI-555 */ 11110000 1 1 1 0 0 0 1;</v>
      </c>
      <c r="Z35" s="108" t="str">
        <f t="shared" si="1"/>
        <v>11110000</v>
      </c>
      <c r="AA35" s="108" t="str">
        <f t="shared" si="2"/>
        <v>/*ELI-555*/ 11110000 1;</v>
      </c>
    </row>
    <row r="36" spans="1:27" x14ac:dyDescent="0.35">
      <c r="A36" t="s">
        <v>412</v>
      </c>
      <c r="B36" t="s">
        <v>103</v>
      </c>
      <c r="C36" t="s">
        <v>102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 s="108">
        <v>0</v>
      </c>
      <c r="M36" s="108">
        <v>0</v>
      </c>
      <c r="N36" s="123">
        <v>0</v>
      </c>
      <c r="O36" s="108">
        <v>0</v>
      </c>
      <c r="P36" s="108">
        <v>1</v>
      </c>
      <c r="Q36" s="108">
        <v>1</v>
      </c>
      <c r="R36" s="110">
        <v>0</v>
      </c>
      <c r="S36">
        <v>1</v>
      </c>
      <c r="T36">
        <v>2012</v>
      </c>
      <c r="U36">
        <v>11</v>
      </c>
      <c r="V36">
        <v>0</v>
      </c>
      <c r="W36" s="108">
        <f>VLOOKUP(A36,'pride covariates'!A$2:B$33,2,FALSE)</f>
        <v>1</v>
      </c>
      <c r="X36" s="108">
        <v>1</v>
      </c>
      <c r="Y36" s="108" t="str">
        <f t="shared" si="0"/>
        <v>/* ELI-556 */ 11110000 1 1 1 0 1 0 1;</v>
      </c>
      <c r="Z36" s="108" t="str">
        <f t="shared" si="1"/>
        <v>11110000</v>
      </c>
      <c r="AA36" s="108" t="str">
        <f t="shared" si="2"/>
        <v>/*ELI-556*/ 11110000 1;</v>
      </c>
    </row>
    <row r="37" spans="1:27" s="108" customFormat="1" x14ac:dyDescent="0.35">
      <c r="A37" s="108" t="s">
        <v>373</v>
      </c>
      <c r="B37" s="108" t="s">
        <v>104</v>
      </c>
      <c r="C37" s="108" t="s">
        <v>105</v>
      </c>
      <c r="D37" s="108">
        <v>0</v>
      </c>
      <c r="E37" s="108">
        <v>0</v>
      </c>
      <c r="F37" s="108">
        <v>0</v>
      </c>
      <c r="G37" s="108">
        <v>0</v>
      </c>
      <c r="H37" s="108">
        <v>1</v>
      </c>
      <c r="I37" s="108">
        <v>1</v>
      </c>
      <c r="J37" s="108">
        <v>0</v>
      </c>
      <c r="K37" s="108">
        <v>0</v>
      </c>
      <c r="L37" s="108">
        <v>1</v>
      </c>
      <c r="M37" s="108">
        <v>1</v>
      </c>
      <c r="N37" s="124">
        <v>1</v>
      </c>
      <c r="O37" s="108">
        <v>0</v>
      </c>
      <c r="P37" s="108">
        <v>1</v>
      </c>
      <c r="Q37" s="108">
        <v>0</v>
      </c>
      <c r="R37" s="111">
        <v>0</v>
      </c>
      <c r="S37" s="108">
        <v>1</v>
      </c>
      <c r="T37" s="108">
        <v>2008</v>
      </c>
      <c r="U37" s="108">
        <v>8</v>
      </c>
      <c r="V37" s="108">
        <v>2</v>
      </c>
      <c r="W37" s="108">
        <f>VLOOKUP(A37,'pride covariates'!A$2:B$33,2,FALSE)</f>
        <v>1</v>
      </c>
      <c r="X37" s="108">
        <v>0</v>
      </c>
      <c r="Y37" s="108" t="str">
        <f t="shared" si="0"/>
        <v>/* ELI-173 */ 01100111 1 1 1 0 0 2 1;</v>
      </c>
      <c r="Z37" s="108" t="str">
        <f t="shared" si="1"/>
        <v>01100111</v>
      </c>
      <c r="AA37" s="108" t="str">
        <f t="shared" si="2"/>
        <v>/*ELI-173*/ 01100111 1;</v>
      </c>
    </row>
    <row r="38" spans="1:27" s="108" customFormat="1" x14ac:dyDescent="0.35">
      <c r="A38" s="108" t="s">
        <v>373</v>
      </c>
      <c r="B38" s="108" t="s">
        <v>106</v>
      </c>
      <c r="C38" s="108" t="s">
        <v>107</v>
      </c>
      <c r="D38" s="108">
        <v>0</v>
      </c>
      <c r="E38" s="108">
        <v>0</v>
      </c>
      <c r="F38" s="108">
        <v>0</v>
      </c>
      <c r="G38" s="108">
        <v>0</v>
      </c>
      <c r="H38" s="108">
        <v>1</v>
      </c>
      <c r="I38" s="108">
        <v>1</v>
      </c>
      <c r="J38" s="108">
        <v>1</v>
      </c>
      <c r="K38" s="108">
        <v>0</v>
      </c>
      <c r="L38" s="108">
        <v>1</v>
      </c>
      <c r="M38" s="108">
        <v>0</v>
      </c>
      <c r="N38" s="123">
        <v>1</v>
      </c>
      <c r="O38" s="108">
        <v>0</v>
      </c>
      <c r="P38" s="108">
        <v>1</v>
      </c>
      <c r="Q38" s="108">
        <v>0</v>
      </c>
      <c r="R38" s="111">
        <v>0</v>
      </c>
      <c r="S38" s="108">
        <v>1</v>
      </c>
      <c r="T38" s="108">
        <v>2008</v>
      </c>
      <c r="U38" s="108">
        <v>8</v>
      </c>
      <c r="V38" s="108">
        <v>6</v>
      </c>
      <c r="W38" s="108">
        <f>VLOOKUP(A38,'pride covariates'!A$2:B$33,2,FALSE)</f>
        <v>1</v>
      </c>
      <c r="X38" s="108">
        <v>0</v>
      </c>
      <c r="Y38" s="108" t="str">
        <f t="shared" si="0"/>
        <v>/* ELI-174 */ 01110101 1 1 1 0 0 6 1;</v>
      </c>
      <c r="Z38" s="108" t="str">
        <f t="shared" si="1"/>
        <v>01110101</v>
      </c>
      <c r="AA38" s="108" t="str">
        <f t="shared" si="2"/>
        <v>/*ELI-174*/ 01110101 1;</v>
      </c>
    </row>
    <row r="39" spans="1:27" s="108" customFormat="1" x14ac:dyDescent="0.35">
      <c r="A39" s="108" t="s">
        <v>373</v>
      </c>
      <c r="B39" s="108" t="s">
        <v>108</v>
      </c>
      <c r="C39" s="108" t="s">
        <v>109</v>
      </c>
      <c r="D39" s="108">
        <v>0</v>
      </c>
      <c r="E39" s="108">
        <v>0</v>
      </c>
      <c r="F39" s="108">
        <v>0</v>
      </c>
      <c r="G39" s="108">
        <v>0</v>
      </c>
      <c r="H39" s="108">
        <v>1</v>
      </c>
      <c r="I39" s="108">
        <v>1</v>
      </c>
      <c r="J39" s="108">
        <v>0</v>
      </c>
      <c r="K39" s="108">
        <v>0</v>
      </c>
      <c r="L39" s="108">
        <v>1</v>
      </c>
      <c r="M39" s="108">
        <v>1</v>
      </c>
      <c r="N39" s="123">
        <v>1</v>
      </c>
      <c r="O39" s="108">
        <v>0</v>
      </c>
      <c r="P39" s="108">
        <v>1</v>
      </c>
      <c r="Q39" s="108">
        <v>0</v>
      </c>
      <c r="R39" s="111">
        <v>0</v>
      </c>
      <c r="S39" s="108">
        <v>1</v>
      </c>
      <c r="T39" s="108">
        <v>2009</v>
      </c>
      <c r="U39" s="108">
        <v>8</v>
      </c>
      <c r="V39" s="108">
        <v>3</v>
      </c>
      <c r="W39" s="108">
        <f>VLOOKUP(A39,'pride covariates'!A$2:B$33,2,FALSE)</f>
        <v>1</v>
      </c>
      <c r="X39" s="108">
        <v>0</v>
      </c>
      <c r="Y39" s="108" t="str">
        <f t="shared" si="0"/>
        <v>/* ELI-247 */ 01100111 1 1 1 0 0 3 1;</v>
      </c>
      <c r="Z39" s="108" t="str">
        <f t="shared" si="1"/>
        <v>01100111</v>
      </c>
      <c r="AA39" s="108" t="str">
        <f t="shared" si="2"/>
        <v>/*ELI-247*/ 01100111 1;</v>
      </c>
    </row>
    <row r="40" spans="1:27" s="108" customFormat="1" x14ac:dyDescent="0.35">
      <c r="A40" s="108" t="s">
        <v>373</v>
      </c>
      <c r="B40" s="108" t="s">
        <v>110</v>
      </c>
      <c r="C40" s="108" t="s">
        <v>111</v>
      </c>
      <c r="D40" s="108">
        <v>0</v>
      </c>
      <c r="E40" s="108">
        <v>0</v>
      </c>
      <c r="F40" s="108">
        <v>0</v>
      </c>
      <c r="G40" s="108">
        <v>0</v>
      </c>
      <c r="H40" s="108">
        <v>1</v>
      </c>
      <c r="I40" s="108">
        <v>1</v>
      </c>
      <c r="J40" s="108">
        <v>1</v>
      </c>
      <c r="K40" s="108">
        <v>1</v>
      </c>
      <c r="L40" s="108">
        <v>1</v>
      </c>
      <c r="M40" s="108">
        <v>1</v>
      </c>
      <c r="N40" s="123">
        <v>1</v>
      </c>
      <c r="O40" s="125">
        <v>1</v>
      </c>
      <c r="P40" s="108">
        <v>1</v>
      </c>
      <c r="Q40" s="108">
        <v>0</v>
      </c>
      <c r="R40" s="111">
        <v>0</v>
      </c>
      <c r="S40" s="108">
        <v>1</v>
      </c>
      <c r="T40" s="108">
        <v>2009</v>
      </c>
      <c r="U40" s="108">
        <v>11</v>
      </c>
      <c r="V40" s="108">
        <v>3</v>
      </c>
      <c r="W40" s="108">
        <f>VLOOKUP(A40,'pride covariates'!A$2:B$33,2,FALSE)</f>
        <v>1</v>
      </c>
      <c r="X40" s="108">
        <v>0</v>
      </c>
      <c r="Y40" s="108" t="str">
        <f t="shared" si="0"/>
        <v>/* ELI-248 */ 01111111 1 1 1 0 0 3 1;</v>
      </c>
      <c r="Z40" s="108" t="str">
        <f t="shared" si="1"/>
        <v>01111111</v>
      </c>
      <c r="AA40" s="108" t="str">
        <f t="shared" si="2"/>
        <v>/*ELI-248*/ 01111111 1;</v>
      </c>
    </row>
    <row r="41" spans="1:27" s="108" customFormat="1" x14ac:dyDescent="0.35">
      <c r="A41" s="108" t="s">
        <v>373</v>
      </c>
      <c r="B41" s="108" t="s">
        <v>112</v>
      </c>
      <c r="C41" s="108" t="s">
        <v>113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1</v>
      </c>
      <c r="J41" s="108">
        <v>0</v>
      </c>
      <c r="K41" s="108">
        <v>0</v>
      </c>
      <c r="L41" s="108">
        <v>0</v>
      </c>
      <c r="M41" s="108">
        <v>0</v>
      </c>
      <c r="N41" s="123">
        <v>0</v>
      </c>
      <c r="O41" s="108">
        <v>0</v>
      </c>
      <c r="P41" s="108">
        <v>1</v>
      </c>
      <c r="Q41" s="108">
        <v>0</v>
      </c>
      <c r="R41" s="111">
        <v>0</v>
      </c>
      <c r="S41" s="108">
        <v>1</v>
      </c>
      <c r="T41" s="108">
        <v>2009</v>
      </c>
      <c r="U41" s="108">
        <v>8</v>
      </c>
      <c r="V41" s="108">
        <v>6</v>
      </c>
      <c r="W41" s="108">
        <f>VLOOKUP(A41,'pride covariates'!A$2:B$33,2,FALSE)</f>
        <v>1</v>
      </c>
      <c r="X41" s="108">
        <v>0</v>
      </c>
      <c r="Y41" s="108" t="str">
        <f t="shared" si="0"/>
        <v>/* ELI-249 */ 00100000 1 1 1 0 0 6 1;</v>
      </c>
      <c r="Z41" s="108" t="str">
        <f t="shared" si="1"/>
        <v>00100000</v>
      </c>
      <c r="AA41" s="108" t="str">
        <f t="shared" si="2"/>
        <v>/*ELI-249*/ 00100000 1;</v>
      </c>
    </row>
    <row r="42" spans="1:27" s="108" customFormat="1" x14ac:dyDescent="0.35">
      <c r="A42" s="108" t="s">
        <v>373</v>
      </c>
      <c r="B42" s="108" t="s">
        <v>114</v>
      </c>
      <c r="C42" s="108" t="s">
        <v>115</v>
      </c>
      <c r="D42" s="108">
        <v>0</v>
      </c>
      <c r="E42" s="108">
        <v>0</v>
      </c>
      <c r="F42" s="108">
        <v>0</v>
      </c>
      <c r="G42" s="108">
        <v>0</v>
      </c>
      <c r="H42" s="108">
        <v>1</v>
      </c>
      <c r="I42" s="108">
        <v>1</v>
      </c>
      <c r="J42" s="108">
        <v>0</v>
      </c>
      <c r="K42" s="108">
        <v>1</v>
      </c>
      <c r="L42" s="108">
        <v>1</v>
      </c>
      <c r="M42" s="108">
        <v>1</v>
      </c>
      <c r="N42" s="123">
        <v>1</v>
      </c>
      <c r="O42" s="108">
        <v>0</v>
      </c>
      <c r="P42" s="108">
        <v>1</v>
      </c>
      <c r="Q42" s="108">
        <v>0</v>
      </c>
      <c r="R42" s="111">
        <v>0</v>
      </c>
      <c r="S42" s="108">
        <v>1</v>
      </c>
      <c r="T42" s="108">
        <v>2009</v>
      </c>
      <c r="U42" s="108">
        <v>7</v>
      </c>
      <c r="V42" s="108">
        <v>6</v>
      </c>
      <c r="W42" s="108">
        <f>VLOOKUP(A42,'pride covariates'!A$2:B$33,2,FALSE)</f>
        <v>1</v>
      </c>
      <c r="X42" s="108">
        <v>0</v>
      </c>
      <c r="Y42" s="108" t="str">
        <f t="shared" si="0"/>
        <v>/* ELI-250 */ 01101111 1 1 1 0 0 6 1;</v>
      </c>
      <c r="Z42" s="108" t="str">
        <f t="shared" si="1"/>
        <v>01101111</v>
      </c>
      <c r="AA42" s="108" t="str">
        <f t="shared" si="2"/>
        <v>/*ELI-250*/ 01101111 1;</v>
      </c>
    </row>
    <row r="43" spans="1:27" s="108" customFormat="1" x14ac:dyDescent="0.35">
      <c r="A43" s="108" t="s">
        <v>373</v>
      </c>
      <c r="B43" s="108" t="s">
        <v>116</v>
      </c>
      <c r="C43" s="108" t="s">
        <v>117</v>
      </c>
      <c r="D43" s="108">
        <v>0</v>
      </c>
      <c r="E43" s="108">
        <v>0</v>
      </c>
      <c r="F43" s="108">
        <v>0</v>
      </c>
      <c r="G43" s="108">
        <v>0</v>
      </c>
      <c r="H43" s="108">
        <v>1</v>
      </c>
      <c r="I43" s="108">
        <v>0</v>
      </c>
      <c r="J43" s="108">
        <v>0</v>
      </c>
      <c r="K43" s="108">
        <v>1</v>
      </c>
      <c r="L43" s="108">
        <v>0</v>
      </c>
      <c r="M43" s="108">
        <v>1</v>
      </c>
      <c r="N43" s="123">
        <v>1</v>
      </c>
      <c r="O43" s="108">
        <v>0</v>
      </c>
      <c r="P43" s="108">
        <v>1</v>
      </c>
      <c r="Q43" s="108">
        <v>0</v>
      </c>
      <c r="R43" s="111">
        <v>0</v>
      </c>
      <c r="S43" s="108">
        <v>1</v>
      </c>
      <c r="T43" s="108">
        <v>2011</v>
      </c>
      <c r="U43" s="108">
        <v>10</v>
      </c>
      <c r="V43" s="108">
        <v>7</v>
      </c>
      <c r="W43" s="108">
        <f>VLOOKUP(A43,'pride covariates'!A$2:B$33,2,FALSE)</f>
        <v>1</v>
      </c>
      <c r="X43" s="108">
        <v>0</v>
      </c>
      <c r="Y43" s="108" t="str">
        <f t="shared" si="0"/>
        <v>/* ELI-462 */ 01001011 1 1 1 0 0 7 1;</v>
      </c>
      <c r="Z43" s="108" t="str">
        <f t="shared" si="1"/>
        <v>01001011</v>
      </c>
      <c r="AA43" s="108" t="str">
        <f t="shared" si="2"/>
        <v>/*ELI-462*/ 01001011 1;</v>
      </c>
    </row>
    <row r="44" spans="1:27" s="108" customFormat="1" x14ac:dyDescent="0.35">
      <c r="A44" s="108" t="s">
        <v>373</v>
      </c>
      <c r="B44" s="108" t="s">
        <v>118</v>
      </c>
      <c r="C44" s="108" t="s">
        <v>119</v>
      </c>
      <c r="D44" s="108">
        <v>0</v>
      </c>
      <c r="E44" s="108">
        <v>0</v>
      </c>
      <c r="F44" s="108">
        <v>0</v>
      </c>
      <c r="G44" s="108">
        <v>0</v>
      </c>
      <c r="H44" s="108">
        <v>0</v>
      </c>
      <c r="I44" s="108">
        <v>1</v>
      </c>
      <c r="J44" s="108">
        <v>1</v>
      </c>
      <c r="K44" s="108">
        <v>1</v>
      </c>
      <c r="L44" s="108">
        <v>1</v>
      </c>
      <c r="M44" s="108">
        <v>0</v>
      </c>
      <c r="N44" s="124">
        <v>1</v>
      </c>
      <c r="O44" s="108">
        <v>0</v>
      </c>
      <c r="P44" s="108">
        <v>1</v>
      </c>
      <c r="Q44" s="108">
        <v>0</v>
      </c>
      <c r="R44" s="111">
        <v>0</v>
      </c>
      <c r="S44" s="108">
        <v>1</v>
      </c>
      <c r="T44" s="108">
        <v>2010</v>
      </c>
      <c r="U44" s="108">
        <v>10</v>
      </c>
      <c r="V44" s="108">
        <v>0</v>
      </c>
      <c r="W44" s="108">
        <f>VLOOKUP(A44,'pride covariates'!A$2:B$33,2,FALSE)</f>
        <v>1</v>
      </c>
      <c r="X44" s="108">
        <v>0</v>
      </c>
      <c r="Y44" s="108" t="str">
        <f t="shared" si="0"/>
        <v>/* ELI-378 */ 00111101 1 1 1 0 0 0 1;</v>
      </c>
      <c r="Z44" s="108" t="str">
        <f t="shared" si="1"/>
        <v>00111101</v>
      </c>
      <c r="AA44" s="108" t="str">
        <f t="shared" si="2"/>
        <v>/*ELI-378*/ 00111101 1;</v>
      </c>
    </row>
    <row r="45" spans="1:27" s="108" customFormat="1" x14ac:dyDescent="0.35">
      <c r="A45" s="108" t="s">
        <v>373</v>
      </c>
      <c r="B45" s="108" t="s">
        <v>120</v>
      </c>
      <c r="C45" s="108" t="s">
        <v>121</v>
      </c>
      <c r="D45" s="108">
        <v>0</v>
      </c>
      <c r="E45" s="108">
        <v>0</v>
      </c>
      <c r="F45" s="108">
        <v>0</v>
      </c>
      <c r="G45" s="108">
        <v>0</v>
      </c>
      <c r="H45" s="108">
        <v>0</v>
      </c>
      <c r="I45" s="108">
        <v>1</v>
      </c>
      <c r="J45" s="108">
        <v>0</v>
      </c>
      <c r="K45" s="108">
        <v>1</v>
      </c>
      <c r="L45" s="108">
        <v>1</v>
      </c>
      <c r="M45" s="108">
        <v>1</v>
      </c>
      <c r="N45" s="123">
        <v>1</v>
      </c>
      <c r="O45" s="108">
        <v>0</v>
      </c>
      <c r="P45" s="108">
        <v>1</v>
      </c>
      <c r="Q45" s="108">
        <v>0</v>
      </c>
      <c r="R45" s="111">
        <v>0</v>
      </c>
      <c r="S45" s="108">
        <v>1</v>
      </c>
      <c r="T45" s="108">
        <v>2012</v>
      </c>
      <c r="U45" s="108">
        <v>9</v>
      </c>
      <c r="V45" s="108">
        <v>0</v>
      </c>
      <c r="W45" s="108">
        <f>VLOOKUP(A45,'pride covariates'!A$2:B$33,2,FALSE)</f>
        <v>1</v>
      </c>
      <c r="X45" s="108">
        <v>0</v>
      </c>
      <c r="Y45" s="108" t="str">
        <f t="shared" si="0"/>
        <v>/* ELI-463 */ 00101111 1 1 1 0 0 0 1;</v>
      </c>
      <c r="Z45" s="108" t="str">
        <f t="shared" si="1"/>
        <v>00101111</v>
      </c>
      <c r="AA45" s="108" t="str">
        <f t="shared" si="2"/>
        <v>/*ELI-463*/ 00101111 1;</v>
      </c>
    </row>
    <row r="46" spans="1:27" s="108" customFormat="1" x14ac:dyDescent="0.35">
      <c r="A46" s="108" t="s">
        <v>373</v>
      </c>
      <c r="B46" s="108" t="s">
        <v>122</v>
      </c>
      <c r="C46" s="108" t="s">
        <v>123</v>
      </c>
      <c r="D46" s="108">
        <v>0</v>
      </c>
      <c r="E46" s="108">
        <v>0</v>
      </c>
      <c r="F46" s="108">
        <v>0</v>
      </c>
      <c r="G46" s="108">
        <v>0</v>
      </c>
      <c r="H46" s="108">
        <v>1</v>
      </c>
      <c r="I46" s="108">
        <v>0</v>
      </c>
      <c r="J46" s="108">
        <v>0</v>
      </c>
      <c r="K46" s="108">
        <v>0</v>
      </c>
      <c r="L46" s="108">
        <v>0</v>
      </c>
      <c r="M46" s="108">
        <v>0</v>
      </c>
      <c r="N46" s="123">
        <v>0</v>
      </c>
      <c r="O46" s="108">
        <v>0</v>
      </c>
      <c r="P46" s="108">
        <v>1</v>
      </c>
      <c r="Q46" s="108">
        <v>0</v>
      </c>
      <c r="R46" s="111">
        <v>0</v>
      </c>
      <c r="S46" s="108">
        <v>1</v>
      </c>
      <c r="T46" s="108">
        <v>2012</v>
      </c>
      <c r="U46" s="108">
        <v>10</v>
      </c>
      <c r="V46" s="108">
        <v>0</v>
      </c>
      <c r="W46" s="108">
        <f>VLOOKUP(A46,'pride covariates'!A$2:B$33,2,FALSE)</f>
        <v>1</v>
      </c>
      <c r="X46" s="108">
        <v>0</v>
      </c>
      <c r="Y46" s="108" t="str">
        <f t="shared" si="0"/>
        <v>/* ELI-515 */ 01000000 1 1 1 0 0 0 1;</v>
      </c>
      <c r="Z46" s="108" t="str">
        <f t="shared" si="1"/>
        <v>01000000</v>
      </c>
      <c r="AA46" s="108" t="str">
        <f t="shared" si="2"/>
        <v>/*ELI-515*/ 01000000 1;</v>
      </c>
    </row>
    <row r="47" spans="1:27" s="108" customFormat="1" x14ac:dyDescent="0.35">
      <c r="A47" s="108" t="s">
        <v>373</v>
      </c>
      <c r="B47" s="108" t="s">
        <v>124</v>
      </c>
      <c r="C47" s="108" t="s">
        <v>125</v>
      </c>
      <c r="D47" s="108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v>1</v>
      </c>
      <c r="J47" s="108">
        <v>0</v>
      </c>
      <c r="K47" s="108">
        <v>0</v>
      </c>
      <c r="L47" s="108">
        <v>1</v>
      </c>
      <c r="M47" s="108">
        <v>1</v>
      </c>
      <c r="N47" s="123">
        <v>1</v>
      </c>
      <c r="O47" s="108">
        <v>0</v>
      </c>
      <c r="P47" s="108">
        <v>1</v>
      </c>
      <c r="Q47" s="108">
        <v>1</v>
      </c>
      <c r="R47" s="111">
        <v>0</v>
      </c>
      <c r="S47" s="108">
        <v>1</v>
      </c>
      <c r="T47" s="108">
        <v>2010</v>
      </c>
      <c r="U47" s="108">
        <v>7</v>
      </c>
      <c r="V47" s="108">
        <v>0</v>
      </c>
      <c r="W47" s="108">
        <f>VLOOKUP(A47,'pride covariates'!A$2:B$33,2,FALSE)</f>
        <v>1</v>
      </c>
      <c r="X47" s="108">
        <v>1</v>
      </c>
      <c r="Y47" s="108" t="str">
        <f t="shared" si="0"/>
        <v>/* ELI-373 */ 00100111 1 1 1 0 1 0 1;</v>
      </c>
      <c r="Z47" s="108" t="str">
        <f t="shared" si="1"/>
        <v>00100111</v>
      </c>
      <c r="AA47" s="108" t="str">
        <f t="shared" si="2"/>
        <v>/*ELI-373*/ 00100111 1;</v>
      </c>
    </row>
    <row r="48" spans="1:27" s="108" customFormat="1" x14ac:dyDescent="0.35">
      <c r="A48" s="108" t="s">
        <v>373</v>
      </c>
      <c r="B48" s="108" t="s">
        <v>126</v>
      </c>
      <c r="C48" s="108" t="s">
        <v>127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1</v>
      </c>
      <c r="J48" s="108">
        <v>0</v>
      </c>
      <c r="K48" s="108">
        <v>0</v>
      </c>
      <c r="L48" s="108">
        <v>1</v>
      </c>
      <c r="M48" s="108">
        <v>1</v>
      </c>
      <c r="N48" s="124">
        <v>1</v>
      </c>
      <c r="O48" s="108">
        <v>0</v>
      </c>
      <c r="P48" s="108">
        <v>1</v>
      </c>
      <c r="Q48" s="108">
        <v>1</v>
      </c>
      <c r="R48" s="111">
        <v>0</v>
      </c>
      <c r="S48" s="108">
        <v>1</v>
      </c>
      <c r="T48" s="108">
        <v>2010</v>
      </c>
      <c r="U48" s="108">
        <v>10</v>
      </c>
      <c r="V48" s="108">
        <v>0</v>
      </c>
      <c r="W48" s="108">
        <f>VLOOKUP(A48,'pride covariates'!A$2:B$33,2,FALSE)</f>
        <v>1</v>
      </c>
      <c r="X48" s="108">
        <v>1</v>
      </c>
      <c r="Y48" s="108" t="str">
        <f t="shared" si="0"/>
        <v>/* ELI-375 */ 00100111 1 1 1 0 1 0 1;</v>
      </c>
      <c r="Z48" s="108" t="str">
        <f t="shared" si="1"/>
        <v>00100111</v>
      </c>
      <c r="AA48" s="108" t="str">
        <f t="shared" si="2"/>
        <v>/*ELI-375*/ 00100111 1;</v>
      </c>
    </row>
    <row r="49" spans="1:27" s="108" customFormat="1" x14ac:dyDescent="0.35">
      <c r="A49" s="108" t="s">
        <v>373</v>
      </c>
      <c r="B49" s="108" t="s">
        <v>128</v>
      </c>
      <c r="C49" s="108" t="s">
        <v>129</v>
      </c>
      <c r="D49" s="108">
        <v>0</v>
      </c>
      <c r="E49" s="108">
        <v>0</v>
      </c>
      <c r="F49" s="108">
        <v>0</v>
      </c>
      <c r="G49" s="108">
        <v>0</v>
      </c>
      <c r="H49" s="108">
        <v>1</v>
      </c>
      <c r="I49" s="108">
        <v>1</v>
      </c>
      <c r="J49" s="108">
        <v>0</v>
      </c>
      <c r="K49" s="108">
        <v>0</v>
      </c>
      <c r="L49" s="108">
        <v>1</v>
      </c>
      <c r="M49" s="108">
        <v>1</v>
      </c>
      <c r="N49" s="123">
        <v>1</v>
      </c>
      <c r="O49" s="108">
        <v>0</v>
      </c>
      <c r="P49" s="108">
        <v>1</v>
      </c>
      <c r="Q49" s="108">
        <v>1</v>
      </c>
      <c r="R49" s="111">
        <v>0</v>
      </c>
      <c r="S49" s="108">
        <v>1</v>
      </c>
      <c r="T49" s="108">
        <v>2010</v>
      </c>
      <c r="U49" s="108">
        <v>10</v>
      </c>
      <c r="V49" s="108">
        <v>0</v>
      </c>
      <c r="W49" s="108">
        <f>VLOOKUP(A49,'pride covariates'!A$2:B$33,2,FALSE)</f>
        <v>1</v>
      </c>
      <c r="X49" s="108">
        <v>1</v>
      </c>
      <c r="Y49" s="108" t="str">
        <f t="shared" si="0"/>
        <v>/* ELI-377 */ 01100111 1 1 1 0 1 0 1;</v>
      </c>
      <c r="Z49" s="108" t="str">
        <f t="shared" si="1"/>
        <v>01100111</v>
      </c>
      <c r="AA49" s="108" t="str">
        <f t="shared" si="2"/>
        <v>/*ELI-377*/ 01100111 1;</v>
      </c>
    </row>
    <row r="50" spans="1:27" s="108" customFormat="1" x14ac:dyDescent="0.35">
      <c r="A50" s="108" t="s">
        <v>373</v>
      </c>
      <c r="B50" s="108" t="s">
        <v>130</v>
      </c>
      <c r="C50" s="108" t="s">
        <v>131</v>
      </c>
      <c r="D50" s="108">
        <v>0</v>
      </c>
      <c r="E50" s="108">
        <v>0</v>
      </c>
      <c r="F50" s="108">
        <v>0</v>
      </c>
      <c r="G50" s="108">
        <v>0</v>
      </c>
      <c r="H50" s="108">
        <v>0</v>
      </c>
      <c r="I50" s="108">
        <v>1</v>
      </c>
      <c r="J50" s="108">
        <v>1</v>
      </c>
      <c r="K50" s="108">
        <v>0</v>
      </c>
      <c r="L50" s="108">
        <v>1</v>
      </c>
      <c r="M50" s="108">
        <v>1</v>
      </c>
      <c r="N50" s="123">
        <v>1</v>
      </c>
      <c r="O50" s="108">
        <v>0</v>
      </c>
      <c r="P50" s="108">
        <v>1</v>
      </c>
      <c r="Q50" s="108">
        <v>1</v>
      </c>
      <c r="R50" s="111">
        <v>0</v>
      </c>
      <c r="S50" s="108">
        <v>1</v>
      </c>
      <c r="T50" s="108">
        <v>2010</v>
      </c>
      <c r="U50" s="108">
        <v>10</v>
      </c>
      <c r="V50" s="108">
        <v>0</v>
      </c>
      <c r="W50" s="108">
        <f>VLOOKUP(A50,'pride covariates'!A$2:B$33,2,FALSE)</f>
        <v>1</v>
      </c>
      <c r="X50" s="108">
        <v>1</v>
      </c>
      <c r="Y50" s="108" t="str">
        <f t="shared" si="0"/>
        <v>/* ELI-376 */ 00110111 1 1 1 0 1 0 1;</v>
      </c>
      <c r="Z50" s="108" t="str">
        <f t="shared" si="1"/>
        <v>00110111</v>
      </c>
      <c r="AA50" s="108" t="str">
        <f t="shared" si="2"/>
        <v>/*ELI-376*/ 00110111 1;</v>
      </c>
    </row>
    <row r="51" spans="1:27" s="108" customFormat="1" x14ac:dyDescent="0.35">
      <c r="A51" s="108" t="s">
        <v>373</v>
      </c>
      <c r="B51" s="108" t="s">
        <v>132</v>
      </c>
      <c r="C51" s="108" t="s">
        <v>133</v>
      </c>
      <c r="D51" s="108">
        <v>0</v>
      </c>
      <c r="E51" s="108">
        <v>0</v>
      </c>
      <c r="F51" s="108">
        <v>0</v>
      </c>
      <c r="G51" s="108">
        <v>0</v>
      </c>
      <c r="H51" s="108">
        <v>1</v>
      </c>
      <c r="I51" s="108">
        <v>1</v>
      </c>
      <c r="J51" s="108">
        <v>1</v>
      </c>
      <c r="K51" s="108">
        <v>1</v>
      </c>
      <c r="L51" s="108">
        <v>0</v>
      </c>
      <c r="M51" s="108">
        <v>1</v>
      </c>
      <c r="N51" s="123">
        <v>1</v>
      </c>
      <c r="O51" s="108">
        <v>0</v>
      </c>
      <c r="P51" s="108">
        <v>1</v>
      </c>
      <c r="Q51" s="108">
        <v>1</v>
      </c>
      <c r="R51" s="111">
        <v>0</v>
      </c>
      <c r="S51" s="108">
        <v>1</v>
      </c>
      <c r="T51" s="108">
        <v>2012</v>
      </c>
      <c r="U51" s="108">
        <v>9</v>
      </c>
      <c r="V51" s="108">
        <v>0</v>
      </c>
      <c r="W51" s="108">
        <f>VLOOKUP(A51,'pride covariates'!A$2:B$33,2,FALSE)</f>
        <v>1</v>
      </c>
      <c r="X51" s="108">
        <v>1</v>
      </c>
      <c r="Y51" s="108" t="str">
        <f t="shared" si="0"/>
        <v>/* ELI-464 */ 01111011 1 1 1 0 1 0 1;</v>
      </c>
      <c r="Z51" s="108" t="str">
        <f t="shared" si="1"/>
        <v>01111011</v>
      </c>
      <c r="AA51" s="108" t="str">
        <f t="shared" si="2"/>
        <v>/*ELI-464*/ 01111011 1;</v>
      </c>
    </row>
    <row r="52" spans="1:27" s="108" customFormat="1" x14ac:dyDescent="0.35">
      <c r="A52" s="108" t="s">
        <v>373</v>
      </c>
      <c r="B52" s="108" t="s">
        <v>373</v>
      </c>
      <c r="C52" s="108" t="s">
        <v>379</v>
      </c>
      <c r="D52" s="108">
        <v>0</v>
      </c>
      <c r="E52" s="108">
        <v>0</v>
      </c>
      <c r="F52" s="108">
        <v>0</v>
      </c>
      <c r="G52" s="108">
        <v>0</v>
      </c>
      <c r="H52" s="108">
        <v>1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23">
        <v>0</v>
      </c>
      <c r="O52" s="108">
        <v>0</v>
      </c>
      <c r="P52" s="108">
        <v>1</v>
      </c>
      <c r="Q52" s="108">
        <v>0</v>
      </c>
      <c r="R52" s="111">
        <v>1</v>
      </c>
      <c r="S52" s="108">
        <v>1</v>
      </c>
      <c r="T52" s="108">
        <v>2009</v>
      </c>
      <c r="U52" s="108">
        <v>10</v>
      </c>
      <c r="V52" s="108">
        <v>0</v>
      </c>
      <c r="W52" s="108">
        <f>VLOOKUP(A52,'pride covariates'!A$2:B$33,2,FALSE)</f>
        <v>1</v>
      </c>
      <c r="X52" s="108">
        <v>0</v>
      </c>
      <c r="Y52" s="108" t="str">
        <f t="shared" si="0"/>
        <v>/* ELI-252 */ 01000000 1 1 1 1 0 0 1;</v>
      </c>
      <c r="Z52" s="108" t="str">
        <f t="shared" si="1"/>
        <v>01000000</v>
      </c>
      <c r="AA52" s="108" t="str">
        <f t="shared" si="2"/>
        <v>/*ELI-252*/ 01000000 1;</v>
      </c>
    </row>
    <row r="53" spans="1:27" s="108" customFormat="1" x14ac:dyDescent="0.35">
      <c r="A53" s="108" t="s">
        <v>373</v>
      </c>
      <c r="B53" s="108" t="s">
        <v>134</v>
      </c>
      <c r="C53" s="108" t="s">
        <v>135</v>
      </c>
      <c r="D53" s="108">
        <v>0</v>
      </c>
      <c r="E53" s="108">
        <v>0</v>
      </c>
      <c r="F53" s="108">
        <v>0</v>
      </c>
      <c r="G53" s="108">
        <v>0</v>
      </c>
      <c r="H53" s="108">
        <v>1</v>
      </c>
      <c r="I53" s="108">
        <v>1</v>
      </c>
      <c r="J53" s="108">
        <v>1</v>
      </c>
      <c r="K53" s="108">
        <v>1</v>
      </c>
      <c r="L53" s="108">
        <v>0</v>
      </c>
      <c r="M53" s="108">
        <v>1</v>
      </c>
      <c r="N53" s="123">
        <v>1</v>
      </c>
      <c r="O53" s="108">
        <v>0</v>
      </c>
      <c r="P53" s="108">
        <v>1</v>
      </c>
      <c r="Q53" s="108">
        <v>1</v>
      </c>
      <c r="R53" s="111">
        <v>0</v>
      </c>
      <c r="S53" s="108">
        <v>1</v>
      </c>
      <c r="T53" s="108">
        <v>2012</v>
      </c>
      <c r="U53" s="108">
        <v>11</v>
      </c>
      <c r="V53" s="108">
        <v>0</v>
      </c>
      <c r="W53" s="108">
        <f>VLOOKUP(A53,'pride covariates'!A$2:B$33,2,FALSE)</f>
        <v>1</v>
      </c>
      <c r="X53" s="108">
        <v>1</v>
      </c>
      <c r="Y53" s="108" t="str">
        <f t="shared" si="0"/>
        <v>/* ELI-553 */ 01111011 1 1 1 0 1 0 1;</v>
      </c>
      <c r="Z53" s="108" t="str">
        <f t="shared" si="1"/>
        <v>01111011</v>
      </c>
      <c r="AA53" s="108" t="str">
        <f t="shared" si="2"/>
        <v>/*ELI-553*/ 01111011 1;</v>
      </c>
    </row>
    <row r="54" spans="1:27" s="108" customFormat="1" x14ac:dyDescent="0.35">
      <c r="A54" s="108" t="s">
        <v>373</v>
      </c>
      <c r="B54" s="108" t="s">
        <v>333</v>
      </c>
      <c r="C54" s="108" t="s">
        <v>334</v>
      </c>
      <c r="D54" s="108">
        <v>0</v>
      </c>
      <c r="E54" s="108">
        <v>0</v>
      </c>
      <c r="F54" s="108">
        <v>0</v>
      </c>
      <c r="G54" s="108">
        <v>0</v>
      </c>
      <c r="H54" s="108">
        <v>1</v>
      </c>
      <c r="I54" s="108">
        <v>0</v>
      </c>
      <c r="J54" s="108">
        <v>0</v>
      </c>
      <c r="K54" s="108">
        <v>0</v>
      </c>
      <c r="L54" s="108">
        <v>0</v>
      </c>
      <c r="M54" s="108">
        <v>0</v>
      </c>
      <c r="N54" s="123">
        <v>0</v>
      </c>
      <c r="O54" s="108">
        <v>0</v>
      </c>
      <c r="P54" s="108">
        <v>1</v>
      </c>
      <c r="Q54" s="108">
        <v>0</v>
      </c>
      <c r="R54" s="111">
        <v>1</v>
      </c>
      <c r="S54" s="108">
        <v>1</v>
      </c>
      <c r="T54" s="108">
        <v>2009</v>
      </c>
      <c r="U54" s="108">
        <v>10</v>
      </c>
      <c r="V54" s="108">
        <v>0</v>
      </c>
      <c r="W54" s="108">
        <f>VLOOKUP(A54,'pride covariates'!A$2:B$33,2,FALSE)</f>
        <v>1</v>
      </c>
      <c r="X54" s="108">
        <v>0</v>
      </c>
      <c r="Y54" s="108" t="str">
        <f t="shared" si="0"/>
        <v>/* ELI-254 */ 01000000 1 1 1 1 0 0 1;</v>
      </c>
      <c r="Z54" s="108" t="str">
        <f t="shared" si="1"/>
        <v>01000000</v>
      </c>
      <c r="AA54" s="108" t="str">
        <f t="shared" si="2"/>
        <v>/*ELI-254*/ 01000000 1;</v>
      </c>
    </row>
    <row r="55" spans="1:27" s="108" customFormat="1" x14ac:dyDescent="0.35">
      <c r="A55" s="108" t="s">
        <v>373</v>
      </c>
      <c r="B55" s="108" t="s">
        <v>373</v>
      </c>
      <c r="C55" s="108" t="s">
        <v>374</v>
      </c>
      <c r="D55" s="108">
        <v>0</v>
      </c>
      <c r="E55" s="108">
        <v>0</v>
      </c>
      <c r="F55" s="108">
        <v>0</v>
      </c>
      <c r="G55" s="108">
        <v>0</v>
      </c>
      <c r="H55" s="108">
        <v>1</v>
      </c>
      <c r="I55" s="108">
        <v>1</v>
      </c>
      <c r="J55" s="108">
        <v>1</v>
      </c>
      <c r="K55" s="108">
        <v>1</v>
      </c>
      <c r="L55" s="108">
        <v>0</v>
      </c>
      <c r="M55" s="108">
        <v>0</v>
      </c>
      <c r="N55" s="123">
        <v>0</v>
      </c>
      <c r="O55" s="108">
        <v>0</v>
      </c>
      <c r="P55" s="108">
        <v>1</v>
      </c>
      <c r="Q55" s="108">
        <v>1</v>
      </c>
      <c r="R55" s="108">
        <v>1</v>
      </c>
      <c r="S55" s="108">
        <v>1</v>
      </c>
      <c r="T55" s="108">
        <v>2013</v>
      </c>
      <c r="U55" s="108">
        <v>5</v>
      </c>
      <c r="V55" s="108">
        <v>0</v>
      </c>
      <c r="W55" s="108">
        <f>VLOOKUP(A55,'pride covariates'!A$2:B$33,2,FALSE)</f>
        <v>1</v>
      </c>
      <c r="X55" s="108">
        <v>1</v>
      </c>
      <c r="Y55" s="108" t="str">
        <f t="shared" si="0"/>
        <v>/* ELI-588 */ 01111000 1 1 1 1 1 0 1;</v>
      </c>
      <c r="Z55" s="108" t="str">
        <f t="shared" si="1"/>
        <v>01111000</v>
      </c>
      <c r="AA55" s="108" t="str">
        <f t="shared" si="2"/>
        <v>/*ELI-588*/ 01111000 1;</v>
      </c>
    </row>
    <row r="56" spans="1:27" s="108" customFormat="1" x14ac:dyDescent="0.35">
      <c r="A56" s="108" t="s">
        <v>373</v>
      </c>
      <c r="B56" s="108" t="s">
        <v>373</v>
      </c>
      <c r="C56" s="108" t="s">
        <v>375</v>
      </c>
      <c r="D56" s="108">
        <v>0</v>
      </c>
      <c r="E56" s="108">
        <v>0</v>
      </c>
      <c r="F56" s="108">
        <v>0</v>
      </c>
      <c r="G56" s="108">
        <v>0</v>
      </c>
      <c r="H56" s="108">
        <v>1</v>
      </c>
      <c r="I56" s="108">
        <v>1</v>
      </c>
      <c r="J56" s="108">
        <v>1</v>
      </c>
      <c r="K56" s="108">
        <v>1</v>
      </c>
      <c r="L56" s="108">
        <v>1</v>
      </c>
      <c r="M56" s="108">
        <v>1</v>
      </c>
      <c r="N56" s="123">
        <v>1</v>
      </c>
      <c r="O56" s="108">
        <v>0</v>
      </c>
      <c r="P56" s="108">
        <v>1</v>
      </c>
      <c r="Q56" s="108">
        <v>0</v>
      </c>
      <c r="R56" s="108">
        <v>0</v>
      </c>
      <c r="S56" s="108">
        <v>1</v>
      </c>
      <c r="T56" s="108">
        <v>2013</v>
      </c>
      <c r="U56" s="108">
        <v>5</v>
      </c>
      <c r="V56" s="108">
        <v>0</v>
      </c>
      <c r="W56" s="108">
        <f>VLOOKUP(A56,'pride covariates'!A$2:B$33,2,FALSE)</f>
        <v>1</v>
      </c>
      <c r="X56" s="108">
        <v>0</v>
      </c>
      <c r="Y56" s="108" t="str">
        <f t="shared" si="0"/>
        <v>/* ELI-589 */ 01111111 1 1 1 0 0 0 1;</v>
      </c>
      <c r="Z56" s="108" t="str">
        <f t="shared" si="1"/>
        <v>01111111</v>
      </c>
      <c r="AA56" s="108" t="str">
        <f t="shared" si="2"/>
        <v>/*ELI-589*/ 01111111 1;</v>
      </c>
    </row>
    <row r="57" spans="1:27" s="108" customFormat="1" x14ac:dyDescent="0.35">
      <c r="A57" s="108" t="s">
        <v>373</v>
      </c>
      <c r="B57" s="108" t="s">
        <v>373</v>
      </c>
      <c r="C57" s="108" t="s">
        <v>376</v>
      </c>
      <c r="D57" s="108">
        <v>0</v>
      </c>
      <c r="E57" s="108">
        <v>0</v>
      </c>
      <c r="F57" s="108">
        <v>0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1</v>
      </c>
      <c r="N57" s="123">
        <v>1</v>
      </c>
      <c r="O57" s="108">
        <v>0</v>
      </c>
      <c r="P57" s="108">
        <v>0</v>
      </c>
      <c r="Q57" s="108" t="s">
        <v>478</v>
      </c>
      <c r="R57" s="108">
        <v>1</v>
      </c>
      <c r="S57" s="108">
        <v>1</v>
      </c>
      <c r="T57" s="108">
        <v>2013</v>
      </c>
      <c r="U57" s="108">
        <v>10</v>
      </c>
      <c r="V57" s="108">
        <v>0</v>
      </c>
      <c r="W57" s="108">
        <f>VLOOKUP(A57,'pride covariates'!A$2:B$33,2,FALSE)</f>
        <v>1</v>
      </c>
      <c r="X57" s="108">
        <v>1</v>
      </c>
      <c r="Y57" s="108" t="str">
        <f t="shared" si="0"/>
        <v>/* ELI-600 */ 00000011 1 0 1 1 1 0 1;</v>
      </c>
      <c r="Z57" s="108" t="str">
        <f t="shared" si="1"/>
        <v>00000011</v>
      </c>
      <c r="AA57" s="108" t="str">
        <f t="shared" si="2"/>
        <v>/*ELI-600*/ 00000011 1;</v>
      </c>
    </row>
    <row r="58" spans="1:27" s="108" customFormat="1" x14ac:dyDescent="0.35">
      <c r="A58" s="108" t="s">
        <v>373</v>
      </c>
      <c r="B58" s="108" t="s">
        <v>373</v>
      </c>
      <c r="C58" s="108" t="s">
        <v>377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0</v>
      </c>
      <c r="K58" s="108">
        <v>0</v>
      </c>
      <c r="L58" s="108">
        <v>0</v>
      </c>
      <c r="M58" s="108">
        <v>1</v>
      </c>
      <c r="N58" s="123">
        <v>1</v>
      </c>
      <c r="O58" s="108">
        <v>0</v>
      </c>
      <c r="P58" s="108">
        <v>0</v>
      </c>
      <c r="Q58" s="108" t="s">
        <v>478</v>
      </c>
      <c r="R58" s="108">
        <v>1</v>
      </c>
      <c r="S58" s="108">
        <v>1</v>
      </c>
      <c r="T58" s="108">
        <v>2013</v>
      </c>
      <c r="U58" s="108">
        <v>10</v>
      </c>
      <c r="V58" s="108">
        <v>0</v>
      </c>
      <c r="W58" s="108">
        <f>VLOOKUP(A58,'pride covariates'!A$2:B$33,2,FALSE)</f>
        <v>1</v>
      </c>
      <c r="X58" s="108">
        <v>0</v>
      </c>
      <c r="Y58" s="108" t="str">
        <f t="shared" si="0"/>
        <v>/* ELI-601 */ 00000011 1 0 1 1 0 0 1;</v>
      </c>
      <c r="Z58" s="108" t="str">
        <f t="shared" si="1"/>
        <v>00000011</v>
      </c>
      <c r="AA58" s="108" t="str">
        <f t="shared" si="2"/>
        <v>/*ELI-601*/ 00000011 1;</v>
      </c>
    </row>
    <row r="59" spans="1:27" x14ac:dyDescent="0.35">
      <c r="A59" t="s">
        <v>414</v>
      </c>
      <c r="B59" t="s">
        <v>136</v>
      </c>
      <c r="C59" t="s">
        <v>137</v>
      </c>
      <c r="D59" s="125">
        <v>1</v>
      </c>
      <c r="E59" s="125">
        <v>1</v>
      </c>
      <c r="F59" s="125">
        <v>1</v>
      </c>
      <c r="G59" s="125">
        <v>1</v>
      </c>
      <c r="H59">
        <v>0</v>
      </c>
      <c r="I59">
        <v>0</v>
      </c>
      <c r="J59">
        <v>1</v>
      </c>
      <c r="K59">
        <v>0</v>
      </c>
      <c r="L59" s="108">
        <v>1</v>
      </c>
      <c r="M59" s="108">
        <v>0</v>
      </c>
      <c r="N59" s="123">
        <v>1</v>
      </c>
      <c r="O59" s="125">
        <v>1</v>
      </c>
      <c r="P59" s="108">
        <v>1</v>
      </c>
      <c r="Q59" s="108">
        <v>0</v>
      </c>
      <c r="R59" s="110">
        <v>0</v>
      </c>
      <c r="S59">
        <v>1</v>
      </c>
      <c r="T59">
        <v>2009</v>
      </c>
      <c r="U59">
        <v>8</v>
      </c>
      <c r="V59">
        <v>2</v>
      </c>
      <c r="W59" s="108">
        <f>VLOOKUP(A59,'pride covariates'!A$2:B$33,2,FALSE)</f>
        <v>1</v>
      </c>
      <c r="X59" s="108">
        <v>0</v>
      </c>
      <c r="Y59" s="108" t="str">
        <f t="shared" si="0"/>
        <v>/* ELI-258 */ 10010101 1 1 1 0 0 2 1;</v>
      </c>
      <c r="Z59" s="108" t="str">
        <f t="shared" si="1"/>
        <v>10010101</v>
      </c>
      <c r="AA59" s="108" t="str">
        <f t="shared" si="2"/>
        <v>/*ELI-258*/ 10010101 1;</v>
      </c>
    </row>
    <row r="60" spans="1:27" s="108" customFormat="1" x14ac:dyDescent="0.35">
      <c r="A60" s="108" t="s">
        <v>414</v>
      </c>
      <c r="B60" s="108" t="s">
        <v>401</v>
      </c>
      <c r="C60" s="108" t="s">
        <v>398</v>
      </c>
      <c r="D60" s="108">
        <v>0</v>
      </c>
      <c r="E60" s="108">
        <v>0</v>
      </c>
      <c r="F60" s="108">
        <v>0</v>
      </c>
      <c r="G60" s="108">
        <v>0</v>
      </c>
      <c r="H60" s="108">
        <v>0</v>
      </c>
      <c r="I60" s="108">
        <v>0</v>
      </c>
      <c r="J60" s="108">
        <v>1</v>
      </c>
      <c r="K60" s="108">
        <v>0</v>
      </c>
      <c r="L60" s="108">
        <v>1</v>
      </c>
      <c r="M60" s="108">
        <v>0</v>
      </c>
      <c r="N60" s="123">
        <v>1</v>
      </c>
      <c r="O60" s="108">
        <v>0</v>
      </c>
      <c r="P60" s="108">
        <v>1</v>
      </c>
      <c r="Q60" s="108">
        <v>0</v>
      </c>
      <c r="R60" s="108">
        <v>1</v>
      </c>
      <c r="S60" s="108">
        <v>1</v>
      </c>
      <c r="T60" s="108">
        <v>2013</v>
      </c>
      <c r="U60" s="108">
        <v>7</v>
      </c>
      <c r="V60" s="108">
        <v>0</v>
      </c>
      <c r="W60" s="108">
        <f>VLOOKUP(A60,'pride covariates'!A$2:B$33,2,FALSE)</f>
        <v>1</v>
      </c>
      <c r="X60" s="108">
        <v>0</v>
      </c>
      <c r="Y60" s="108" t="str">
        <f t="shared" si="0"/>
        <v>/* ELI-608 */ 00010101 1 1 1 1 0 0 1;</v>
      </c>
      <c r="Z60" s="108" t="str">
        <f t="shared" si="1"/>
        <v>00010101</v>
      </c>
      <c r="AA60" s="108" t="str">
        <f t="shared" si="2"/>
        <v>/*ELI-608*/ 00010101 1;</v>
      </c>
    </row>
    <row r="61" spans="1:27" s="108" customFormat="1" x14ac:dyDescent="0.35">
      <c r="A61" s="108" t="s">
        <v>414</v>
      </c>
      <c r="B61" s="108" t="s">
        <v>402</v>
      </c>
      <c r="C61" s="108" t="s">
        <v>399</v>
      </c>
      <c r="D61" s="108">
        <v>0</v>
      </c>
      <c r="E61" s="108">
        <v>0</v>
      </c>
      <c r="F61" s="108">
        <v>0</v>
      </c>
      <c r="G61" s="108">
        <v>0</v>
      </c>
      <c r="H61" s="108">
        <v>0</v>
      </c>
      <c r="I61" s="108">
        <v>0</v>
      </c>
      <c r="J61" s="108">
        <v>1</v>
      </c>
      <c r="K61" s="108">
        <v>0</v>
      </c>
      <c r="L61" s="108">
        <v>1</v>
      </c>
      <c r="M61" s="108">
        <v>0</v>
      </c>
      <c r="N61" s="123">
        <v>1</v>
      </c>
      <c r="O61" s="108">
        <v>0</v>
      </c>
      <c r="P61" s="108">
        <v>1</v>
      </c>
      <c r="Q61" s="108">
        <v>1</v>
      </c>
      <c r="R61" s="108">
        <v>0</v>
      </c>
      <c r="S61" s="108">
        <v>1</v>
      </c>
      <c r="T61" s="108">
        <v>2013</v>
      </c>
      <c r="U61" s="108">
        <v>7</v>
      </c>
      <c r="V61" s="108">
        <v>0</v>
      </c>
      <c r="W61" s="108">
        <f>VLOOKUP(A61,'pride covariates'!A$2:B$33,2,FALSE)</f>
        <v>1</v>
      </c>
      <c r="X61" s="108">
        <v>1</v>
      </c>
      <c r="Y61" s="108" t="str">
        <f t="shared" si="0"/>
        <v>/* ELI-609 */ 00010101 1 1 1 0 1 0 1;</v>
      </c>
      <c r="Z61" s="108" t="str">
        <f t="shared" si="1"/>
        <v>00010101</v>
      </c>
      <c r="AA61" s="108" t="str">
        <f t="shared" si="2"/>
        <v>/*ELI-609*/ 00010101 1;</v>
      </c>
    </row>
    <row r="62" spans="1:27" s="108" customFormat="1" x14ac:dyDescent="0.35">
      <c r="A62" s="108" t="s">
        <v>414</v>
      </c>
      <c r="B62" s="108" t="s">
        <v>403</v>
      </c>
      <c r="C62" s="108" t="s">
        <v>400</v>
      </c>
      <c r="D62" s="108">
        <v>0</v>
      </c>
      <c r="E62" s="108">
        <v>0</v>
      </c>
      <c r="F62" s="108">
        <v>0</v>
      </c>
      <c r="G62" s="108">
        <v>0</v>
      </c>
      <c r="H62" s="108">
        <v>0</v>
      </c>
      <c r="I62" s="108">
        <v>0</v>
      </c>
      <c r="J62" s="108">
        <v>1</v>
      </c>
      <c r="K62" s="108">
        <v>0</v>
      </c>
      <c r="L62" s="108">
        <v>1</v>
      </c>
      <c r="M62" s="108">
        <v>0</v>
      </c>
      <c r="N62" s="123">
        <v>1</v>
      </c>
      <c r="O62" s="108">
        <v>0</v>
      </c>
      <c r="P62" s="108">
        <v>1</v>
      </c>
      <c r="Q62" s="108">
        <v>1</v>
      </c>
      <c r="R62" s="108">
        <v>0</v>
      </c>
      <c r="S62" s="108">
        <v>1</v>
      </c>
      <c r="T62" s="108">
        <v>2013</v>
      </c>
      <c r="U62" s="108">
        <v>7</v>
      </c>
      <c r="V62" s="108">
        <v>0</v>
      </c>
      <c r="W62" s="108">
        <f>VLOOKUP(A62,'pride covariates'!A$2:B$33,2,FALSE)</f>
        <v>1</v>
      </c>
      <c r="X62" s="108">
        <v>1</v>
      </c>
      <c r="Y62" s="108" t="str">
        <f t="shared" si="0"/>
        <v>/* ELI-611 */ 00010101 1 1 1 0 1 0 1;</v>
      </c>
      <c r="Z62" s="108" t="str">
        <f t="shared" si="1"/>
        <v>00010101</v>
      </c>
      <c r="AA62" s="108" t="str">
        <f t="shared" si="2"/>
        <v>/*ELI-611*/ 00010101 1;</v>
      </c>
    </row>
    <row r="63" spans="1:27" x14ac:dyDescent="0.35">
      <c r="A63" t="s">
        <v>414</v>
      </c>
      <c r="B63" t="s">
        <v>138</v>
      </c>
      <c r="C63" t="s">
        <v>139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 s="108">
        <v>1</v>
      </c>
      <c r="M63" s="108">
        <v>0</v>
      </c>
      <c r="N63" s="123">
        <v>1</v>
      </c>
      <c r="O63" s="108">
        <v>0</v>
      </c>
      <c r="P63" s="108">
        <v>1</v>
      </c>
      <c r="Q63" s="108">
        <v>0</v>
      </c>
      <c r="R63" s="110">
        <v>0</v>
      </c>
      <c r="S63">
        <v>1</v>
      </c>
      <c r="T63">
        <v>2009</v>
      </c>
      <c r="U63">
        <v>8</v>
      </c>
      <c r="V63">
        <v>2</v>
      </c>
      <c r="W63" s="108">
        <f>VLOOKUP(A63,'pride covariates'!A$2:B$33,2,FALSE)</f>
        <v>1</v>
      </c>
      <c r="X63" s="108">
        <v>0</v>
      </c>
      <c r="Y63" s="108" t="str">
        <f t="shared" si="0"/>
        <v>/* ELI-256 */ 00010101 1 1 1 0 0 2 1;</v>
      </c>
      <c r="Z63" s="108" t="str">
        <f t="shared" si="1"/>
        <v>00010101</v>
      </c>
      <c r="AA63" s="108" t="str">
        <f t="shared" si="2"/>
        <v>/*ELI-256*/ 00010101 1;</v>
      </c>
    </row>
    <row r="64" spans="1:27" x14ac:dyDescent="0.35">
      <c r="A64" t="s">
        <v>414</v>
      </c>
      <c r="B64" t="s">
        <v>142</v>
      </c>
      <c r="C64" t="s">
        <v>143</v>
      </c>
      <c r="D64">
        <v>0</v>
      </c>
      <c r="E64" s="125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 s="108">
        <v>1</v>
      </c>
      <c r="M64" s="108">
        <v>0</v>
      </c>
      <c r="N64" s="123">
        <v>1</v>
      </c>
      <c r="O64" s="108">
        <v>0</v>
      </c>
      <c r="P64" s="108">
        <v>1</v>
      </c>
      <c r="Q64" s="108">
        <v>1</v>
      </c>
      <c r="R64" s="110">
        <v>0</v>
      </c>
      <c r="S64">
        <v>1</v>
      </c>
      <c r="T64">
        <v>2010</v>
      </c>
      <c r="U64">
        <v>6</v>
      </c>
      <c r="V64">
        <v>0</v>
      </c>
      <c r="W64" s="108">
        <f>VLOOKUP(A64,'pride covariates'!A$2:B$33,2,FALSE)</f>
        <v>1</v>
      </c>
      <c r="X64" s="108">
        <v>1</v>
      </c>
      <c r="Y64" s="108" t="str">
        <f t="shared" si="0"/>
        <v>/* ELI-379 */ 00010101 1 1 1 0 1 0 1;</v>
      </c>
      <c r="Z64" s="108" t="str">
        <f t="shared" si="1"/>
        <v>00010101</v>
      </c>
      <c r="AA64" s="108" t="str">
        <f t="shared" si="2"/>
        <v>/*ELI-379*/ 00010101 1;</v>
      </c>
    </row>
    <row r="65" spans="1:27" s="108" customFormat="1" x14ac:dyDescent="0.35">
      <c r="A65" s="108" t="s">
        <v>417</v>
      </c>
      <c r="B65" s="108" t="s">
        <v>160</v>
      </c>
      <c r="C65" s="108" t="s">
        <v>11</v>
      </c>
      <c r="D65" s="108">
        <v>0</v>
      </c>
      <c r="E65" s="108">
        <v>0</v>
      </c>
      <c r="F65" s="108">
        <v>0</v>
      </c>
      <c r="G65" s="108">
        <v>0</v>
      </c>
      <c r="H65" s="108">
        <v>0</v>
      </c>
      <c r="I65" s="108">
        <v>0</v>
      </c>
      <c r="J65" s="108">
        <v>1</v>
      </c>
      <c r="K65" s="108">
        <v>0</v>
      </c>
      <c r="L65" s="108">
        <v>0</v>
      </c>
      <c r="M65" s="115">
        <v>1</v>
      </c>
      <c r="N65" s="123">
        <v>0</v>
      </c>
      <c r="O65" s="108">
        <v>0</v>
      </c>
      <c r="P65" s="108">
        <v>0</v>
      </c>
      <c r="Q65" s="108" t="s">
        <v>478</v>
      </c>
      <c r="R65" s="111">
        <v>0</v>
      </c>
      <c r="S65" s="108">
        <v>1</v>
      </c>
      <c r="T65" s="108">
        <v>2011</v>
      </c>
      <c r="U65" s="108">
        <v>9</v>
      </c>
      <c r="V65" s="108">
        <v>0</v>
      </c>
      <c r="W65" s="108">
        <f>VLOOKUP(A65,'pride covariates'!A$2:B$33,2,FALSE)</f>
        <v>0</v>
      </c>
      <c r="X65" s="108">
        <v>1</v>
      </c>
      <c r="Y65" s="108" t="str">
        <f t="shared" si="0"/>
        <v>/* ELI-438 */ 00010010 1 0 1 0 1 0 0;</v>
      </c>
      <c r="Z65" s="108" t="str">
        <f t="shared" si="1"/>
        <v>00010010</v>
      </c>
      <c r="AA65" s="108" t="str">
        <f t="shared" si="2"/>
        <v>/*ELI-438*/ 00010010 1;</v>
      </c>
    </row>
    <row r="66" spans="1:27" x14ac:dyDescent="0.35">
      <c r="A66" t="s">
        <v>417</v>
      </c>
      <c r="B66" t="s">
        <v>168</v>
      </c>
      <c r="C66" t="s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 s="108">
        <v>0</v>
      </c>
      <c r="M66" s="108">
        <v>0</v>
      </c>
      <c r="N66" s="123">
        <v>0</v>
      </c>
      <c r="O66" s="108">
        <v>0</v>
      </c>
      <c r="P66" s="108">
        <v>1</v>
      </c>
      <c r="Q66" s="108">
        <v>0</v>
      </c>
      <c r="R66" s="110">
        <v>0</v>
      </c>
      <c r="S66">
        <v>1</v>
      </c>
      <c r="T66">
        <v>2010</v>
      </c>
      <c r="U66">
        <v>7</v>
      </c>
      <c r="V66">
        <v>9</v>
      </c>
      <c r="W66" s="108">
        <f>VLOOKUP(A66,'pride covariates'!A$2:B$33,2,FALSE)</f>
        <v>0</v>
      </c>
      <c r="X66" s="108">
        <v>0</v>
      </c>
      <c r="Y66" s="108" t="str">
        <f t="shared" si="0"/>
        <v>/* ELI-398 */ 00010000 1 1 1 0 0 9 0;</v>
      </c>
      <c r="Z66" s="108" t="str">
        <f t="shared" si="1"/>
        <v>00010000</v>
      </c>
      <c r="AA66" s="108" t="str">
        <f t="shared" si="2"/>
        <v>/*ELI-398*/ 00010000 1;</v>
      </c>
    </row>
    <row r="67" spans="1:27" s="108" customFormat="1" x14ac:dyDescent="0.35">
      <c r="A67" s="108" t="s">
        <v>417</v>
      </c>
      <c r="B67" s="108" t="s">
        <v>169</v>
      </c>
      <c r="C67" s="108" t="s">
        <v>172</v>
      </c>
      <c r="D67" s="108">
        <v>0</v>
      </c>
      <c r="E67" s="108">
        <v>0</v>
      </c>
      <c r="F67" s="108">
        <v>0</v>
      </c>
      <c r="G67" s="108">
        <v>0</v>
      </c>
      <c r="H67" s="108">
        <v>0</v>
      </c>
      <c r="I67" s="108">
        <v>0</v>
      </c>
      <c r="J67" s="108">
        <v>1</v>
      </c>
      <c r="K67" s="108">
        <v>0</v>
      </c>
      <c r="L67" s="115">
        <v>1</v>
      </c>
      <c r="M67" s="108">
        <v>0</v>
      </c>
      <c r="N67" s="123">
        <v>0</v>
      </c>
      <c r="O67" s="108">
        <v>0</v>
      </c>
      <c r="P67" s="108">
        <v>1</v>
      </c>
      <c r="Q67" s="108">
        <v>0</v>
      </c>
      <c r="R67" s="111">
        <v>0</v>
      </c>
      <c r="S67" s="108">
        <v>1</v>
      </c>
      <c r="T67" s="108">
        <v>2010</v>
      </c>
      <c r="U67" s="108">
        <v>8</v>
      </c>
      <c r="V67" s="108">
        <v>2</v>
      </c>
      <c r="W67" s="108">
        <f>VLOOKUP(A67,'pride covariates'!A$2:B$33,2,FALSE)</f>
        <v>0</v>
      </c>
      <c r="X67" s="108">
        <v>0</v>
      </c>
      <c r="Y67" s="108" t="str">
        <f t="shared" ref="Y67:Y136" si="3">CONCATENATE("/* ",C67," */ ",G67,H67,I67,J67,K67,L67,M67,N67," 1"," ",P67," ",S67," ",R67," ",X67," ",V67," ",W67,";")</f>
        <v>/* ELI-444 */ 00010100 1 1 1 0 0 2 0;</v>
      </c>
      <c r="Z67" s="108" t="str">
        <f t="shared" ref="Z67:Z137" si="4">CONCATENATE(G67,H67,I67,J67,K67,L67,M67,N67)</f>
        <v>00010100</v>
      </c>
      <c r="AA67" s="108" t="str">
        <f t="shared" ref="AA67:AA137" si="5">CONCATENATE("/*",C67,"*/ ",G67,H67,I67,J67,K67,L67,M67,N67," 1",";")</f>
        <v>/*ELI-444*/ 00010100 1;</v>
      </c>
    </row>
    <row r="68" spans="1:27" x14ac:dyDescent="0.35">
      <c r="A68" t="s">
        <v>417</v>
      </c>
      <c r="B68" t="s">
        <v>174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 s="108">
        <v>0</v>
      </c>
      <c r="M68" s="115">
        <v>1</v>
      </c>
      <c r="N68" s="123">
        <v>0</v>
      </c>
      <c r="O68" s="108">
        <v>0</v>
      </c>
      <c r="P68" s="108">
        <v>1</v>
      </c>
      <c r="Q68" s="108">
        <v>0</v>
      </c>
      <c r="R68" s="108">
        <v>0</v>
      </c>
      <c r="S68">
        <v>1</v>
      </c>
      <c r="T68">
        <v>2011</v>
      </c>
      <c r="U68">
        <v>9</v>
      </c>
      <c r="V68">
        <v>0</v>
      </c>
      <c r="W68" s="108">
        <f>VLOOKUP(A68,'pride covariates'!A$2:B$33,2,FALSE)</f>
        <v>0</v>
      </c>
      <c r="X68" s="108">
        <v>0</v>
      </c>
      <c r="Y68" s="108" t="str">
        <f t="shared" si="3"/>
        <v>/* ELI-440 */ 00010010 1 1 1 0 0 0 0;</v>
      </c>
      <c r="Z68" s="108" t="str">
        <f t="shared" si="4"/>
        <v>00010010</v>
      </c>
      <c r="AA68" s="108" t="str">
        <f t="shared" si="5"/>
        <v>/*ELI-440*/ 00010010 1;</v>
      </c>
    </row>
    <row r="69" spans="1:27" s="115" customFormat="1" x14ac:dyDescent="0.35">
      <c r="A69" s="115" t="s">
        <v>417</v>
      </c>
      <c r="B69" s="121" t="s">
        <v>164</v>
      </c>
      <c r="C69" s="122" t="s">
        <v>628</v>
      </c>
      <c r="D69" s="115">
        <v>0</v>
      </c>
      <c r="E69" s="115">
        <v>0</v>
      </c>
      <c r="F69" s="115">
        <v>0</v>
      </c>
      <c r="G69" s="115">
        <v>0</v>
      </c>
      <c r="H69" s="115">
        <v>0</v>
      </c>
      <c r="I69" s="115">
        <v>0</v>
      </c>
      <c r="J69" s="115">
        <v>0</v>
      </c>
      <c r="K69" s="115">
        <v>0</v>
      </c>
      <c r="L69" s="115">
        <v>1</v>
      </c>
      <c r="M69" s="115">
        <v>0</v>
      </c>
      <c r="N69" s="124">
        <v>0</v>
      </c>
      <c r="O69" s="115">
        <v>0</v>
      </c>
      <c r="P69" s="115">
        <v>1</v>
      </c>
      <c r="Q69" s="115">
        <v>0</v>
      </c>
      <c r="R69" s="115">
        <v>0</v>
      </c>
      <c r="S69" s="115">
        <v>0</v>
      </c>
      <c r="T69" s="115">
        <v>2010</v>
      </c>
      <c r="U69" s="115">
        <v>8</v>
      </c>
      <c r="V69" s="115">
        <v>6</v>
      </c>
      <c r="W69" s="115">
        <v>1</v>
      </c>
      <c r="X69" s="115">
        <v>0</v>
      </c>
    </row>
    <row r="70" spans="1:27" s="115" customFormat="1" x14ac:dyDescent="0.35">
      <c r="A70" s="115" t="s">
        <v>417</v>
      </c>
      <c r="B70" s="121" t="s">
        <v>166</v>
      </c>
      <c r="C70" s="122" t="s">
        <v>629</v>
      </c>
      <c r="D70" s="115">
        <v>0</v>
      </c>
      <c r="E70" s="115">
        <v>0</v>
      </c>
      <c r="F70" s="115">
        <v>0</v>
      </c>
      <c r="G70" s="115">
        <v>0</v>
      </c>
      <c r="H70" s="115">
        <v>0</v>
      </c>
      <c r="I70" s="115">
        <v>0</v>
      </c>
      <c r="J70" s="115">
        <v>0</v>
      </c>
      <c r="K70" s="115">
        <v>0</v>
      </c>
      <c r="L70" s="115">
        <v>1</v>
      </c>
      <c r="M70" s="115">
        <v>0</v>
      </c>
      <c r="N70" s="124">
        <v>0</v>
      </c>
      <c r="O70" s="115">
        <v>0</v>
      </c>
      <c r="P70" s="115">
        <v>1</v>
      </c>
      <c r="Q70" s="115">
        <v>0</v>
      </c>
      <c r="R70" s="115">
        <v>0</v>
      </c>
      <c r="S70" s="115">
        <v>0</v>
      </c>
      <c r="T70" s="115">
        <v>2012</v>
      </c>
      <c r="U70" s="115">
        <v>10</v>
      </c>
      <c r="V70" s="115">
        <v>9</v>
      </c>
      <c r="W70" s="115">
        <v>1</v>
      </c>
      <c r="X70" s="115">
        <v>0</v>
      </c>
    </row>
    <row r="71" spans="1:27" s="115" customFormat="1" x14ac:dyDescent="0.35">
      <c r="A71" s="115" t="s">
        <v>417</v>
      </c>
      <c r="B71" s="122" t="s">
        <v>624</v>
      </c>
      <c r="C71" s="122" t="s">
        <v>630</v>
      </c>
      <c r="D71" s="115">
        <v>0</v>
      </c>
      <c r="E71" s="115">
        <v>0</v>
      </c>
      <c r="F71" s="115">
        <v>0</v>
      </c>
      <c r="G71" s="115">
        <v>0</v>
      </c>
      <c r="H71" s="115">
        <v>0</v>
      </c>
      <c r="I71" s="115">
        <v>0</v>
      </c>
      <c r="J71" s="115">
        <v>0</v>
      </c>
      <c r="K71" s="115">
        <v>0</v>
      </c>
      <c r="L71" s="115">
        <v>1</v>
      </c>
      <c r="M71" s="115">
        <v>1</v>
      </c>
      <c r="N71" s="124">
        <v>0</v>
      </c>
      <c r="O71" s="115">
        <v>0</v>
      </c>
      <c r="P71" s="115">
        <v>1</v>
      </c>
      <c r="Q71" s="115">
        <v>0</v>
      </c>
      <c r="R71" s="115">
        <v>0</v>
      </c>
      <c r="S71" s="115">
        <v>0</v>
      </c>
      <c r="T71" s="115">
        <v>2011</v>
      </c>
      <c r="U71" s="115">
        <v>9</v>
      </c>
      <c r="V71" s="115">
        <v>0</v>
      </c>
      <c r="W71" s="115">
        <v>1</v>
      </c>
      <c r="X71" s="115">
        <v>0</v>
      </c>
    </row>
    <row r="72" spans="1:27" s="115" customFormat="1" x14ac:dyDescent="0.35">
      <c r="A72" s="115" t="s">
        <v>417</v>
      </c>
      <c r="B72" s="122" t="s">
        <v>625</v>
      </c>
      <c r="C72" s="122" t="s">
        <v>631</v>
      </c>
      <c r="D72" s="115">
        <v>0</v>
      </c>
      <c r="E72" s="115">
        <v>0</v>
      </c>
      <c r="F72" s="115">
        <v>0</v>
      </c>
      <c r="G72" s="115">
        <v>0</v>
      </c>
      <c r="H72" s="115">
        <v>0</v>
      </c>
      <c r="I72" s="115">
        <v>0</v>
      </c>
      <c r="J72" s="115">
        <v>0</v>
      </c>
      <c r="K72" s="115">
        <v>0</v>
      </c>
      <c r="L72" s="115">
        <v>1</v>
      </c>
      <c r="M72" s="115">
        <v>0</v>
      </c>
      <c r="N72" s="124">
        <v>0</v>
      </c>
      <c r="O72" s="115">
        <v>0</v>
      </c>
      <c r="P72" s="115">
        <v>1</v>
      </c>
      <c r="Q72" s="115">
        <v>0</v>
      </c>
      <c r="R72" s="115">
        <v>0</v>
      </c>
      <c r="S72" s="115">
        <v>0</v>
      </c>
      <c r="T72" s="115">
        <v>2013</v>
      </c>
      <c r="U72" s="115">
        <v>9</v>
      </c>
      <c r="V72" s="115">
        <v>0</v>
      </c>
      <c r="W72" s="115">
        <v>1</v>
      </c>
      <c r="X72" s="115">
        <v>0</v>
      </c>
    </row>
    <row r="73" spans="1:27" s="115" customFormat="1" x14ac:dyDescent="0.35">
      <c r="A73" s="115" t="s">
        <v>417</v>
      </c>
      <c r="B73" s="122" t="s">
        <v>626</v>
      </c>
      <c r="C73" s="122" t="s">
        <v>632</v>
      </c>
      <c r="D73" s="115">
        <v>0</v>
      </c>
      <c r="E73" s="115">
        <v>0</v>
      </c>
      <c r="F73" s="115">
        <v>0</v>
      </c>
      <c r="G73" s="115">
        <v>0</v>
      </c>
      <c r="H73" s="115">
        <v>0</v>
      </c>
      <c r="I73" s="115">
        <v>0</v>
      </c>
      <c r="J73" s="115">
        <v>0</v>
      </c>
      <c r="K73" s="115">
        <v>0</v>
      </c>
      <c r="L73" s="115">
        <v>1</v>
      </c>
      <c r="M73" s="115">
        <v>0</v>
      </c>
      <c r="N73" s="124">
        <v>0</v>
      </c>
      <c r="O73" s="115">
        <v>0</v>
      </c>
      <c r="P73" s="115">
        <v>1</v>
      </c>
      <c r="Q73" s="115">
        <v>0</v>
      </c>
      <c r="R73" s="115">
        <v>0</v>
      </c>
      <c r="S73" s="115">
        <v>0</v>
      </c>
      <c r="T73" s="115">
        <v>2013</v>
      </c>
      <c r="U73" s="115">
        <v>9</v>
      </c>
      <c r="V73" s="115">
        <v>0</v>
      </c>
      <c r="W73" s="115">
        <v>1</v>
      </c>
      <c r="X73" s="115">
        <v>0</v>
      </c>
    </row>
    <row r="74" spans="1:27" s="115" customFormat="1" x14ac:dyDescent="0.35">
      <c r="A74" s="115" t="s">
        <v>417</v>
      </c>
      <c r="B74" s="122" t="s">
        <v>627</v>
      </c>
      <c r="C74" s="122" t="s">
        <v>633</v>
      </c>
      <c r="D74" s="115">
        <v>0</v>
      </c>
      <c r="E74" s="115">
        <v>0</v>
      </c>
      <c r="F74" s="115">
        <v>0</v>
      </c>
      <c r="G74" s="115">
        <v>0</v>
      </c>
      <c r="H74" s="115">
        <v>0</v>
      </c>
      <c r="I74" s="115">
        <v>0</v>
      </c>
      <c r="J74" s="115">
        <v>0</v>
      </c>
      <c r="K74" s="115">
        <v>0</v>
      </c>
      <c r="L74" s="115">
        <v>0</v>
      </c>
      <c r="M74" s="115">
        <v>1</v>
      </c>
      <c r="N74" s="124">
        <v>0</v>
      </c>
      <c r="O74" s="115">
        <v>0</v>
      </c>
      <c r="P74" s="115">
        <v>1</v>
      </c>
      <c r="Q74" s="115">
        <v>0</v>
      </c>
      <c r="R74" s="115">
        <v>0</v>
      </c>
      <c r="S74" s="115">
        <v>0</v>
      </c>
      <c r="T74" s="115">
        <v>2010</v>
      </c>
      <c r="U74" s="115">
        <v>8</v>
      </c>
      <c r="V74" s="115">
        <v>4</v>
      </c>
      <c r="W74" s="115">
        <v>1</v>
      </c>
      <c r="X74" s="115">
        <v>0</v>
      </c>
    </row>
    <row r="75" spans="1:27" s="115" customFormat="1" x14ac:dyDescent="0.35">
      <c r="A75" s="115" t="s">
        <v>417</v>
      </c>
      <c r="B75" s="122" t="s">
        <v>161</v>
      </c>
      <c r="C75" s="122" t="s">
        <v>12</v>
      </c>
      <c r="D75" s="115">
        <v>0</v>
      </c>
      <c r="E75" s="115">
        <v>0</v>
      </c>
      <c r="F75" s="115">
        <v>0</v>
      </c>
      <c r="G75" s="115">
        <v>0</v>
      </c>
      <c r="H75" s="115">
        <v>0</v>
      </c>
      <c r="I75" s="115">
        <v>0</v>
      </c>
      <c r="J75" s="115">
        <v>0</v>
      </c>
      <c r="K75" s="115">
        <v>0</v>
      </c>
      <c r="L75" s="115">
        <v>0</v>
      </c>
      <c r="M75" s="115">
        <v>1</v>
      </c>
      <c r="N75" s="124">
        <v>0</v>
      </c>
      <c r="O75" s="115">
        <v>0</v>
      </c>
      <c r="P75" s="115">
        <v>1</v>
      </c>
      <c r="Q75" s="115">
        <v>1</v>
      </c>
      <c r="R75" s="115">
        <v>0</v>
      </c>
      <c r="S75" s="115">
        <v>0</v>
      </c>
      <c r="T75" s="115">
        <v>2011</v>
      </c>
      <c r="U75" s="115">
        <v>9</v>
      </c>
      <c r="V75" s="115">
        <v>0</v>
      </c>
      <c r="W75" s="115">
        <v>1</v>
      </c>
      <c r="X75" s="115">
        <v>1</v>
      </c>
    </row>
    <row r="76" spans="1:27" s="108" customFormat="1" x14ac:dyDescent="0.35">
      <c r="A76" s="108" t="s">
        <v>438</v>
      </c>
      <c r="B76" s="108" t="s">
        <v>347</v>
      </c>
      <c r="C76" s="108" t="s">
        <v>35</v>
      </c>
      <c r="D76" s="108">
        <v>0</v>
      </c>
      <c r="E76" s="108">
        <v>0</v>
      </c>
      <c r="F76" s="108">
        <v>0</v>
      </c>
      <c r="G76" s="108">
        <v>0</v>
      </c>
      <c r="H76" s="108">
        <v>1</v>
      </c>
      <c r="I76" s="108">
        <v>0</v>
      </c>
      <c r="J76" s="108">
        <v>0</v>
      </c>
      <c r="K76" s="108">
        <v>0</v>
      </c>
      <c r="L76" s="108">
        <v>0</v>
      </c>
      <c r="M76" s="108">
        <v>0</v>
      </c>
      <c r="N76" s="123">
        <v>0</v>
      </c>
      <c r="O76" s="108">
        <v>0</v>
      </c>
      <c r="P76" s="108">
        <v>1</v>
      </c>
      <c r="Q76" s="108">
        <v>1</v>
      </c>
      <c r="R76" s="111">
        <v>0</v>
      </c>
      <c r="S76" s="108">
        <v>1</v>
      </c>
      <c r="T76" s="108">
        <v>2009</v>
      </c>
      <c r="U76" s="108">
        <v>8</v>
      </c>
      <c r="V76" s="108">
        <v>0</v>
      </c>
      <c r="W76" s="108">
        <f>VLOOKUP(A76,'pride covariates'!A$2:B$33,2,FALSE)</f>
        <v>0</v>
      </c>
      <c r="X76" s="108">
        <v>1</v>
      </c>
      <c r="Y76" s="108" t="str">
        <f t="shared" si="3"/>
        <v>/* ELI-233 */ 01000000 1 1 1 0 1 0 0;</v>
      </c>
      <c r="Z76" s="108" t="str">
        <f t="shared" si="4"/>
        <v>01000000</v>
      </c>
      <c r="AA76" s="108" t="str">
        <f t="shared" si="5"/>
        <v>/*ELI-233*/ 01000000 1;</v>
      </c>
    </row>
    <row r="77" spans="1:27" s="108" customFormat="1" x14ac:dyDescent="0.35">
      <c r="A77" s="108" t="s">
        <v>438</v>
      </c>
      <c r="B77" s="108" t="s">
        <v>183</v>
      </c>
      <c r="C77" s="108" t="s">
        <v>29</v>
      </c>
      <c r="D77" s="108">
        <v>0</v>
      </c>
      <c r="E77" s="108">
        <v>0</v>
      </c>
      <c r="F77" s="108">
        <v>0</v>
      </c>
      <c r="G77" s="108">
        <v>0</v>
      </c>
      <c r="H77" s="108">
        <v>1</v>
      </c>
      <c r="I77" s="108">
        <v>0</v>
      </c>
      <c r="J77" s="108">
        <v>0</v>
      </c>
      <c r="K77" s="108">
        <v>0</v>
      </c>
      <c r="L77" s="108">
        <v>1</v>
      </c>
      <c r="M77" s="108">
        <v>1</v>
      </c>
      <c r="N77" s="123">
        <v>0</v>
      </c>
      <c r="O77" s="108">
        <v>0</v>
      </c>
      <c r="P77" s="108">
        <v>1</v>
      </c>
      <c r="Q77" s="108">
        <v>0</v>
      </c>
      <c r="R77" s="111">
        <v>0</v>
      </c>
      <c r="S77" s="108">
        <v>1</v>
      </c>
      <c r="T77" s="108">
        <v>2009</v>
      </c>
      <c r="U77" s="108">
        <v>8</v>
      </c>
      <c r="V77" s="108">
        <v>2</v>
      </c>
      <c r="W77" s="108">
        <f>VLOOKUP(A77,'pride covariates'!A$2:B$33,2,FALSE)</f>
        <v>0</v>
      </c>
      <c r="X77" s="108">
        <v>0</v>
      </c>
      <c r="Y77" s="108" t="str">
        <f t="shared" si="3"/>
        <v>/* ELI-197 */ 01000110 1 1 1 0 0 2 0;</v>
      </c>
      <c r="Z77" s="108" t="str">
        <f t="shared" si="4"/>
        <v>01000110</v>
      </c>
      <c r="AA77" s="108" t="str">
        <f t="shared" si="5"/>
        <v>/*ELI-197*/ 01000110 1;</v>
      </c>
    </row>
    <row r="78" spans="1:27" s="108" customFormat="1" x14ac:dyDescent="0.35">
      <c r="A78" s="108" t="s">
        <v>438</v>
      </c>
      <c r="B78" s="108" t="s">
        <v>184</v>
      </c>
      <c r="C78" s="108" t="s">
        <v>30</v>
      </c>
      <c r="D78" s="108">
        <v>0</v>
      </c>
      <c r="E78" s="108">
        <v>0</v>
      </c>
      <c r="F78" s="108">
        <v>0</v>
      </c>
      <c r="G78" s="108">
        <v>0</v>
      </c>
      <c r="H78" s="108">
        <v>0</v>
      </c>
      <c r="I78" s="108">
        <v>0</v>
      </c>
      <c r="J78" s="108">
        <v>0</v>
      </c>
      <c r="K78" s="108">
        <v>0</v>
      </c>
      <c r="L78" s="108">
        <v>1</v>
      </c>
      <c r="M78" s="108">
        <v>1</v>
      </c>
      <c r="N78" s="123">
        <v>0</v>
      </c>
      <c r="O78" s="108">
        <v>0</v>
      </c>
      <c r="P78" s="108">
        <v>1</v>
      </c>
      <c r="Q78" s="108">
        <v>0</v>
      </c>
      <c r="R78" s="111">
        <v>0</v>
      </c>
      <c r="S78" s="108">
        <v>1</v>
      </c>
      <c r="T78" s="108">
        <v>2009</v>
      </c>
      <c r="U78" s="108">
        <v>8</v>
      </c>
      <c r="V78" s="108">
        <v>5</v>
      </c>
      <c r="W78" s="108">
        <f>VLOOKUP(A78,'pride covariates'!A$2:B$33,2,FALSE)</f>
        <v>0</v>
      </c>
      <c r="X78" s="108">
        <v>0</v>
      </c>
      <c r="Y78" s="108" t="str">
        <f t="shared" si="3"/>
        <v>/* ELI-198 */ 00000110 1 1 1 0 0 5 0;</v>
      </c>
      <c r="Z78" s="108" t="str">
        <f t="shared" si="4"/>
        <v>00000110</v>
      </c>
      <c r="AA78" s="108" t="str">
        <f t="shared" si="5"/>
        <v>/*ELI-198*/ 00000110 1;</v>
      </c>
    </row>
    <row r="79" spans="1:27" s="108" customFormat="1" x14ac:dyDescent="0.35">
      <c r="A79" s="108" t="s">
        <v>438</v>
      </c>
      <c r="B79" s="108" t="s">
        <v>185</v>
      </c>
      <c r="C79" s="108" t="s">
        <v>31</v>
      </c>
      <c r="D79" s="108">
        <v>0</v>
      </c>
      <c r="E79" s="108">
        <v>0</v>
      </c>
      <c r="F79" s="108">
        <v>0</v>
      </c>
      <c r="G79" s="108">
        <v>0</v>
      </c>
      <c r="H79" s="108">
        <v>0</v>
      </c>
      <c r="I79" s="108">
        <v>0</v>
      </c>
      <c r="J79" s="108">
        <v>0</v>
      </c>
      <c r="K79" s="108">
        <v>0</v>
      </c>
      <c r="L79" s="108">
        <v>1</v>
      </c>
      <c r="M79" s="108">
        <v>1</v>
      </c>
      <c r="N79" s="123">
        <v>0</v>
      </c>
      <c r="O79" s="108">
        <v>0</v>
      </c>
      <c r="P79" s="108">
        <v>1</v>
      </c>
      <c r="Q79" s="108">
        <v>0</v>
      </c>
      <c r="R79" s="111">
        <v>0</v>
      </c>
      <c r="S79" s="108">
        <v>1</v>
      </c>
      <c r="T79" s="108">
        <v>2009</v>
      </c>
      <c r="U79" s="108">
        <v>8</v>
      </c>
      <c r="V79" s="108">
        <v>4</v>
      </c>
      <c r="W79" s="108">
        <f>VLOOKUP(A79,'pride covariates'!A$2:B$33,2,FALSE)</f>
        <v>0</v>
      </c>
      <c r="X79" s="108">
        <v>0</v>
      </c>
      <c r="Y79" s="108" t="str">
        <f t="shared" si="3"/>
        <v>/* ELI-230 */ 00000110 1 1 1 0 0 4 0;</v>
      </c>
      <c r="Z79" s="108" t="str">
        <f t="shared" si="4"/>
        <v>00000110</v>
      </c>
      <c r="AA79" s="108" t="str">
        <f t="shared" si="5"/>
        <v>/*ELI-230*/ 00000110 1;</v>
      </c>
    </row>
    <row r="80" spans="1:27" s="108" customFormat="1" x14ac:dyDescent="0.35">
      <c r="A80" s="108" t="s">
        <v>438</v>
      </c>
      <c r="B80" s="108" t="s">
        <v>186</v>
      </c>
      <c r="C80" s="108" t="s">
        <v>32</v>
      </c>
      <c r="D80" s="108">
        <v>0</v>
      </c>
      <c r="E80" s="108">
        <v>0</v>
      </c>
      <c r="F80" s="108">
        <v>0</v>
      </c>
      <c r="G80" s="108">
        <v>0</v>
      </c>
      <c r="H80" s="108">
        <v>0</v>
      </c>
      <c r="I80" s="108">
        <v>0</v>
      </c>
      <c r="J80" s="115">
        <v>1</v>
      </c>
      <c r="K80" s="108">
        <v>0</v>
      </c>
      <c r="L80" s="108">
        <v>1</v>
      </c>
      <c r="M80" s="108">
        <v>1</v>
      </c>
      <c r="N80" s="123">
        <v>0</v>
      </c>
      <c r="O80" s="108">
        <v>0</v>
      </c>
      <c r="P80" s="108">
        <v>1</v>
      </c>
      <c r="Q80" s="108">
        <v>0</v>
      </c>
      <c r="R80" s="111">
        <v>0</v>
      </c>
      <c r="S80" s="108">
        <v>1</v>
      </c>
      <c r="T80" s="108">
        <v>2009</v>
      </c>
      <c r="U80" s="108">
        <v>8</v>
      </c>
      <c r="V80" s="108">
        <v>0</v>
      </c>
      <c r="W80" s="108">
        <f>VLOOKUP(A80,'pride covariates'!A$2:B$33,2,FALSE)</f>
        <v>0</v>
      </c>
      <c r="X80" s="108">
        <v>0</v>
      </c>
      <c r="Y80" s="108" t="str">
        <f t="shared" si="3"/>
        <v>/* ELI-231 */ 00010110 1 1 1 0 0 0 0;</v>
      </c>
      <c r="Z80" s="108" t="str">
        <f t="shared" si="4"/>
        <v>00010110</v>
      </c>
      <c r="AA80" s="108" t="str">
        <f t="shared" si="5"/>
        <v>/*ELI-231*/ 00010110 1;</v>
      </c>
    </row>
    <row r="81" spans="1:27" s="108" customFormat="1" x14ac:dyDescent="0.35">
      <c r="A81" s="108" t="s">
        <v>438</v>
      </c>
      <c r="B81" s="108" t="s">
        <v>187</v>
      </c>
      <c r="C81" s="108" t="s">
        <v>33</v>
      </c>
      <c r="D81" s="108">
        <v>0</v>
      </c>
      <c r="E81" s="108">
        <v>0</v>
      </c>
      <c r="F81" s="108">
        <v>0</v>
      </c>
      <c r="G81" s="108">
        <v>0</v>
      </c>
      <c r="H81" s="108">
        <v>1</v>
      </c>
      <c r="I81" s="108">
        <v>0</v>
      </c>
      <c r="J81" s="108">
        <v>0</v>
      </c>
      <c r="K81" s="108">
        <v>0</v>
      </c>
      <c r="L81" s="108">
        <v>0</v>
      </c>
      <c r="M81" s="108">
        <v>0</v>
      </c>
      <c r="N81" s="123">
        <v>0</v>
      </c>
      <c r="O81" s="108">
        <v>0</v>
      </c>
      <c r="P81" s="108">
        <v>1</v>
      </c>
      <c r="Q81" s="108">
        <v>0</v>
      </c>
      <c r="R81" s="111">
        <v>0</v>
      </c>
      <c r="S81" s="108">
        <v>1</v>
      </c>
      <c r="T81" s="108">
        <v>2009</v>
      </c>
      <c r="U81" s="108">
        <v>8</v>
      </c>
      <c r="V81" s="108">
        <v>0</v>
      </c>
      <c r="W81" s="108">
        <f>VLOOKUP(A81,'pride covariates'!A$2:B$33,2,FALSE)</f>
        <v>0</v>
      </c>
      <c r="X81" s="108">
        <v>0</v>
      </c>
      <c r="Y81" s="108" t="str">
        <f t="shared" si="3"/>
        <v>/* ELI-232 */ 01000000 1 1 1 0 0 0 0;</v>
      </c>
      <c r="Z81" s="108" t="str">
        <f t="shared" si="4"/>
        <v>01000000</v>
      </c>
      <c r="AA81" s="108" t="str">
        <f t="shared" si="5"/>
        <v>/*ELI-232*/ 01000000 1;</v>
      </c>
    </row>
    <row r="82" spans="1:27" s="108" customFormat="1" x14ac:dyDescent="0.35">
      <c r="A82" s="108" t="s">
        <v>438</v>
      </c>
      <c r="B82" s="108" t="s">
        <v>188</v>
      </c>
      <c r="C82" s="108" t="s">
        <v>34</v>
      </c>
      <c r="D82" s="108">
        <v>0</v>
      </c>
      <c r="E82" s="108">
        <v>0</v>
      </c>
      <c r="F82" s="108">
        <v>0</v>
      </c>
      <c r="G82" s="108">
        <v>0</v>
      </c>
      <c r="H82" s="108">
        <v>1</v>
      </c>
      <c r="I82" s="108">
        <v>0</v>
      </c>
      <c r="J82" s="108">
        <v>0</v>
      </c>
      <c r="K82" s="108">
        <v>0</v>
      </c>
      <c r="L82" s="108">
        <v>0</v>
      </c>
      <c r="M82" s="108">
        <v>1</v>
      </c>
      <c r="N82" s="123">
        <v>0</v>
      </c>
      <c r="O82" s="108">
        <v>0</v>
      </c>
      <c r="P82" s="108">
        <v>1</v>
      </c>
      <c r="Q82" s="108">
        <v>0</v>
      </c>
      <c r="R82" s="111">
        <v>0</v>
      </c>
      <c r="S82" s="108">
        <v>1</v>
      </c>
      <c r="T82" s="108">
        <v>2012</v>
      </c>
      <c r="U82" s="108">
        <v>10</v>
      </c>
      <c r="V82" s="108">
        <v>3</v>
      </c>
      <c r="W82" s="108">
        <f>VLOOKUP(A82,'pride covariates'!A$2:B$33,2,FALSE)</f>
        <v>0</v>
      </c>
      <c r="X82" s="108">
        <v>0</v>
      </c>
      <c r="Y82" s="108" t="str">
        <f t="shared" si="3"/>
        <v>/* ELI-424 */ 01000010 1 1 1 0 0 3 0;</v>
      </c>
      <c r="Z82" s="108" t="str">
        <f t="shared" si="4"/>
        <v>01000010</v>
      </c>
      <c r="AA82" s="108" t="str">
        <f t="shared" si="5"/>
        <v>/*ELI-424*/ 01000010 1;</v>
      </c>
    </row>
    <row r="83" spans="1:27" s="108" customFormat="1" x14ac:dyDescent="0.35">
      <c r="A83" s="108" t="s">
        <v>438</v>
      </c>
      <c r="B83" s="108" t="s">
        <v>404</v>
      </c>
      <c r="C83" s="108" t="s">
        <v>397</v>
      </c>
      <c r="D83" s="108">
        <v>0</v>
      </c>
      <c r="E83" s="108">
        <v>0</v>
      </c>
      <c r="F83" s="108">
        <v>0</v>
      </c>
      <c r="G83" s="108">
        <v>0</v>
      </c>
      <c r="H83" s="108">
        <v>0</v>
      </c>
      <c r="I83" s="108">
        <v>0</v>
      </c>
      <c r="J83" s="115">
        <v>1</v>
      </c>
      <c r="K83" s="108">
        <v>0</v>
      </c>
      <c r="L83" s="108">
        <v>1</v>
      </c>
      <c r="M83" s="108">
        <v>1</v>
      </c>
      <c r="N83" s="123">
        <v>0</v>
      </c>
      <c r="O83" s="108">
        <v>0</v>
      </c>
      <c r="P83" s="108">
        <v>1</v>
      </c>
      <c r="Q83" s="108">
        <v>0</v>
      </c>
      <c r="R83" s="108">
        <v>0</v>
      </c>
      <c r="S83" s="108">
        <v>1</v>
      </c>
      <c r="T83" s="108">
        <v>2011</v>
      </c>
      <c r="U83" s="108">
        <v>6</v>
      </c>
      <c r="V83" s="108">
        <v>2</v>
      </c>
      <c r="W83" s="108">
        <f>VLOOKUP(A83,'pride covariates'!A$2:B$33,2,FALSE)</f>
        <v>0</v>
      </c>
      <c r="X83" s="108">
        <v>0</v>
      </c>
      <c r="Y83" s="108" t="str">
        <f t="shared" si="3"/>
        <v>/* ELI-425 */ 00010110 1 1 1 0 0 2 0;</v>
      </c>
      <c r="Z83" s="108" t="str">
        <f t="shared" si="4"/>
        <v>00010110</v>
      </c>
      <c r="AA83" s="108" t="str">
        <f t="shared" si="5"/>
        <v>/*ELI-425*/ 00010110 1;</v>
      </c>
    </row>
    <row r="84" spans="1:27" s="112" customFormat="1" x14ac:dyDescent="0.35">
      <c r="A84" s="112" t="s">
        <v>438</v>
      </c>
      <c r="B84" s="112" t="s">
        <v>405</v>
      </c>
      <c r="C84" s="112" t="s">
        <v>391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1</v>
      </c>
      <c r="M84" s="112">
        <v>1</v>
      </c>
      <c r="N84" s="112">
        <v>0</v>
      </c>
      <c r="O84" s="112">
        <v>0</v>
      </c>
      <c r="P84" s="112">
        <v>1</v>
      </c>
      <c r="Q84" s="112">
        <v>0</v>
      </c>
      <c r="R84" s="112">
        <v>1</v>
      </c>
      <c r="S84" s="112">
        <v>1</v>
      </c>
      <c r="T84" s="112">
        <v>2013</v>
      </c>
      <c r="U84" s="112">
        <v>9</v>
      </c>
      <c r="V84" s="112">
        <v>0</v>
      </c>
      <c r="W84" s="108">
        <f>VLOOKUP(A84,'pride covariates'!A$2:B$33,2,FALSE)</f>
        <v>0</v>
      </c>
      <c r="X84" s="108">
        <v>0</v>
      </c>
      <c r="Y84" s="108" t="str">
        <f t="shared" si="3"/>
        <v>/* ELI-612 */ 00000110 1 1 1 1 0 0 0;</v>
      </c>
      <c r="Z84" s="108" t="str">
        <f t="shared" si="4"/>
        <v>00000110</v>
      </c>
      <c r="AA84" s="108" t="str">
        <f t="shared" si="5"/>
        <v>/*ELI-612*/ 00000110 1;</v>
      </c>
    </row>
    <row r="85" spans="1:27" s="112" customFormat="1" x14ac:dyDescent="0.35">
      <c r="A85" s="112" t="s">
        <v>438</v>
      </c>
      <c r="B85" s="112" t="s">
        <v>406</v>
      </c>
      <c r="C85" s="112" t="s">
        <v>392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1</v>
      </c>
      <c r="M85" s="112">
        <v>1</v>
      </c>
      <c r="N85" s="112">
        <v>0</v>
      </c>
      <c r="O85" s="112">
        <v>0</v>
      </c>
      <c r="P85" s="112">
        <v>1</v>
      </c>
      <c r="Q85" s="112">
        <v>0</v>
      </c>
      <c r="R85" s="112">
        <v>0</v>
      </c>
      <c r="S85" s="112">
        <v>1</v>
      </c>
      <c r="T85" s="112">
        <v>2013</v>
      </c>
      <c r="U85" s="112">
        <v>9</v>
      </c>
      <c r="V85" s="112">
        <v>0</v>
      </c>
      <c r="W85" s="108">
        <f>VLOOKUP(A85,'pride covariates'!A$2:B$33,2,FALSE)</f>
        <v>0</v>
      </c>
      <c r="X85" s="108">
        <v>0</v>
      </c>
      <c r="Y85" s="108" t="str">
        <f t="shared" si="3"/>
        <v>/* ELI-613 */ 00000110 1 1 1 0 0 0 0;</v>
      </c>
      <c r="Z85" s="108" t="str">
        <f t="shared" si="4"/>
        <v>00000110</v>
      </c>
      <c r="AA85" s="108" t="str">
        <f t="shared" si="5"/>
        <v>/*ELI-613*/ 00000110 1;</v>
      </c>
    </row>
    <row r="86" spans="1:27" s="112" customFormat="1" x14ac:dyDescent="0.35">
      <c r="A86" s="112" t="s">
        <v>438</v>
      </c>
      <c r="B86" s="112" t="s">
        <v>407</v>
      </c>
      <c r="C86" s="112" t="s">
        <v>393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1</v>
      </c>
      <c r="M86" s="112">
        <v>1</v>
      </c>
      <c r="N86" s="112">
        <v>0</v>
      </c>
      <c r="O86" s="112">
        <v>0</v>
      </c>
      <c r="P86" s="112">
        <v>1</v>
      </c>
      <c r="Q86" s="112">
        <v>1</v>
      </c>
      <c r="R86" s="112">
        <v>0</v>
      </c>
      <c r="S86" s="112">
        <v>1</v>
      </c>
      <c r="T86" s="112">
        <v>2013</v>
      </c>
      <c r="U86" s="112">
        <v>9</v>
      </c>
      <c r="V86" s="112">
        <v>0</v>
      </c>
      <c r="W86" s="108">
        <f>VLOOKUP(A86,'pride covariates'!A$2:B$33,2,FALSE)</f>
        <v>0</v>
      </c>
      <c r="X86" s="108">
        <v>1</v>
      </c>
      <c r="Y86" s="108" t="str">
        <f t="shared" si="3"/>
        <v>/* ELI-615 */ 00000110 1 1 1 0 1 0 0;</v>
      </c>
      <c r="Z86" s="108" t="str">
        <f t="shared" si="4"/>
        <v>00000110</v>
      </c>
      <c r="AA86" s="108" t="str">
        <f t="shared" si="5"/>
        <v>/*ELI-615*/ 00000110 1;</v>
      </c>
    </row>
    <row r="87" spans="1:27" s="112" customFormat="1" x14ac:dyDescent="0.35">
      <c r="A87" s="112" t="s">
        <v>438</v>
      </c>
      <c r="B87" s="112" t="s">
        <v>408</v>
      </c>
      <c r="C87" s="112" t="s">
        <v>394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1</v>
      </c>
      <c r="M87" s="112">
        <v>1</v>
      </c>
      <c r="N87" s="112">
        <v>0</v>
      </c>
      <c r="O87" s="112">
        <v>0</v>
      </c>
      <c r="P87" s="112">
        <v>1</v>
      </c>
      <c r="Q87" s="112">
        <v>0</v>
      </c>
      <c r="R87" s="112">
        <v>0</v>
      </c>
      <c r="S87" s="112">
        <v>1</v>
      </c>
      <c r="T87" s="112">
        <v>2013</v>
      </c>
      <c r="U87" s="112">
        <v>9</v>
      </c>
      <c r="V87" s="112">
        <v>0</v>
      </c>
      <c r="W87" s="108">
        <f>VLOOKUP(A87,'pride covariates'!A$2:B$33,2,FALSE)</f>
        <v>0</v>
      </c>
      <c r="X87" s="108">
        <v>0</v>
      </c>
      <c r="Y87" s="108" t="str">
        <f t="shared" si="3"/>
        <v>/* ELI-616 */ 00000110 1 1 1 0 0 0 0;</v>
      </c>
      <c r="Z87" s="108" t="str">
        <f t="shared" si="4"/>
        <v>00000110</v>
      </c>
      <c r="AA87" s="108" t="str">
        <f t="shared" si="5"/>
        <v>/*ELI-616*/ 00000110 1;</v>
      </c>
    </row>
    <row r="88" spans="1:27" s="112" customFormat="1" x14ac:dyDescent="0.35">
      <c r="A88" s="112" t="s">
        <v>438</v>
      </c>
      <c r="B88" s="112" t="s">
        <v>409</v>
      </c>
      <c r="C88" s="112" t="s">
        <v>395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1</v>
      </c>
      <c r="M88" s="112">
        <v>1</v>
      </c>
      <c r="N88" s="112">
        <v>0</v>
      </c>
      <c r="O88" s="112">
        <v>0</v>
      </c>
      <c r="P88" s="112">
        <v>1</v>
      </c>
      <c r="Q88" s="112">
        <v>1</v>
      </c>
      <c r="R88" s="112">
        <v>0</v>
      </c>
      <c r="S88" s="112">
        <v>1</v>
      </c>
      <c r="T88" s="112">
        <v>2013</v>
      </c>
      <c r="U88" s="112">
        <v>9</v>
      </c>
      <c r="V88" s="112">
        <v>0</v>
      </c>
      <c r="W88" s="108">
        <f>VLOOKUP(A88,'pride covariates'!A$2:B$33,2,FALSE)</f>
        <v>0</v>
      </c>
      <c r="X88" s="108">
        <v>1</v>
      </c>
      <c r="Y88" s="108" t="str">
        <f t="shared" si="3"/>
        <v>/* ELI-617 */ 00000110 1 1 1 0 1 0 0;</v>
      </c>
      <c r="Z88" s="108" t="str">
        <f t="shared" si="4"/>
        <v>00000110</v>
      </c>
      <c r="AA88" s="108" t="str">
        <f t="shared" si="5"/>
        <v>/*ELI-617*/ 00000110 1;</v>
      </c>
    </row>
    <row r="89" spans="1:27" s="112" customFormat="1" x14ac:dyDescent="0.35">
      <c r="A89" s="112" t="s">
        <v>438</v>
      </c>
      <c r="B89" s="112" t="s">
        <v>410</v>
      </c>
      <c r="C89" s="112" t="s">
        <v>396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1</v>
      </c>
      <c r="M89" s="112">
        <v>1</v>
      </c>
      <c r="N89" s="112">
        <v>0</v>
      </c>
      <c r="O89" s="112">
        <v>0</v>
      </c>
      <c r="P89" s="112">
        <v>1</v>
      </c>
      <c r="Q89" s="112">
        <v>0</v>
      </c>
      <c r="R89" s="112">
        <v>0</v>
      </c>
      <c r="S89" s="112">
        <v>1</v>
      </c>
      <c r="T89" s="112">
        <v>2013</v>
      </c>
      <c r="U89" s="112">
        <v>9</v>
      </c>
      <c r="V89" s="112">
        <v>0</v>
      </c>
      <c r="W89" s="108">
        <f>VLOOKUP(A89,'pride covariates'!A$2:B$33,2,FALSE)</f>
        <v>0</v>
      </c>
      <c r="X89" s="108">
        <v>0</v>
      </c>
      <c r="Y89" s="108" t="str">
        <f t="shared" si="3"/>
        <v>/* ELI-618 */ 00000110 1 1 1 0 0 0 0;</v>
      </c>
      <c r="Z89" s="108" t="str">
        <f t="shared" si="4"/>
        <v>00000110</v>
      </c>
      <c r="AA89" s="108" t="str">
        <f t="shared" si="5"/>
        <v>/*ELI-618*/ 00000110 1;</v>
      </c>
    </row>
    <row r="90" spans="1:27" s="112" customFormat="1" x14ac:dyDescent="0.35">
      <c r="A90" s="112" t="s">
        <v>438</v>
      </c>
      <c r="B90" s="112" t="s">
        <v>477</v>
      </c>
      <c r="C90" s="112" t="s">
        <v>482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1</v>
      </c>
      <c r="N90" s="112">
        <v>0</v>
      </c>
      <c r="O90" s="112">
        <v>0</v>
      </c>
      <c r="P90" s="112">
        <v>0</v>
      </c>
      <c r="Q90" s="112" t="s">
        <v>478</v>
      </c>
      <c r="R90" s="112">
        <v>1</v>
      </c>
      <c r="S90" s="112">
        <v>1</v>
      </c>
      <c r="T90" s="112">
        <v>2013</v>
      </c>
      <c r="U90" s="112">
        <v>10</v>
      </c>
      <c r="V90" s="112">
        <v>0</v>
      </c>
      <c r="W90" s="108">
        <f>VLOOKUP(A90,'pride covariates'!A$2:B$33,2,FALSE)</f>
        <v>0</v>
      </c>
      <c r="X90" s="108">
        <v>0</v>
      </c>
      <c r="Y90" s="108" t="str">
        <f t="shared" si="3"/>
        <v>/* ELI-619 */ 00000010 1 0 1 1 0 0 0;</v>
      </c>
      <c r="Z90" s="108" t="str">
        <f t="shared" si="4"/>
        <v>00000010</v>
      </c>
      <c r="AA90" s="108" t="str">
        <f t="shared" si="5"/>
        <v>/*ELI-619*/ 00000010 1;</v>
      </c>
    </row>
    <row r="91" spans="1:27" s="112" customFormat="1" x14ac:dyDescent="0.35">
      <c r="A91" s="112" t="s">
        <v>438</v>
      </c>
      <c r="B91" s="112" t="s">
        <v>479</v>
      </c>
      <c r="C91" s="112" t="s">
        <v>480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1</v>
      </c>
      <c r="N91" s="112">
        <v>0</v>
      </c>
      <c r="O91" s="112">
        <v>0</v>
      </c>
      <c r="P91" s="112">
        <v>0</v>
      </c>
      <c r="Q91" s="112" t="s">
        <v>478</v>
      </c>
      <c r="R91" s="112">
        <v>1</v>
      </c>
      <c r="S91" s="112">
        <v>1</v>
      </c>
      <c r="T91" s="112">
        <v>2013</v>
      </c>
      <c r="U91" s="112">
        <v>10</v>
      </c>
      <c r="V91" s="112">
        <v>0</v>
      </c>
      <c r="W91" s="108">
        <f>VLOOKUP(A91,'pride covariates'!A$2:B$33,2,FALSE)</f>
        <v>0</v>
      </c>
      <c r="X91" s="108">
        <v>1</v>
      </c>
      <c r="Y91" s="108" t="str">
        <f t="shared" si="3"/>
        <v>/* ELI-HW2 */ 00000010 1 0 1 1 1 0 0;</v>
      </c>
      <c r="Z91" s="108" t="str">
        <f t="shared" si="4"/>
        <v>00000010</v>
      </c>
      <c r="AA91" s="108" t="str">
        <f t="shared" si="5"/>
        <v>/*ELI-HW2*/ 00000010 1;</v>
      </c>
    </row>
    <row r="92" spans="1:27" x14ac:dyDescent="0.35">
      <c r="A92" t="s">
        <v>418</v>
      </c>
      <c r="B92" t="s">
        <v>191</v>
      </c>
      <c r="C92" t="s">
        <v>192</v>
      </c>
      <c r="D92" s="125">
        <v>1</v>
      </c>
      <c r="E92" s="125">
        <v>1</v>
      </c>
      <c r="F92" s="125">
        <v>1</v>
      </c>
      <c r="G92" s="125">
        <v>1</v>
      </c>
      <c r="H92">
        <v>1</v>
      </c>
      <c r="I92">
        <v>0</v>
      </c>
      <c r="J92">
        <v>0</v>
      </c>
      <c r="K92">
        <v>0</v>
      </c>
      <c r="L92" s="108">
        <v>0</v>
      </c>
      <c r="M92" s="108">
        <v>0</v>
      </c>
      <c r="N92" s="123">
        <v>1</v>
      </c>
      <c r="O92" s="108">
        <v>0</v>
      </c>
      <c r="P92" s="108">
        <v>1</v>
      </c>
      <c r="Q92" s="108">
        <v>0</v>
      </c>
      <c r="R92" s="110">
        <v>0</v>
      </c>
      <c r="S92">
        <v>1</v>
      </c>
      <c r="T92">
        <v>2008</v>
      </c>
      <c r="U92">
        <v>7</v>
      </c>
      <c r="V92">
        <v>4</v>
      </c>
      <c r="W92" s="108">
        <f>VLOOKUP(A92,'pride covariates'!A$2:B$33,2,FALSE)</f>
        <v>1</v>
      </c>
      <c r="X92" s="108">
        <v>0</v>
      </c>
      <c r="Y92" s="108" t="str">
        <f t="shared" si="3"/>
        <v>/* ELI-154 */ 11000001 1 1 1 0 0 4 1;</v>
      </c>
      <c r="Z92" s="108" t="str">
        <f t="shared" si="4"/>
        <v>11000001</v>
      </c>
      <c r="AA92" s="108" t="str">
        <f t="shared" si="5"/>
        <v>/*ELI-154*/ 11000001 1;</v>
      </c>
    </row>
    <row r="93" spans="1:27" x14ac:dyDescent="0.35">
      <c r="A93" t="s">
        <v>418</v>
      </c>
      <c r="B93" t="s">
        <v>193</v>
      </c>
      <c r="C93" t="s">
        <v>194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 s="108">
        <v>0</v>
      </c>
      <c r="M93" s="108">
        <v>1</v>
      </c>
      <c r="N93" s="123">
        <v>1</v>
      </c>
      <c r="O93" s="108">
        <v>0</v>
      </c>
      <c r="P93" s="108">
        <v>1</v>
      </c>
      <c r="Q93" s="108">
        <v>0</v>
      </c>
      <c r="R93" s="110">
        <v>0</v>
      </c>
      <c r="S93">
        <v>1</v>
      </c>
      <c r="T93">
        <v>2008</v>
      </c>
      <c r="U93">
        <v>5</v>
      </c>
      <c r="V93">
        <v>2</v>
      </c>
      <c r="W93" s="108">
        <f>VLOOKUP(A93,'pride covariates'!A$2:B$33,2,FALSE)</f>
        <v>1</v>
      </c>
      <c r="X93" s="108">
        <v>0</v>
      </c>
      <c r="Y93" s="108" t="str">
        <f t="shared" si="3"/>
        <v>/* ELI-155 */ 01001011 1 1 1 0 0 2 1;</v>
      </c>
      <c r="Z93" s="108" t="str">
        <f t="shared" si="4"/>
        <v>01001011</v>
      </c>
      <c r="AA93" s="108" t="str">
        <f t="shared" si="5"/>
        <v>/*ELI-155*/ 01001011 1;</v>
      </c>
    </row>
    <row r="94" spans="1:27" x14ac:dyDescent="0.35">
      <c r="A94" t="s">
        <v>418</v>
      </c>
      <c r="B94" t="s">
        <v>199</v>
      </c>
      <c r="C94" t="s">
        <v>200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 s="108">
        <v>0</v>
      </c>
      <c r="M94" s="108">
        <v>1</v>
      </c>
      <c r="N94" s="123">
        <v>1</v>
      </c>
      <c r="O94" s="108">
        <v>0</v>
      </c>
      <c r="P94" s="108">
        <v>1</v>
      </c>
      <c r="Q94" s="108">
        <v>0</v>
      </c>
      <c r="R94" s="110">
        <v>0</v>
      </c>
      <c r="S94">
        <v>1</v>
      </c>
      <c r="T94">
        <v>2010</v>
      </c>
      <c r="U94">
        <v>5</v>
      </c>
      <c r="V94">
        <v>0</v>
      </c>
      <c r="W94" s="108">
        <f>VLOOKUP(A94,'pride covariates'!A$2:B$33,2,FALSE)</f>
        <v>1</v>
      </c>
      <c r="X94" s="108">
        <v>0</v>
      </c>
      <c r="Y94" s="108" t="str">
        <f t="shared" si="3"/>
        <v>/* ELI-369 */ 01000011 1 1 1 0 0 0 1;</v>
      </c>
      <c r="Z94" s="108" t="str">
        <f t="shared" si="4"/>
        <v>01000011</v>
      </c>
      <c r="AA94" s="108" t="str">
        <f t="shared" si="5"/>
        <v>/*ELI-369*/ 01000011 1;</v>
      </c>
    </row>
    <row r="95" spans="1:27" x14ac:dyDescent="0.35">
      <c r="A95" t="s">
        <v>418</v>
      </c>
      <c r="B95" t="s">
        <v>201</v>
      </c>
      <c r="C95" t="s">
        <v>202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 s="108">
        <v>0</v>
      </c>
      <c r="M95" s="108">
        <v>1</v>
      </c>
      <c r="N95" s="123">
        <v>1</v>
      </c>
      <c r="O95" s="108">
        <v>0</v>
      </c>
      <c r="P95" s="108">
        <v>1</v>
      </c>
      <c r="Q95" s="108">
        <v>1</v>
      </c>
      <c r="R95" s="110">
        <v>0</v>
      </c>
      <c r="S95">
        <v>1</v>
      </c>
      <c r="T95">
        <v>2010</v>
      </c>
      <c r="U95">
        <v>5</v>
      </c>
      <c r="V95">
        <v>0</v>
      </c>
      <c r="W95" s="108">
        <f>VLOOKUP(A95,'pride covariates'!A$2:B$33,2,FALSE)</f>
        <v>1</v>
      </c>
      <c r="X95" s="108">
        <v>1</v>
      </c>
      <c r="Y95" s="108" t="str">
        <f t="shared" si="3"/>
        <v>/* ELI-370 */ 01000011 1 1 1 0 1 0 1;</v>
      </c>
      <c r="Z95" s="108" t="str">
        <f t="shared" si="4"/>
        <v>01000011</v>
      </c>
      <c r="AA95" s="108" t="str">
        <f t="shared" si="5"/>
        <v>/*ELI-370*/ 01000011 1;</v>
      </c>
    </row>
    <row r="96" spans="1:27" x14ac:dyDescent="0.35">
      <c r="A96" t="s">
        <v>418</v>
      </c>
      <c r="B96" t="s">
        <v>203</v>
      </c>
      <c r="C96" t="s">
        <v>204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s="108">
        <v>0</v>
      </c>
      <c r="M96" s="108">
        <v>1</v>
      </c>
      <c r="N96" s="123">
        <v>1</v>
      </c>
      <c r="O96" s="115">
        <v>1</v>
      </c>
      <c r="P96" s="108">
        <v>1</v>
      </c>
      <c r="Q96" s="108">
        <v>0</v>
      </c>
      <c r="R96" s="110">
        <v>0</v>
      </c>
      <c r="S96">
        <v>1</v>
      </c>
      <c r="T96">
        <v>2008</v>
      </c>
      <c r="U96">
        <v>6</v>
      </c>
      <c r="V96">
        <v>0</v>
      </c>
      <c r="W96" s="108">
        <f>VLOOKUP(A96,'pride covariates'!A$2:B$33,2,FALSE)</f>
        <v>1</v>
      </c>
      <c r="X96" s="108">
        <v>0</v>
      </c>
      <c r="Y96" s="108" t="str">
        <f t="shared" si="3"/>
        <v>/* ELI-159 */ 01000011 1 1 1 0 0 0 1;</v>
      </c>
      <c r="Z96" s="108" t="str">
        <f t="shared" si="4"/>
        <v>01000011</v>
      </c>
      <c r="AA96" s="108" t="str">
        <f t="shared" si="5"/>
        <v>/*ELI-159*/ 01000011 1;</v>
      </c>
    </row>
    <row r="97" spans="1:27" x14ac:dyDescent="0.35">
      <c r="A97" t="s">
        <v>360</v>
      </c>
      <c r="B97" t="s">
        <v>213</v>
      </c>
      <c r="C97" t="s">
        <v>214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 s="108">
        <v>0</v>
      </c>
      <c r="M97" s="108">
        <v>0</v>
      </c>
      <c r="N97" s="123">
        <v>1</v>
      </c>
      <c r="O97" s="108">
        <v>1</v>
      </c>
      <c r="P97" s="108">
        <v>1</v>
      </c>
      <c r="Q97" s="108">
        <v>0</v>
      </c>
      <c r="R97" s="110">
        <v>0</v>
      </c>
      <c r="S97">
        <v>1</v>
      </c>
      <c r="T97">
        <v>2008</v>
      </c>
      <c r="U97">
        <v>9</v>
      </c>
      <c r="V97">
        <v>6</v>
      </c>
      <c r="W97" s="108">
        <f>VLOOKUP(A97,'pride covariates'!A$2:B$33,2,FALSE)</f>
        <v>1</v>
      </c>
      <c r="X97" s="108">
        <v>0</v>
      </c>
      <c r="Y97" s="108" t="str">
        <f t="shared" si="3"/>
        <v>/* ELI-124 */ 00001001 1 1 1 0 0 6 1;</v>
      </c>
      <c r="Z97" s="108" t="str">
        <f t="shared" si="4"/>
        <v>00001001</v>
      </c>
      <c r="AA97" s="108" t="str">
        <f t="shared" si="5"/>
        <v>/*ELI-124*/ 00001001 1;</v>
      </c>
    </row>
    <row r="98" spans="1:27" x14ac:dyDescent="0.35">
      <c r="A98" t="s">
        <v>360</v>
      </c>
      <c r="B98" t="s">
        <v>215</v>
      </c>
      <c r="C98" t="s">
        <v>216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 s="108">
        <v>0</v>
      </c>
      <c r="M98" s="108">
        <v>0</v>
      </c>
      <c r="N98" s="123">
        <v>1</v>
      </c>
      <c r="O98" s="108">
        <v>1</v>
      </c>
      <c r="P98" s="108">
        <v>1</v>
      </c>
      <c r="Q98" s="108">
        <v>0</v>
      </c>
      <c r="R98" s="110">
        <v>0</v>
      </c>
      <c r="S98">
        <v>1</v>
      </c>
      <c r="T98">
        <v>2008</v>
      </c>
      <c r="U98">
        <v>9</v>
      </c>
      <c r="V98">
        <v>7</v>
      </c>
      <c r="W98" s="108">
        <f>VLOOKUP(A98,'pride covariates'!A$2:B$33,2,FALSE)</f>
        <v>1</v>
      </c>
      <c r="X98" s="108">
        <v>0</v>
      </c>
      <c r="Y98" s="108" t="str">
        <f t="shared" si="3"/>
        <v>/* ELI-125 */ 00001001 1 1 1 0 0 7 1;</v>
      </c>
      <c r="Z98" s="108" t="str">
        <f t="shared" si="4"/>
        <v>00001001</v>
      </c>
      <c r="AA98" s="108" t="str">
        <f t="shared" si="5"/>
        <v>/*ELI-125*/ 00001001 1;</v>
      </c>
    </row>
    <row r="99" spans="1:27" x14ac:dyDescent="0.35">
      <c r="A99" t="s">
        <v>360</v>
      </c>
      <c r="B99" t="s">
        <v>219</v>
      </c>
      <c r="C99" t="s">
        <v>220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 s="108">
        <v>0</v>
      </c>
      <c r="M99" s="108">
        <v>0</v>
      </c>
      <c r="N99" s="123">
        <v>1</v>
      </c>
      <c r="O99" s="108">
        <v>1</v>
      </c>
      <c r="P99" s="108">
        <v>1</v>
      </c>
      <c r="Q99" s="108">
        <v>0</v>
      </c>
      <c r="R99" s="110">
        <v>0</v>
      </c>
      <c r="S99">
        <v>1</v>
      </c>
      <c r="T99">
        <v>2008</v>
      </c>
      <c r="U99">
        <v>9</v>
      </c>
      <c r="V99">
        <v>3</v>
      </c>
      <c r="W99" s="108">
        <f>VLOOKUP(A99,'pride covariates'!A$2:B$33,2,FALSE)</f>
        <v>1</v>
      </c>
      <c r="X99" s="108">
        <v>0</v>
      </c>
      <c r="Y99" s="108" t="str">
        <f t="shared" si="3"/>
        <v>/* ELI-126 */ 00001001 1 1 1 0 0 3 1;</v>
      </c>
      <c r="Z99" s="108" t="str">
        <f t="shared" si="4"/>
        <v>00001001</v>
      </c>
      <c r="AA99" s="108" t="str">
        <f t="shared" si="5"/>
        <v>/*ELI-126*/ 00001001 1;</v>
      </c>
    </row>
    <row r="100" spans="1:27" x14ac:dyDescent="0.35">
      <c r="A100" t="s">
        <v>360</v>
      </c>
      <c r="B100" t="s">
        <v>221</v>
      </c>
      <c r="C100" t="s">
        <v>222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 s="108">
        <v>0</v>
      </c>
      <c r="M100" s="108">
        <v>0</v>
      </c>
      <c r="N100" s="123">
        <v>1</v>
      </c>
      <c r="O100" s="108">
        <v>1</v>
      </c>
      <c r="P100" s="108">
        <v>1</v>
      </c>
      <c r="Q100" s="108">
        <v>0</v>
      </c>
      <c r="R100" s="110">
        <v>0</v>
      </c>
      <c r="S100">
        <v>1</v>
      </c>
      <c r="T100">
        <v>2008</v>
      </c>
      <c r="U100">
        <v>9</v>
      </c>
      <c r="V100">
        <v>2</v>
      </c>
      <c r="W100" s="108">
        <f>VLOOKUP(A100,'pride covariates'!A$2:B$33,2,FALSE)</f>
        <v>1</v>
      </c>
      <c r="X100" s="108">
        <v>0</v>
      </c>
      <c r="Y100" s="108" t="str">
        <f t="shared" si="3"/>
        <v>/* ELI-127 */ 00001001 1 1 1 0 0 2 1;</v>
      </c>
      <c r="Z100" s="108" t="str">
        <f t="shared" si="4"/>
        <v>00001001</v>
      </c>
      <c r="AA100" s="108" t="str">
        <f t="shared" si="5"/>
        <v>/*ELI-127*/ 00001001 1;</v>
      </c>
    </row>
    <row r="101" spans="1:27" s="108" customFormat="1" x14ac:dyDescent="0.35">
      <c r="A101" s="108" t="s">
        <v>360</v>
      </c>
      <c r="B101" s="108" t="s">
        <v>360</v>
      </c>
      <c r="C101" s="108" t="s">
        <v>362</v>
      </c>
      <c r="D101" s="108">
        <v>0</v>
      </c>
      <c r="E101" s="108">
        <v>0</v>
      </c>
      <c r="F101" s="108">
        <v>0</v>
      </c>
      <c r="G101" s="108">
        <v>0</v>
      </c>
      <c r="H101" s="108">
        <v>0</v>
      </c>
      <c r="I101" s="108">
        <v>0</v>
      </c>
      <c r="J101" s="108">
        <v>0</v>
      </c>
      <c r="K101" s="108">
        <v>1</v>
      </c>
      <c r="L101" s="108">
        <v>1</v>
      </c>
      <c r="M101" s="108">
        <v>0</v>
      </c>
      <c r="N101" s="123">
        <v>1</v>
      </c>
      <c r="O101" s="108">
        <v>1</v>
      </c>
      <c r="P101" s="108">
        <v>1</v>
      </c>
      <c r="Q101" s="108">
        <v>1</v>
      </c>
      <c r="R101" s="108">
        <v>0</v>
      </c>
      <c r="S101" s="108">
        <v>1</v>
      </c>
      <c r="T101" s="108">
        <v>2013</v>
      </c>
      <c r="U101" s="108">
        <v>8</v>
      </c>
      <c r="V101" s="108">
        <v>0</v>
      </c>
      <c r="W101" s="108">
        <f>VLOOKUP(A101,'pride covariates'!A$2:B$33,2,FALSE)</f>
        <v>1</v>
      </c>
      <c r="X101" s="108">
        <v>1</v>
      </c>
      <c r="Y101" s="108" t="str">
        <f t="shared" si="3"/>
        <v>/* ELI-657 */ 00001101 1 1 1 0 1 0 1;</v>
      </c>
      <c r="Z101" s="108" t="str">
        <f t="shared" si="4"/>
        <v>00001101</v>
      </c>
      <c r="AA101" s="108" t="str">
        <f t="shared" si="5"/>
        <v>/*ELI-657*/ 00001101 1;</v>
      </c>
    </row>
    <row r="102" spans="1:27" s="108" customFormat="1" x14ac:dyDescent="0.35">
      <c r="A102" s="108" t="s">
        <v>360</v>
      </c>
      <c r="B102" s="108" t="s">
        <v>360</v>
      </c>
      <c r="C102" s="108" t="s">
        <v>363</v>
      </c>
      <c r="D102" s="108">
        <v>0</v>
      </c>
      <c r="E102" s="108">
        <v>0</v>
      </c>
      <c r="F102" s="108">
        <v>0</v>
      </c>
      <c r="G102" s="108">
        <v>0</v>
      </c>
      <c r="H102" s="108">
        <v>0</v>
      </c>
      <c r="I102" s="108">
        <v>0</v>
      </c>
      <c r="J102" s="108">
        <v>0</v>
      </c>
      <c r="K102" s="108">
        <v>0</v>
      </c>
      <c r="L102" s="108">
        <v>0</v>
      </c>
      <c r="M102" s="108">
        <v>0</v>
      </c>
      <c r="N102" s="123">
        <v>1</v>
      </c>
      <c r="O102" s="108">
        <v>1</v>
      </c>
      <c r="P102" s="108">
        <v>1</v>
      </c>
      <c r="Q102" s="108">
        <v>0</v>
      </c>
      <c r="R102" s="108">
        <v>0</v>
      </c>
      <c r="S102" s="108">
        <v>1</v>
      </c>
      <c r="T102" s="108">
        <v>2013</v>
      </c>
      <c r="U102" s="108">
        <v>11</v>
      </c>
      <c r="V102" s="108">
        <v>1</v>
      </c>
      <c r="W102" s="108">
        <f>VLOOKUP(A102,'pride covariates'!A$2:B$33,2,FALSE)</f>
        <v>1</v>
      </c>
      <c r="X102" s="108">
        <v>0</v>
      </c>
      <c r="Y102" s="108" t="str">
        <f t="shared" si="3"/>
        <v>/* ELI-658 */ 00000001 1 1 1 0 0 1 1;</v>
      </c>
      <c r="Z102" s="108" t="str">
        <f t="shared" si="4"/>
        <v>00000001</v>
      </c>
      <c r="AA102" s="108" t="str">
        <f t="shared" si="5"/>
        <v>/*ELI-658*/ 00000001 1;</v>
      </c>
    </row>
    <row r="103" spans="1:27" s="108" customFormat="1" x14ac:dyDescent="0.35">
      <c r="A103" s="108" t="s">
        <v>360</v>
      </c>
      <c r="B103" s="108" t="s">
        <v>360</v>
      </c>
      <c r="C103" s="108" t="s">
        <v>364</v>
      </c>
      <c r="D103" s="108">
        <v>0</v>
      </c>
      <c r="E103" s="108">
        <v>0</v>
      </c>
      <c r="F103" s="108">
        <v>0</v>
      </c>
      <c r="G103" s="108">
        <v>0</v>
      </c>
      <c r="H103" s="108">
        <v>0</v>
      </c>
      <c r="I103" s="108">
        <v>0</v>
      </c>
      <c r="J103" s="108">
        <v>0</v>
      </c>
      <c r="K103" s="108">
        <v>1</v>
      </c>
      <c r="L103" s="108">
        <v>0</v>
      </c>
      <c r="M103" s="108">
        <v>0</v>
      </c>
      <c r="N103" s="123">
        <v>1</v>
      </c>
      <c r="O103" s="108">
        <v>1</v>
      </c>
      <c r="P103" s="108">
        <v>1</v>
      </c>
      <c r="Q103" s="108">
        <v>0</v>
      </c>
      <c r="R103" s="108">
        <v>0</v>
      </c>
      <c r="S103" s="108">
        <v>1</v>
      </c>
      <c r="T103" s="108">
        <v>2013</v>
      </c>
      <c r="U103" s="108">
        <v>8</v>
      </c>
      <c r="V103" s="108">
        <v>0</v>
      </c>
      <c r="W103" s="108">
        <f>VLOOKUP(A103,'pride covariates'!A$2:B$33,2,FALSE)</f>
        <v>1</v>
      </c>
      <c r="X103" s="108">
        <v>0</v>
      </c>
      <c r="Y103" s="108" t="str">
        <f t="shared" si="3"/>
        <v>/* ELI-659 */ 00001001 1 1 1 0 0 0 1;</v>
      </c>
      <c r="Z103" s="108" t="str">
        <f t="shared" si="4"/>
        <v>00001001</v>
      </c>
      <c r="AA103" s="108" t="str">
        <f t="shared" si="5"/>
        <v>/*ELI-659*/ 00001001 1;</v>
      </c>
    </row>
    <row r="104" spans="1:27" s="108" customFormat="1" x14ac:dyDescent="0.35">
      <c r="A104" s="108" t="s">
        <v>360</v>
      </c>
      <c r="B104" s="108" t="s">
        <v>360</v>
      </c>
      <c r="C104" s="108" t="s">
        <v>365</v>
      </c>
      <c r="D104" s="108">
        <v>0</v>
      </c>
      <c r="E104" s="108">
        <v>0</v>
      </c>
      <c r="F104" s="108">
        <v>0</v>
      </c>
      <c r="G104" s="108">
        <v>0</v>
      </c>
      <c r="H104" s="108">
        <v>0</v>
      </c>
      <c r="I104" s="108">
        <v>0</v>
      </c>
      <c r="J104" s="108">
        <v>0</v>
      </c>
      <c r="K104" s="108">
        <v>1</v>
      </c>
      <c r="L104" s="108">
        <v>0</v>
      </c>
      <c r="M104" s="108">
        <v>0</v>
      </c>
      <c r="N104" s="123">
        <v>1</v>
      </c>
      <c r="O104" s="108">
        <v>1</v>
      </c>
      <c r="P104" s="108">
        <v>1</v>
      </c>
      <c r="Q104" s="108">
        <v>0</v>
      </c>
      <c r="R104" s="108">
        <v>0</v>
      </c>
      <c r="S104" s="108">
        <v>1</v>
      </c>
      <c r="T104" s="108">
        <v>2013</v>
      </c>
      <c r="U104" s="108">
        <v>8</v>
      </c>
      <c r="V104" s="108">
        <v>0</v>
      </c>
      <c r="W104" s="108">
        <f>VLOOKUP(A104,'pride covariates'!A$2:B$33,2,FALSE)</f>
        <v>1</v>
      </c>
      <c r="X104" s="108">
        <v>0</v>
      </c>
      <c r="Y104" s="108" t="str">
        <f t="shared" si="3"/>
        <v>/* ELI-660 */ 00001001 1 1 1 0 0 0 1;</v>
      </c>
      <c r="Z104" s="108" t="str">
        <f t="shared" si="4"/>
        <v>00001001</v>
      </c>
      <c r="AA104" s="108" t="str">
        <f t="shared" si="5"/>
        <v>/*ELI-660*/ 00001001 1;</v>
      </c>
    </row>
    <row r="105" spans="1:27" s="108" customFormat="1" x14ac:dyDescent="0.35">
      <c r="A105" s="108" t="s">
        <v>360</v>
      </c>
      <c r="B105" s="108" t="s">
        <v>360</v>
      </c>
      <c r="C105" s="108" t="s">
        <v>366</v>
      </c>
      <c r="D105" s="108">
        <v>0</v>
      </c>
      <c r="E105" s="108">
        <v>0</v>
      </c>
      <c r="F105" s="108">
        <v>0</v>
      </c>
      <c r="G105" s="108">
        <v>0</v>
      </c>
      <c r="H105" s="108">
        <v>0</v>
      </c>
      <c r="I105" s="108">
        <v>0</v>
      </c>
      <c r="J105" s="108">
        <v>0</v>
      </c>
      <c r="K105" s="108">
        <v>1</v>
      </c>
      <c r="L105" s="108">
        <v>0</v>
      </c>
      <c r="M105" s="108">
        <v>0</v>
      </c>
      <c r="N105" s="123">
        <v>1</v>
      </c>
      <c r="O105" s="108">
        <v>1</v>
      </c>
      <c r="P105" s="108">
        <v>1</v>
      </c>
      <c r="Q105" s="108">
        <v>0</v>
      </c>
      <c r="R105" s="108">
        <v>0</v>
      </c>
      <c r="S105" s="108">
        <v>1</v>
      </c>
      <c r="T105" s="108">
        <v>2013</v>
      </c>
      <c r="U105" s="108">
        <v>8</v>
      </c>
      <c r="V105" s="108">
        <v>0</v>
      </c>
      <c r="W105" s="108">
        <f>VLOOKUP(A105,'pride covariates'!A$2:B$33,2,FALSE)</f>
        <v>1</v>
      </c>
      <c r="X105" s="108">
        <v>0</v>
      </c>
      <c r="Y105" s="108" t="str">
        <f t="shared" si="3"/>
        <v>/* ELI-661 */ 00001001 1 1 1 0 0 0 1;</v>
      </c>
      <c r="Z105" s="108" t="str">
        <f t="shared" si="4"/>
        <v>00001001</v>
      </c>
      <c r="AA105" s="108" t="str">
        <f t="shared" si="5"/>
        <v>/*ELI-661*/ 00001001 1;</v>
      </c>
    </row>
    <row r="106" spans="1:27" s="108" customFormat="1" x14ac:dyDescent="0.35">
      <c r="A106" s="108" t="s">
        <v>360</v>
      </c>
      <c r="B106" s="108" t="s">
        <v>360</v>
      </c>
      <c r="C106" s="108" t="s">
        <v>367</v>
      </c>
      <c r="D106" s="108">
        <v>0</v>
      </c>
      <c r="E106" s="108">
        <v>0</v>
      </c>
      <c r="F106" s="108">
        <v>0</v>
      </c>
      <c r="G106" s="108">
        <v>0</v>
      </c>
      <c r="H106" s="108">
        <v>0</v>
      </c>
      <c r="I106" s="108">
        <v>0</v>
      </c>
      <c r="J106" s="108">
        <v>0</v>
      </c>
      <c r="K106" s="108">
        <v>1</v>
      </c>
      <c r="L106" s="108">
        <v>0</v>
      </c>
      <c r="M106" s="108">
        <v>0</v>
      </c>
      <c r="N106" s="123">
        <v>1</v>
      </c>
      <c r="O106" s="108">
        <v>1</v>
      </c>
      <c r="P106" s="108">
        <v>1</v>
      </c>
      <c r="Q106" s="108">
        <v>0</v>
      </c>
      <c r="R106" s="108">
        <v>0</v>
      </c>
      <c r="S106" s="108">
        <v>1</v>
      </c>
      <c r="T106" s="108">
        <v>2013</v>
      </c>
      <c r="U106" s="108">
        <v>8</v>
      </c>
      <c r="V106" s="108">
        <v>0</v>
      </c>
      <c r="W106" s="108">
        <f>VLOOKUP(A106,'pride covariates'!A$2:B$33,2,FALSE)</f>
        <v>1</v>
      </c>
      <c r="X106" s="108">
        <v>0</v>
      </c>
      <c r="Y106" s="108" t="str">
        <f t="shared" si="3"/>
        <v>/* ELI-662 */ 00001001 1 1 1 0 0 0 1;</v>
      </c>
      <c r="Z106" s="108" t="str">
        <f t="shared" si="4"/>
        <v>00001001</v>
      </c>
      <c r="AA106" s="108" t="str">
        <f t="shared" si="5"/>
        <v>/*ELI-662*/ 00001001 1;</v>
      </c>
    </row>
    <row r="107" spans="1:27" s="108" customFormat="1" x14ac:dyDescent="0.35">
      <c r="A107" s="108" t="s">
        <v>360</v>
      </c>
      <c r="B107" s="108" t="s">
        <v>360</v>
      </c>
      <c r="C107" s="108" t="s">
        <v>368</v>
      </c>
      <c r="D107" s="108">
        <v>0</v>
      </c>
      <c r="E107" s="108">
        <v>0</v>
      </c>
      <c r="F107" s="108">
        <v>0</v>
      </c>
      <c r="G107" s="108">
        <v>0</v>
      </c>
      <c r="H107" s="108">
        <v>0</v>
      </c>
      <c r="I107" s="108">
        <v>0</v>
      </c>
      <c r="J107" s="108">
        <v>0</v>
      </c>
      <c r="K107" s="108">
        <v>1</v>
      </c>
      <c r="L107" s="108">
        <v>0</v>
      </c>
      <c r="M107" s="108">
        <v>0</v>
      </c>
      <c r="N107" s="123">
        <v>1</v>
      </c>
      <c r="O107" s="108">
        <v>1</v>
      </c>
      <c r="P107" s="108">
        <v>1</v>
      </c>
      <c r="Q107" s="108">
        <v>1</v>
      </c>
      <c r="R107" s="108">
        <v>0</v>
      </c>
      <c r="S107" s="108">
        <v>1</v>
      </c>
      <c r="T107" s="108">
        <v>2013</v>
      </c>
      <c r="U107" s="108">
        <v>8</v>
      </c>
      <c r="V107" s="108">
        <v>2</v>
      </c>
      <c r="W107" s="108">
        <f>VLOOKUP(A107,'pride covariates'!A$2:B$33,2,FALSE)</f>
        <v>1</v>
      </c>
      <c r="X107" s="108">
        <v>1</v>
      </c>
      <c r="Y107" s="108" t="str">
        <f t="shared" si="3"/>
        <v>/* ELI-663 */ 00001001 1 1 1 0 1 2 1;</v>
      </c>
      <c r="Z107" s="108" t="str">
        <f t="shared" si="4"/>
        <v>00001001</v>
      </c>
      <c r="AA107" s="108" t="str">
        <f t="shared" si="5"/>
        <v>/*ELI-663*/ 00001001 1;</v>
      </c>
    </row>
    <row r="108" spans="1:27" s="108" customFormat="1" x14ac:dyDescent="0.35">
      <c r="A108" s="108" t="s">
        <v>360</v>
      </c>
      <c r="B108" s="108" t="s">
        <v>360</v>
      </c>
      <c r="C108" s="108" t="s">
        <v>369</v>
      </c>
      <c r="D108" s="108">
        <v>0</v>
      </c>
      <c r="E108" s="108">
        <v>0</v>
      </c>
      <c r="F108" s="108">
        <v>0</v>
      </c>
      <c r="G108" s="108">
        <v>0</v>
      </c>
      <c r="H108" s="108">
        <v>0</v>
      </c>
      <c r="I108" s="108">
        <v>0</v>
      </c>
      <c r="J108" s="108">
        <v>0</v>
      </c>
      <c r="K108" s="108">
        <v>1</v>
      </c>
      <c r="L108" s="108">
        <v>0</v>
      </c>
      <c r="M108" s="108">
        <v>0</v>
      </c>
      <c r="N108" s="123">
        <v>1</v>
      </c>
      <c r="O108" s="108">
        <v>1</v>
      </c>
      <c r="P108" s="108">
        <v>1</v>
      </c>
      <c r="Q108" s="108">
        <v>1</v>
      </c>
      <c r="R108" s="108">
        <v>0</v>
      </c>
      <c r="S108" s="108">
        <v>1</v>
      </c>
      <c r="T108" s="108">
        <v>2013</v>
      </c>
      <c r="U108" s="108">
        <v>8</v>
      </c>
      <c r="V108" s="108">
        <v>1</v>
      </c>
      <c r="W108" s="108">
        <f>VLOOKUP(A108,'pride covariates'!A$2:B$33,2,FALSE)</f>
        <v>1</v>
      </c>
      <c r="X108" s="108">
        <v>1</v>
      </c>
      <c r="Y108" s="108" t="str">
        <f t="shared" si="3"/>
        <v>/* ELI-664 */ 00001001 1 1 1 0 1 1 1;</v>
      </c>
      <c r="Z108" s="108" t="str">
        <f t="shared" si="4"/>
        <v>00001001</v>
      </c>
      <c r="AA108" s="108" t="str">
        <f t="shared" si="5"/>
        <v>/*ELI-664*/ 00001001 1;</v>
      </c>
    </row>
    <row r="109" spans="1:27" s="108" customFormat="1" x14ac:dyDescent="0.35">
      <c r="A109" s="108" t="s">
        <v>360</v>
      </c>
      <c r="B109" s="108" t="s">
        <v>360</v>
      </c>
      <c r="C109" s="108" t="s">
        <v>370</v>
      </c>
      <c r="D109" s="108">
        <v>0</v>
      </c>
      <c r="E109" s="108">
        <v>0</v>
      </c>
      <c r="F109" s="108">
        <v>0</v>
      </c>
      <c r="G109" s="108">
        <v>0</v>
      </c>
      <c r="H109" s="108">
        <v>0</v>
      </c>
      <c r="I109" s="108">
        <v>0</v>
      </c>
      <c r="J109" s="108">
        <v>0</v>
      </c>
      <c r="K109" s="108">
        <v>1</v>
      </c>
      <c r="L109" s="108">
        <v>0</v>
      </c>
      <c r="M109" s="108">
        <v>0</v>
      </c>
      <c r="N109" s="123">
        <v>1</v>
      </c>
      <c r="O109" s="108">
        <v>1</v>
      </c>
      <c r="P109" s="108">
        <v>1</v>
      </c>
      <c r="Q109" s="108">
        <v>1</v>
      </c>
      <c r="R109" s="108">
        <v>0</v>
      </c>
      <c r="S109" s="108">
        <v>1</v>
      </c>
      <c r="T109" s="108">
        <v>2013</v>
      </c>
      <c r="U109" s="108">
        <v>8</v>
      </c>
      <c r="V109" s="108">
        <v>2</v>
      </c>
      <c r="W109" s="108">
        <f>VLOOKUP(A109,'pride covariates'!A$2:B$33,2,FALSE)</f>
        <v>1</v>
      </c>
      <c r="X109" s="108">
        <v>1</v>
      </c>
      <c r="Y109" s="108" t="str">
        <f t="shared" si="3"/>
        <v>/* ELI-665 */ 00001001 1 1 1 0 1 2 1;</v>
      </c>
      <c r="Z109" s="108" t="str">
        <f t="shared" si="4"/>
        <v>00001001</v>
      </c>
      <c r="AA109" s="108" t="str">
        <f t="shared" si="5"/>
        <v>/*ELI-665*/ 00001001 1;</v>
      </c>
    </row>
    <row r="110" spans="1:27" s="108" customFormat="1" x14ac:dyDescent="0.35">
      <c r="A110" s="108" t="s">
        <v>360</v>
      </c>
      <c r="B110" s="108" t="s">
        <v>360</v>
      </c>
      <c r="C110" s="108" t="s">
        <v>371</v>
      </c>
      <c r="D110" s="108">
        <v>0</v>
      </c>
      <c r="E110" s="108">
        <v>0</v>
      </c>
      <c r="F110" s="108">
        <v>0</v>
      </c>
      <c r="G110" s="108">
        <v>0</v>
      </c>
      <c r="H110" s="108">
        <v>0</v>
      </c>
      <c r="I110" s="108">
        <v>0</v>
      </c>
      <c r="J110" s="108">
        <v>0</v>
      </c>
      <c r="K110" s="108">
        <v>0</v>
      </c>
      <c r="L110" s="108">
        <v>0</v>
      </c>
      <c r="M110" s="108">
        <v>0</v>
      </c>
      <c r="N110" s="123">
        <v>1</v>
      </c>
      <c r="O110" s="108">
        <v>1</v>
      </c>
      <c r="P110" s="108">
        <v>1</v>
      </c>
      <c r="Q110" s="108">
        <v>1</v>
      </c>
      <c r="R110" s="108">
        <v>0</v>
      </c>
      <c r="S110" s="108">
        <v>1</v>
      </c>
      <c r="T110" s="108">
        <v>2013</v>
      </c>
      <c r="U110" s="108">
        <v>11</v>
      </c>
      <c r="V110" s="108">
        <v>1</v>
      </c>
      <c r="W110" s="108">
        <f>VLOOKUP(A110,'pride covariates'!A$2:B$33,2,FALSE)</f>
        <v>1</v>
      </c>
      <c r="X110" s="108">
        <v>1</v>
      </c>
      <c r="Y110" s="108" t="str">
        <f t="shared" si="3"/>
        <v>/* ELI-666 */ 00000001 1 1 1 0 1 1 1;</v>
      </c>
      <c r="Z110" s="108" t="str">
        <f t="shared" si="4"/>
        <v>00000001</v>
      </c>
      <c r="AA110" s="108" t="str">
        <f t="shared" si="5"/>
        <v>/*ELI-666*/ 00000001 1;</v>
      </c>
    </row>
    <row r="111" spans="1:27" s="108" customFormat="1" x14ac:dyDescent="0.35">
      <c r="A111" s="108" t="s">
        <v>360</v>
      </c>
      <c r="B111" s="108" t="s">
        <v>360</v>
      </c>
      <c r="C111" s="108" t="s">
        <v>372</v>
      </c>
      <c r="D111" s="108">
        <v>0</v>
      </c>
      <c r="E111" s="108">
        <v>0</v>
      </c>
      <c r="F111" s="108">
        <v>0</v>
      </c>
      <c r="G111" s="108">
        <v>0</v>
      </c>
      <c r="H111" s="108">
        <v>0</v>
      </c>
      <c r="I111" s="108">
        <v>0</v>
      </c>
      <c r="J111" s="108">
        <v>0</v>
      </c>
      <c r="K111" s="108">
        <v>0</v>
      </c>
      <c r="L111" s="108">
        <v>0</v>
      </c>
      <c r="M111" s="108">
        <v>0</v>
      </c>
      <c r="N111" s="123">
        <v>1</v>
      </c>
      <c r="O111" s="108">
        <v>1</v>
      </c>
      <c r="P111" s="108">
        <v>1</v>
      </c>
      <c r="Q111" s="108">
        <v>0</v>
      </c>
      <c r="R111" s="108">
        <v>0</v>
      </c>
      <c r="S111" s="108">
        <v>1</v>
      </c>
      <c r="T111" s="108">
        <v>2013</v>
      </c>
      <c r="U111" s="108">
        <v>11</v>
      </c>
      <c r="V111" s="108">
        <v>12</v>
      </c>
      <c r="W111" s="108">
        <f>VLOOKUP(A111,'pride covariates'!A$2:B$33,2,FALSE)</f>
        <v>1</v>
      </c>
      <c r="X111" s="108">
        <v>0</v>
      </c>
      <c r="Y111" s="108" t="str">
        <f t="shared" si="3"/>
        <v>/* ELI-697 */ 00000001 1 1 1 0 0 12 1;</v>
      </c>
      <c r="Z111" s="108" t="str">
        <f t="shared" si="4"/>
        <v>00000001</v>
      </c>
      <c r="AA111" s="108" t="str">
        <f t="shared" si="5"/>
        <v>/*ELI-697*/ 00000001 1;</v>
      </c>
    </row>
    <row r="112" spans="1:27" x14ac:dyDescent="0.35">
      <c r="A112" t="s">
        <v>360</v>
      </c>
      <c r="B112" t="s">
        <v>481</v>
      </c>
      <c r="C112" t="s">
        <v>232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s="108">
        <v>1</v>
      </c>
      <c r="M112" s="108">
        <v>0</v>
      </c>
      <c r="N112" s="123">
        <v>1</v>
      </c>
      <c r="O112" s="108">
        <v>1</v>
      </c>
      <c r="P112" s="108">
        <v>1</v>
      </c>
      <c r="Q112" s="108">
        <v>0</v>
      </c>
      <c r="R112" s="110">
        <v>0</v>
      </c>
      <c r="S112">
        <v>1</v>
      </c>
      <c r="T112">
        <v>2008</v>
      </c>
      <c r="U112">
        <v>10</v>
      </c>
      <c r="V112">
        <v>5</v>
      </c>
      <c r="W112" s="108">
        <f>VLOOKUP(A112,'pride covariates'!A$2:B$33,2,FALSE)</f>
        <v>1</v>
      </c>
      <c r="X112" s="108">
        <v>0</v>
      </c>
      <c r="Y112" s="108" t="str">
        <f t="shared" si="3"/>
        <v>/* ELI-138 */ 00001101 1 1 1 0 0 5 1;</v>
      </c>
      <c r="Z112" s="108" t="str">
        <f t="shared" si="4"/>
        <v>00001101</v>
      </c>
      <c r="AA112" s="108" t="str">
        <f t="shared" si="5"/>
        <v>/*ELI-138*/ 00001101 1;</v>
      </c>
    </row>
    <row r="113" spans="1:27" x14ac:dyDescent="0.35">
      <c r="A113" t="s">
        <v>416</v>
      </c>
      <c r="B113" t="s">
        <v>225</v>
      </c>
      <c r="C113" t="s">
        <v>226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08">
        <v>1</v>
      </c>
      <c r="M113" s="108">
        <v>0</v>
      </c>
      <c r="N113" s="123">
        <v>0</v>
      </c>
      <c r="O113" s="108">
        <v>0</v>
      </c>
      <c r="P113" s="108">
        <v>1</v>
      </c>
      <c r="Q113" s="108">
        <v>0</v>
      </c>
      <c r="R113" s="110">
        <v>0</v>
      </c>
      <c r="S113">
        <v>1</v>
      </c>
      <c r="T113">
        <v>2008</v>
      </c>
      <c r="U113">
        <v>10</v>
      </c>
      <c r="V113">
        <v>3</v>
      </c>
      <c r="W113" s="108">
        <f>VLOOKUP(A113,'pride covariates'!A$2:B$33,2,FALSE)</f>
        <v>0</v>
      </c>
      <c r="X113" s="108">
        <v>0</v>
      </c>
      <c r="Y113" s="108" t="str">
        <f t="shared" si="3"/>
        <v>/* ELI-134 */ 00000100 1 1 1 0 0 3 0;</v>
      </c>
      <c r="Z113" s="108" t="str">
        <f t="shared" si="4"/>
        <v>00000100</v>
      </c>
      <c r="AA113" s="108" t="str">
        <f t="shared" si="5"/>
        <v>/*ELI-134*/ 00000100 1;</v>
      </c>
    </row>
    <row r="114" spans="1:27" x14ac:dyDescent="0.35">
      <c r="A114" t="s">
        <v>416</v>
      </c>
      <c r="B114" t="s">
        <v>227</v>
      </c>
      <c r="C114" t="s">
        <v>228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08">
        <v>1</v>
      </c>
      <c r="M114" s="108">
        <v>0</v>
      </c>
      <c r="N114" s="123">
        <v>0</v>
      </c>
      <c r="O114" s="108">
        <v>0</v>
      </c>
      <c r="P114" s="108">
        <v>1</v>
      </c>
      <c r="Q114" s="108">
        <v>0</v>
      </c>
      <c r="R114" s="110">
        <v>0</v>
      </c>
      <c r="S114">
        <v>1</v>
      </c>
      <c r="T114">
        <v>2008</v>
      </c>
      <c r="U114">
        <v>10</v>
      </c>
      <c r="V114">
        <v>2</v>
      </c>
      <c r="W114" s="108">
        <f>VLOOKUP(A114,'pride covariates'!A$2:B$33,2,FALSE)</f>
        <v>0</v>
      </c>
      <c r="X114" s="108">
        <v>0</v>
      </c>
      <c r="Y114" s="108" t="str">
        <f t="shared" si="3"/>
        <v>/* ELI-135 */ 00000100 1 1 1 0 0 2 0;</v>
      </c>
      <c r="Z114" s="108" t="str">
        <f t="shared" si="4"/>
        <v>00000100</v>
      </c>
      <c r="AA114" s="108" t="str">
        <f t="shared" si="5"/>
        <v>/*ELI-135*/ 00000100 1;</v>
      </c>
    </row>
    <row r="115" spans="1:27" x14ac:dyDescent="0.35">
      <c r="A115" t="s">
        <v>416</v>
      </c>
      <c r="B115" t="s">
        <v>229</v>
      </c>
      <c r="C115" t="s">
        <v>230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08">
        <v>1</v>
      </c>
      <c r="M115" s="108">
        <v>0</v>
      </c>
      <c r="N115" s="123">
        <v>0</v>
      </c>
      <c r="O115" s="108">
        <v>0</v>
      </c>
      <c r="P115" s="108">
        <v>1</v>
      </c>
      <c r="Q115" s="108">
        <v>0</v>
      </c>
      <c r="R115" s="110">
        <v>0</v>
      </c>
      <c r="S115">
        <v>1</v>
      </c>
      <c r="T115">
        <v>2008</v>
      </c>
      <c r="U115">
        <v>10</v>
      </c>
      <c r="V115">
        <v>6</v>
      </c>
      <c r="W115" s="108">
        <f>VLOOKUP(A115,'pride covariates'!A$2:B$33,2,FALSE)</f>
        <v>0</v>
      </c>
      <c r="X115" s="108">
        <v>0</v>
      </c>
      <c r="Y115" s="108" t="str">
        <f t="shared" si="3"/>
        <v>/* ELI-136 */ 00000100 1 1 1 0 0 6 0;</v>
      </c>
      <c r="Z115" s="108" t="str">
        <f t="shared" si="4"/>
        <v>00000100</v>
      </c>
      <c r="AA115" s="108" t="str">
        <f t="shared" si="5"/>
        <v>/*ELI-136*/ 00000100 1;</v>
      </c>
    </row>
    <row r="116" spans="1:27" x14ac:dyDescent="0.35">
      <c r="A116" t="s">
        <v>416</v>
      </c>
      <c r="B116" t="s">
        <v>233</v>
      </c>
      <c r="C116" t="s">
        <v>234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08">
        <v>1</v>
      </c>
      <c r="M116" s="108">
        <v>0</v>
      </c>
      <c r="N116" s="123">
        <v>0</v>
      </c>
      <c r="O116" s="108">
        <v>0</v>
      </c>
      <c r="P116" s="108">
        <v>1</v>
      </c>
      <c r="Q116" s="108">
        <v>0</v>
      </c>
      <c r="R116" s="110">
        <v>0</v>
      </c>
      <c r="S116">
        <v>1</v>
      </c>
      <c r="T116">
        <v>2008</v>
      </c>
      <c r="U116">
        <v>10</v>
      </c>
      <c r="V116">
        <v>3</v>
      </c>
      <c r="W116" s="108">
        <f>VLOOKUP(A116,'pride covariates'!A$2:B$33,2,FALSE)</f>
        <v>0</v>
      </c>
      <c r="X116" s="108">
        <v>0</v>
      </c>
      <c r="Y116" s="108" t="str">
        <f t="shared" si="3"/>
        <v>/* ELI-139 */ 00000100 1 1 1 0 0 3 0;</v>
      </c>
      <c r="Z116" s="108" t="str">
        <f t="shared" si="4"/>
        <v>00000100</v>
      </c>
      <c r="AA116" s="108" t="str">
        <f t="shared" si="5"/>
        <v>/*ELI-139*/ 00000100 1;</v>
      </c>
    </row>
    <row r="117" spans="1:27" s="108" customFormat="1" x14ac:dyDescent="0.35">
      <c r="A117" s="108" t="s">
        <v>416</v>
      </c>
      <c r="B117" s="108" t="s">
        <v>440</v>
      </c>
      <c r="C117" s="114" t="s">
        <v>490</v>
      </c>
      <c r="D117" s="108">
        <v>0</v>
      </c>
      <c r="E117" s="108">
        <v>0</v>
      </c>
      <c r="F117" s="108">
        <v>0</v>
      </c>
      <c r="G117" s="108">
        <v>0</v>
      </c>
      <c r="H117" s="108">
        <v>0</v>
      </c>
      <c r="I117" s="108">
        <v>0</v>
      </c>
      <c r="J117" s="108">
        <v>0</v>
      </c>
      <c r="K117" s="108">
        <v>1</v>
      </c>
      <c r="L117" s="108">
        <v>1</v>
      </c>
      <c r="M117" s="108">
        <v>0</v>
      </c>
      <c r="N117" s="123">
        <v>0</v>
      </c>
      <c r="O117" s="108">
        <v>0</v>
      </c>
      <c r="P117" s="108">
        <v>1</v>
      </c>
      <c r="Q117" s="108">
        <v>0</v>
      </c>
      <c r="R117" s="108">
        <v>0</v>
      </c>
      <c r="S117" s="108">
        <v>1</v>
      </c>
      <c r="T117" s="108">
        <v>2013</v>
      </c>
      <c r="U117" s="108">
        <v>8</v>
      </c>
      <c r="V117" s="108">
        <v>0</v>
      </c>
      <c r="W117" s="108">
        <f>VLOOKUP(A117,'pride covariates'!A$2:B$33,2,FALSE)</f>
        <v>0</v>
      </c>
      <c r="X117" s="108">
        <v>0</v>
      </c>
      <c r="Y117" s="108" t="str">
        <f t="shared" si="3"/>
        <v>/* ELI-647 */ 00001100 1 1 1 0 0 0 0;</v>
      </c>
      <c r="Z117" s="108" t="str">
        <f t="shared" si="4"/>
        <v>00001100</v>
      </c>
      <c r="AA117" s="108" t="str">
        <f t="shared" si="5"/>
        <v>/*ELI-647*/ 00001100 1;</v>
      </c>
    </row>
    <row r="118" spans="1:27" s="108" customFormat="1" x14ac:dyDescent="0.35">
      <c r="A118" s="108" t="s">
        <v>416</v>
      </c>
      <c r="B118" s="108" t="s">
        <v>441</v>
      </c>
      <c r="C118" s="114" t="s">
        <v>491</v>
      </c>
      <c r="D118" s="108">
        <v>0</v>
      </c>
      <c r="E118" s="108">
        <v>0</v>
      </c>
      <c r="F118" s="108">
        <v>0</v>
      </c>
      <c r="G118" s="108">
        <v>0</v>
      </c>
      <c r="H118" s="108">
        <v>0</v>
      </c>
      <c r="I118" s="108">
        <v>0</v>
      </c>
      <c r="J118" s="108">
        <v>0</v>
      </c>
      <c r="K118" s="108">
        <v>1</v>
      </c>
      <c r="L118" s="108">
        <v>0</v>
      </c>
      <c r="M118" s="108">
        <v>0</v>
      </c>
      <c r="N118" s="123">
        <v>0</v>
      </c>
      <c r="O118" s="108">
        <v>0</v>
      </c>
      <c r="P118" s="108">
        <v>0</v>
      </c>
      <c r="Q118" s="108" t="s">
        <v>478</v>
      </c>
      <c r="R118" s="108">
        <v>1</v>
      </c>
      <c r="S118" s="108">
        <v>1</v>
      </c>
      <c r="T118" s="108">
        <v>2013</v>
      </c>
      <c r="U118" s="108">
        <v>8</v>
      </c>
      <c r="V118" s="108">
        <v>0</v>
      </c>
      <c r="W118" s="108">
        <f>VLOOKUP(A118,'pride covariates'!A$2:B$33,2,FALSE)</f>
        <v>0</v>
      </c>
      <c r="X118" s="108">
        <v>0</v>
      </c>
      <c r="Y118" s="108" t="str">
        <f t="shared" si="3"/>
        <v>/* ELI-648 */ 00001000 1 0 1 1 0 0 0;</v>
      </c>
      <c r="Z118" s="108" t="str">
        <f t="shared" si="4"/>
        <v>00001000</v>
      </c>
      <c r="AA118" s="108" t="str">
        <f t="shared" si="5"/>
        <v>/*ELI-648*/ 00001000 1;</v>
      </c>
    </row>
    <row r="119" spans="1:27" s="108" customFormat="1" x14ac:dyDescent="0.35">
      <c r="A119" s="108" t="s">
        <v>416</v>
      </c>
      <c r="B119" s="108" t="s">
        <v>442</v>
      </c>
      <c r="C119" s="114" t="s">
        <v>492</v>
      </c>
      <c r="D119" s="108">
        <v>0</v>
      </c>
      <c r="E119" s="108">
        <v>0</v>
      </c>
      <c r="F119" s="108">
        <v>0</v>
      </c>
      <c r="G119" s="108">
        <v>0</v>
      </c>
      <c r="H119" s="108">
        <v>0</v>
      </c>
      <c r="I119" s="108">
        <v>0</v>
      </c>
      <c r="J119" s="108">
        <v>0</v>
      </c>
      <c r="K119" s="108">
        <v>1</v>
      </c>
      <c r="L119" s="108">
        <v>0</v>
      </c>
      <c r="M119" s="108">
        <v>0</v>
      </c>
      <c r="N119" s="123">
        <v>0</v>
      </c>
      <c r="O119" s="108">
        <v>0</v>
      </c>
      <c r="P119" s="108">
        <v>0</v>
      </c>
      <c r="Q119" s="108" t="s">
        <v>478</v>
      </c>
      <c r="R119" s="108">
        <v>1</v>
      </c>
      <c r="S119" s="108">
        <v>1</v>
      </c>
      <c r="T119" s="108">
        <v>2013</v>
      </c>
      <c r="U119" s="108">
        <v>8</v>
      </c>
      <c r="V119" s="108">
        <v>0</v>
      </c>
      <c r="W119" s="108">
        <f>VLOOKUP(A119,'pride covariates'!A$2:B$33,2,FALSE)</f>
        <v>0</v>
      </c>
      <c r="X119" s="108">
        <v>1</v>
      </c>
      <c r="Y119" s="108" t="str">
        <f t="shared" si="3"/>
        <v>/* ELI-649 */ 00001000 1 0 1 1 1 0 0;</v>
      </c>
      <c r="Z119" s="108" t="str">
        <f t="shared" si="4"/>
        <v>00001000</v>
      </c>
      <c r="AA119" s="108" t="str">
        <f t="shared" si="5"/>
        <v>/*ELI-649*/ 00001000 1;</v>
      </c>
    </row>
    <row r="120" spans="1:27" s="108" customFormat="1" x14ac:dyDescent="0.35">
      <c r="A120" s="108" t="s">
        <v>416</v>
      </c>
      <c r="B120" s="108" t="s">
        <v>443</v>
      </c>
      <c r="C120" s="114" t="s">
        <v>493</v>
      </c>
      <c r="D120" s="108">
        <v>0</v>
      </c>
      <c r="E120" s="108">
        <v>0</v>
      </c>
      <c r="F120" s="108">
        <v>0</v>
      </c>
      <c r="G120" s="108">
        <v>0</v>
      </c>
      <c r="H120" s="108">
        <v>0</v>
      </c>
      <c r="I120" s="108">
        <v>0</v>
      </c>
      <c r="J120" s="108">
        <v>0</v>
      </c>
      <c r="K120" s="108">
        <v>1</v>
      </c>
      <c r="L120" s="108">
        <v>0</v>
      </c>
      <c r="M120" s="108">
        <v>0</v>
      </c>
      <c r="N120" s="123">
        <v>0</v>
      </c>
      <c r="O120" s="108">
        <v>0</v>
      </c>
      <c r="P120" s="108">
        <v>0</v>
      </c>
      <c r="Q120" s="108" t="s">
        <v>478</v>
      </c>
      <c r="R120" s="108">
        <v>1</v>
      </c>
      <c r="S120" s="108">
        <v>1</v>
      </c>
      <c r="T120" s="108">
        <v>2013</v>
      </c>
      <c r="U120" s="108">
        <v>8</v>
      </c>
      <c r="V120" s="108">
        <v>0</v>
      </c>
      <c r="W120" s="108">
        <f>VLOOKUP(A120,'pride covariates'!A$2:B$33,2,FALSE)</f>
        <v>0</v>
      </c>
      <c r="X120" s="108">
        <v>0</v>
      </c>
      <c r="Y120" s="108" t="str">
        <f t="shared" si="3"/>
        <v>/* ELI-650 */ 00001000 1 0 1 1 0 0 0;</v>
      </c>
      <c r="Z120" s="108" t="str">
        <f t="shared" si="4"/>
        <v>00001000</v>
      </c>
      <c r="AA120" s="108" t="str">
        <f t="shared" si="5"/>
        <v>/*ELI-650*/ 00001000 1;</v>
      </c>
    </row>
    <row r="121" spans="1:27" s="108" customFormat="1" x14ac:dyDescent="0.35">
      <c r="A121" s="108" t="s">
        <v>416</v>
      </c>
      <c r="B121" s="108" t="s">
        <v>444</v>
      </c>
      <c r="C121" s="114" t="s">
        <v>494</v>
      </c>
      <c r="D121" s="108">
        <v>0</v>
      </c>
      <c r="E121" s="108">
        <v>0</v>
      </c>
      <c r="F121" s="108">
        <v>0</v>
      </c>
      <c r="G121" s="108">
        <v>0</v>
      </c>
      <c r="H121" s="108">
        <v>0</v>
      </c>
      <c r="I121" s="108">
        <v>0</v>
      </c>
      <c r="J121" s="108">
        <v>0</v>
      </c>
      <c r="K121" s="108">
        <v>1</v>
      </c>
      <c r="L121" s="108">
        <v>0</v>
      </c>
      <c r="M121" s="108">
        <v>0</v>
      </c>
      <c r="N121" s="123">
        <v>0</v>
      </c>
      <c r="O121" s="108">
        <v>0</v>
      </c>
      <c r="P121" s="108">
        <v>0</v>
      </c>
      <c r="Q121" s="108" t="s">
        <v>478</v>
      </c>
      <c r="R121" s="108">
        <v>1</v>
      </c>
      <c r="S121" s="108">
        <v>1</v>
      </c>
      <c r="T121" s="108">
        <v>2013</v>
      </c>
      <c r="U121" s="108">
        <v>8</v>
      </c>
      <c r="V121" s="108">
        <v>0</v>
      </c>
      <c r="W121" s="108">
        <f>VLOOKUP(A121,'pride covariates'!A$2:B$33,2,FALSE)</f>
        <v>0</v>
      </c>
      <c r="X121" s="108">
        <v>1</v>
      </c>
      <c r="Y121" s="108" t="str">
        <f t="shared" si="3"/>
        <v>/* ELI-651 */ 00001000 1 0 1 1 1 0 0;</v>
      </c>
      <c r="Z121" s="108" t="str">
        <f t="shared" si="4"/>
        <v>00001000</v>
      </c>
      <c r="AA121" s="108" t="str">
        <f t="shared" si="5"/>
        <v>/*ELI-651*/ 00001000 1;</v>
      </c>
    </row>
    <row r="122" spans="1:27" s="108" customFormat="1" x14ac:dyDescent="0.35">
      <c r="A122" s="108" t="s">
        <v>416</v>
      </c>
      <c r="B122" s="108" t="s">
        <v>445</v>
      </c>
      <c r="C122" s="114" t="s">
        <v>495</v>
      </c>
      <c r="D122" s="108">
        <v>0</v>
      </c>
      <c r="E122" s="108">
        <v>0</v>
      </c>
      <c r="F122" s="108">
        <v>0</v>
      </c>
      <c r="G122" s="108">
        <v>0</v>
      </c>
      <c r="H122" s="108">
        <v>0</v>
      </c>
      <c r="I122" s="108">
        <v>0</v>
      </c>
      <c r="J122" s="108">
        <v>0</v>
      </c>
      <c r="K122" s="108">
        <v>1</v>
      </c>
      <c r="L122" s="108">
        <v>0</v>
      </c>
      <c r="M122" s="108">
        <v>0</v>
      </c>
      <c r="N122" s="123">
        <v>0</v>
      </c>
      <c r="O122" s="108">
        <v>0</v>
      </c>
      <c r="P122" s="108">
        <v>0</v>
      </c>
      <c r="Q122" s="108" t="s">
        <v>478</v>
      </c>
      <c r="R122" s="108">
        <v>1</v>
      </c>
      <c r="S122" s="108">
        <v>1</v>
      </c>
      <c r="T122" s="108">
        <v>2013</v>
      </c>
      <c r="U122" s="108">
        <v>8</v>
      </c>
      <c r="V122" s="108">
        <v>0</v>
      </c>
      <c r="W122" s="108">
        <f>VLOOKUP(A122,'pride covariates'!A$2:B$33,2,FALSE)</f>
        <v>0</v>
      </c>
      <c r="X122" s="108">
        <v>0</v>
      </c>
      <c r="Y122" s="108" t="str">
        <f t="shared" si="3"/>
        <v>/* ELI-652 */ 00001000 1 0 1 1 0 0 0;</v>
      </c>
      <c r="Z122" s="108" t="str">
        <f t="shared" si="4"/>
        <v>00001000</v>
      </c>
      <c r="AA122" s="108" t="str">
        <f t="shared" si="5"/>
        <v>/*ELI-652*/ 00001000 1;</v>
      </c>
    </row>
    <row r="123" spans="1:27" s="108" customFormat="1" x14ac:dyDescent="0.35">
      <c r="A123" s="108" t="s">
        <v>416</v>
      </c>
      <c r="B123" s="108" t="s">
        <v>446</v>
      </c>
      <c r="C123" s="114" t="s">
        <v>496</v>
      </c>
      <c r="D123" s="108">
        <v>0</v>
      </c>
      <c r="E123" s="108">
        <v>0</v>
      </c>
      <c r="F123" s="108">
        <v>0</v>
      </c>
      <c r="G123" s="108">
        <v>0</v>
      </c>
      <c r="H123" s="108">
        <v>0</v>
      </c>
      <c r="I123" s="108">
        <v>0</v>
      </c>
      <c r="J123" s="108">
        <v>0</v>
      </c>
      <c r="K123" s="108">
        <v>1</v>
      </c>
      <c r="L123" s="108">
        <v>0</v>
      </c>
      <c r="M123" s="108">
        <v>0</v>
      </c>
      <c r="N123" s="123">
        <v>0</v>
      </c>
      <c r="O123" s="108">
        <v>0</v>
      </c>
      <c r="P123" s="108">
        <v>0</v>
      </c>
      <c r="Q123" s="108" t="s">
        <v>478</v>
      </c>
      <c r="R123" s="108">
        <v>1</v>
      </c>
      <c r="S123" s="108">
        <v>1</v>
      </c>
      <c r="T123" s="108">
        <v>2013</v>
      </c>
      <c r="U123" s="108">
        <v>8</v>
      </c>
      <c r="V123" s="108">
        <v>0</v>
      </c>
      <c r="W123" s="108">
        <f>VLOOKUP(A123,'pride covariates'!A$2:B$33,2,FALSE)</f>
        <v>0</v>
      </c>
      <c r="X123" s="108">
        <v>1</v>
      </c>
      <c r="Y123" s="108" t="str">
        <f t="shared" si="3"/>
        <v>/* ELI-653 */ 00001000 1 0 1 1 1 0 0;</v>
      </c>
      <c r="Z123" s="108" t="str">
        <f t="shared" si="4"/>
        <v>00001000</v>
      </c>
      <c r="AA123" s="108" t="str">
        <f t="shared" si="5"/>
        <v>/*ELI-653*/ 00001000 1;</v>
      </c>
    </row>
    <row r="124" spans="1:27" x14ac:dyDescent="0.35">
      <c r="A124" t="s">
        <v>419</v>
      </c>
      <c r="B124" t="s">
        <v>237</v>
      </c>
      <c r="C124" t="s">
        <v>238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0</v>
      </c>
      <c r="L124" s="108">
        <v>0</v>
      </c>
      <c r="M124" s="108">
        <v>0</v>
      </c>
      <c r="N124" s="123">
        <v>0</v>
      </c>
      <c r="O124" s="108">
        <v>0</v>
      </c>
      <c r="P124" s="108">
        <v>1</v>
      </c>
      <c r="Q124" s="108">
        <v>0</v>
      </c>
      <c r="R124" s="110">
        <v>0</v>
      </c>
      <c r="S124">
        <v>1</v>
      </c>
      <c r="T124">
        <v>2008</v>
      </c>
      <c r="U124">
        <v>10</v>
      </c>
      <c r="V124">
        <v>0</v>
      </c>
      <c r="W124" s="108">
        <f>VLOOKUP(A124,'pride covariates'!A$2:B$33,2,FALSE)</f>
        <v>1</v>
      </c>
      <c r="X124" s="108">
        <v>0</v>
      </c>
      <c r="Y124" s="108" t="str">
        <f t="shared" si="3"/>
        <v>/* ELI-215 */ 11010000 1 1 1 0 0 0 1;</v>
      </c>
      <c r="Z124" s="108" t="str">
        <f t="shared" si="4"/>
        <v>11010000</v>
      </c>
      <c r="AA124" s="108" t="str">
        <f t="shared" si="5"/>
        <v>/*ELI-215*/ 11010000 1;</v>
      </c>
    </row>
    <row r="125" spans="1:27" x14ac:dyDescent="0.35">
      <c r="A125" t="s">
        <v>419</v>
      </c>
      <c r="B125" t="s">
        <v>255</v>
      </c>
      <c r="C125" t="s">
        <v>256</v>
      </c>
      <c r="D125" s="125">
        <v>1</v>
      </c>
      <c r="E125" s="125">
        <v>1</v>
      </c>
      <c r="F125" s="125">
        <v>1</v>
      </c>
      <c r="G125" s="125">
        <v>1</v>
      </c>
      <c r="H125">
        <v>1</v>
      </c>
      <c r="I125">
        <v>0</v>
      </c>
      <c r="J125">
        <v>0</v>
      </c>
      <c r="K125">
        <v>0</v>
      </c>
      <c r="L125" s="108">
        <v>0</v>
      </c>
      <c r="M125" s="108">
        <v>0</v>
      </c>
      <c r="N125" s="123">
        <v>0</v>
      </c>
      <c r="O125" s="108">
        <v>0</v>
      </c>
      <c r="P125" s="108">
        <v>1</v>
      </c>
      <c r="Q125" s="108">
        <v>0</v>
      </c>
      <c r="R125" s="110">
        <v>0</v>
      </c>
      <c r="S125">
        <v>1</v>
      </c>
      <c r="T125">
        <v>2008</v>
      </c>
      <c r="U125">
        <v>10</v>
      </c>
      <c r="V125">
        <v>4</v>
      </c>
      <c r="W125" s="108">
        <f>VLOOKUP(A125,'pride covariates'!A$2:B$33,2,FALSE)</f>
        <v>1</v>
      </c>
      <c r="X125" s="108">
        <v>0</v>
      </c>
      <c r="Y125" s="108" t="str">
        <f t="shared" si="3"/>
        <v>/* ELI-209 */ 11000000 1 1 1 0 0 4 1;</v>
      </c>
      <c r="Z125" s="108" t="str">
        <f t="shared" si="4"/>
        <v>11000000</v>
      </c>
      <c r="AA125" s="108" t="str">
        <f t="shared" si="5"/>
        <v>/*ELI-209*/ 11000000 1;</v>
      </c>
    </row>
    <row r="126" spans="1:27" x14ac:dyDescent="0.35">
      <c r="A126" t="s">
        <v>419</v>
      </c>
      <c r="B126" t="s">
        <v>257</v>
      </c>
      <c r="C126" t="s">
        <v>258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0</v>
      </c>
      <c r="L126" s="108">
        <v>0</v>
      </c>
      <c r="M126" s="108">
        <v>0</v>
      </c>
      <c r="N126" s="123">
        <v>0</v>
      </c>
      <c r="O126" s="108">
        <v>0</v>
      </c>
      <c r="P126" s="108">
        <v>1</v>
      </c>
      <c r="Q126" s="108">
        <v>0</v>
      </c>
      <c r="R126" s="110">
        <v>0</v>
      </c>
      <c r="S126">
        <v>1</v>
      </c>
      <c r="T126">
        <v>2008</v>
      </c>
      <c r="U126">
        <v>10</v>
      </c>
      <c r="V126">
        <v>6</v>
      </c>
      <c r="W126" s="108">
        <f>VLOOKUP(A126,'pride covariates'!A$2:B$33,2,FALSE)</f>
        <v>1</v>
      </c>
      <c r="X126" s="108">
        <v>0</v>
      </c>
      <c r="Y126" s="108" t="str">
        <f t="shared" si="3"/>
        <v>/* ELI-210 */ 11010000 1 1 1 0 0 6 1;</v>
      </c>
      <c r="Z126" s="108" t="str">
        <f t="shared" si="4"/>
        <v>11010000</v>
      </c>
      <c r="AA126" s="108" t="str">
        <f t="shared" si="5"/>
        <v>/*ELI-210*/ 11010000 1;</v>
      </c>
    </row>
    <row r="127" spans="1:27" s="108" customFormat="1" x14ac:dyDescent="0.35">
      <c r="A127" s="108" t="s">
        <v>383</v>
      </c>
      <c r="B127" s="108" t="s">
        <v>383</v>
      </c>
      <c r="C127" s="108" t="s">
        <v>382</v>
      </c>
      <c r="D127" s="108">
        <v>0</v>
      </c>
      <c r="E127" s="108">
        <v>0</v>
      </c>
      <c r="F127" s="108">
        <v>0</v>
      </c>
      <c r="G127" s="108">
        <v>1</v>
      </c>
      <c r="H127" s="108">
        <v>0</v>
      </c>
      <c r="I127" s="108">
        <v>0</v>
      </c>
      <c r="J127" s="108">
        <v>0</v>
      </c>
      <c r="K127" s="108">
        <v>1</v>
      </c>
      <c r="L127" s="108">
        <v>0</v>
      </c>
      <c r="M127" s="108">
        <v>0</v>
      </c>
      <c r="N127" s="123">
        <v>1</v>
      </c>
      <c r="O127" s="108">
        <v>0</v>
      </c>
      <c r="P127" s="108">
        <v>1</v>
      </c>
      <c r="Q127" s="108">
        <v>0</v>
      </c>
      <c r="R127" s="111">
        <v>0</v>
      </c>
      <c r="S127" s="108">
        <v>1</v>
      </c>
      <c r="T127" s="108">
        <v>2013</v>
      </c>
      <c r="U127" s="108">
        <v>4</v>
      </c>
      <c r="V127" s="108">
        <v>6</v>
      </c>
      <c r="W127" s="108">
        <f>VLOOKUP(A127,'pride covariates'!A$2:B$33,2,FALSE)</f>
        <v>1</v>
      </c>
      <c r="X127" s="108">
        <v>0</v>
      </c>
      <c r="Y127" s="108" t="str">
        <f t="shared" si="3"/>
        <v>/* ELI-700 */ 10001001 1 1 1 0 0 6 1;</v>
      </c>
      <c r="Z127" s="108" t="str">
        <f t="shared" si="4"/>
        <v>10001001</v>
      </c>
      <c r="AA127" s="108" t="str">
        <f t="shared" si="5"/>
        <v>/*ELI-700*/ 10001001 1;</v>
      </c>
    </row>
    <row r="128" spans="1:27" s="108" customFormat="1" x14ac:dyDescent="0.35">
      <c r="A128" s="108" t="s">
        <v>383</v>
      </c>
      <c r="B128" s="108" t="s">
        <v>383</v>
      </c>
      <c r="C128" s="108" t="s">
        <v>378</v>
      </c>
      <c r="D128" s="108">
        <v>0</v>
      </c>
      <c r="E128" s="108">
        <v>0</v>
      </c>
      <c r="F128" s="108">
        <v>0</v>
      </c>
      <c r="G128" s="108">
        <v>1</v>
      </c>
      <c r="H128" s="108">
        <v>0</v>
      </c>
      <c r="I128" s="108">
        <v>0</v>
      </c>
      <c r="J128" s="108">
        <v>0</v>
      </c>
      <c r="K128" s="108">
        <v>1</v>
      </c>
      <c r="L128" s="108">
        <v>0</v>
      </c>
      <c r="M128" s="108">
        <v>0</v>
      </c>
      <c r="N128" s="123">
        <v>1</v>
      </c>
      <c r="O128" s="108">
        <v>1</v>
      </c>
      <c r="P128" s="108">
        <v>1</v>
      </c>
      <c r="Q128" s="108">
        <v>0</v>
      </c>
      <c r="R128" s="111">
        <v>0</v>
      </c>
      <c r="S128" s="108">
        <v>1</v>
      </c>
      <c r="T128" s="108">
        <v>2013</v>
      </c>
      <c r="U128" s="108">
        <v>4</v>
      </c>
      <c r="V128" s="108">
        <v>4</v>
      </c>
      <c r="W128" s="108">
        <f>VLOOKUP(A128,'pride covariates'!A$2:B$33,2,FALSE)</f>
        <v>1</v>
      </c>
      <c r="X128" s="108">
        <v>0</v>
      </c>
      <c r="Y128" s="108" t="str">
        <f t="shared" si="3"/>
        <v>/* ELI-701 */ 10001001 1 1 1 0 0 4 1;</v>
      </c>
      <c r="Z128" s="108" t="str">
        <f t="shared" si="4"/>
        <v>10001001</v>
      </c>
      <c r="AA128" s="108" t="str">
        <f t="shared" si="5"/>
        <v>/*ELI-701*/ 10001001 1;</v>
      </c>
    </row>
    <row r="129" spans="1:27" s="108" customFormat="1" x14ac:dyDescent="0.35">
      <c r="A129" s="108" t="s">
        <v>383</v>
      </c>
      <c r="B129" s="108" t="s">
        <v>383</v>
      </c>
      <c r="C129" s="108" t="s">
        <v>381</v>
      </c>
      <c r="D129" s="108">
        <v>0</v>
      </c>
      <c r="E129" s="108">
        <v>0</v>
      </c>
      <c r="F129" s="108">
        <v>0</v>
      </c>
      <c r="G129" s="108">
        <v>1</v>
      </c>
      <c r="H129" s="108">
        <v>0</v>
      </c>
      <c r="I129" s="108">
        <v>0</v>
      </c>
      <c r="J129" s="108">
        <v>0</v>
      </c>
      <c r="K129" s="108">
        <v>1</v>
      </c>
      <c r="L129" s="108">
        <v>0</v>
      </c>
      <c r="M129" s="108">
        <v>0</v>
      </c>
      <c r="N129" s="123">
        <v>1</v>
      </c>
      <c r="O129" s="108">
        <v>0</v>
      </c>
      <c r="P129" s="108">
        <v>1</v>
      </c>
      <c r="Q129" s="108">
        <v>0</v>
      </c>
      <c r="R129" s="111">
        <v>0</v>
      </c>
      <c r="S129" s="108">
        <v>1</v>
      </c>
      <c r="T129" s="108">
        <v>2013</v>
      </c>
      <c r="U129" s="108">
        <v>4</v>
      </c>
      <c r="V129" s="108">
        <v>5</v>
      </c>
      <c r="W129" s="108">
        <f>VLOOKUP(A129,'pride covariates'!A$2:B$33,2,FALSE)</f>
        <v>1</v>
      </c>
      <c r="X129" s="108">
        <v>0</v>
      </c>
      <c r="Y129" s="108" t="str">
        <f t="shared" si="3"/>
        <v>/* ELI-702 */ 10001001 1 1 1 0 0 5 1;</v>
      </c>
      <c r="Z129" s="108" t="str">
        <f t="shared" si="4"/>
        <v>10001001</v>
      </c>
      <c r="AA129" s="108" t="str">
        <f t="shared" si="5"/>
        <v>/*ELI-702*/ 10001001 1;</v>
      </c>
    </row>
    <row r="130" spans="1:27" x14ac:dyDescent="0.35">
      <c r="A130" t="s">
        <v>425</v>
      </c>
      <c r="B130" t="s">
        <v>387</v>
      </c>
      <c r="C130" t="s">
        <v>353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 s="108">
        <v>0</v>
      </c>
      <c r="M130" s="108">
        <v>0</v>
      </c>
      <c r="N130" s="123">
        <v>1</v>
      </c>
      <c r="O130" s="108">
        <v>0</v>
      </c>
      <c r="P130" s="108">
        <v>1</v>
      </c>
      <c r="Q130" s="108">
        <v>1</v>
      </c>
      <c r="R130" s="110">
        <v>0</v>
      </c>
      <c r="S130">
        <v>1</v>
      </c>
      <c r="T130">
        <v>2011</v>
      </c>
      <c r="U130">
        <v>8</v>
      </c>
      <c r="V130">
        <v>3</v>
      </c>
      <c r="W130" s="108">
        <f>VLOOKUP(A130,'pride covariates'!A$2:B$33,2,FALSE)</f>
        <v>0</v>
      </c>
      <c r="X130" s="108">
        <v>1</v>
      </c>
      <c r="Y130" s="108" t="str">
        <f t="shared" si="3"/>
        <v>/* ELI-421 */ 00001001 1 1 1 0 1 3 0;</v>
      </c>
      <c r="Z130" s="108" t="str">
        <f t="shared" si="4"/>
        <v>00001001</v>
      </c>
      <c r="AA130" s="108" t="str">
        <f t="shared" si="5"/>
        <v>/*ELI-421*/ 00001001 1;</v>
      </c>
    </row>
    <row r="131" spans="1:27" s="108" customFormat="1" x14ac:dyDescent="0.35">
      <c r="A131" s="108" t="s">
        <v>425</v>
      </c>
      <c r="B131" s="108" t="s">
        <v>475</v>
      </c>
      <c r="C131" s="108" t="s">
        <v>389</v>
      </c>
      <c r="D131" s="108">
        <v>0</v>
      </c>
      <c r="E131" s="108">
        <v>0</v>
      </c>
      <c r="F131" s="108">
        <v>0</v>
      </c>
      <c r="G131" s="108">
        <v>0</v>
      </c>
      <c r="H131" s="108">
        <v>0</v>
      </c>
      <c r="I131" s="108">
        <v>0</v>
      </c>
      <c r="J131" s="108">
        <v>0</v>
      </c>
      <c r="K131" s="108">
        <v>0</v>
      </c>
      <c r="L131" s="108">
        <v>0</v>
      </c>
      <c r="M131" s="108">
        <v>0</v>
      </c>
      <c r="N131" s="123">
        <v>0</v>
      </c>
      <c r="O131" s="108">
        <v>0</v>
      </c>
      <c r="P131" s="108">
        <v>1</v>
      </c>
      <c r="Q131" s="108">
        <v>1</v>
      </c>
      <c r="R131" s="108">
        <v>0</v>
      </c>
      <c r="S131" s="108">
        <v>1</v>
      </c>
      <c r="T131" s="108">
        <v>2011</v>
      </c>
      <c r="U131" s="108">
        <v>8</v>
      </c>
      <c r="V131" s="108">
        <v>3</v>
      </c>
      <c r="W131" s="108">
        <f>VLOOKUP(A131,'pride covariates'!A$2:B$33,2,FALSE)</f>
        <v>0</v>
      </c>
      <c r="X131" s="108">
        <v>1</v>
      </c>
      <c r="Y131" s="108" t="str">
        <f t="shared" si="3"/>
        <v>/* ELI-422 */ 00000000 1 1 1 0 1 3 0;</v>
      </c>
      <c r="Z131" s="108" t="str">
        <f t="shared" si="4"/>
        <v>00000000</v>
      </c>
      <c r="AA131" s="108" t="str">
        <f t="shared" si="5"/>
        <v>/*ELI-422*/ 00000000 1;</v>
      </c>
    </row>
    <row r="132" spans="1:27" x14ac:dyDescent="0.35">
      <c r="A132" t="s">
        <v>425</v>
      </c>
      <c r="B132" t="s">
        <v>317</v>
      </c>
      <c r="C132" t="s">
        <v>318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 s="108">
        <v>0</v>
      </c>
      <c r="M132" s="108">
        <v>0</v>
      </c>
      <c r="N132" s="123">
        <v>0</v>
      </c>
      <c r="O132" s="108">
        <v>0</v>
      </c>
      <c r="P132" s="108">
        <v>1</v>
      </c>
      <c r="Q132" s="108">
        <v>1</v>
      </c>
      <c r="R132" s="110">
        <v>0</v>
      </c>
      <c r="S132">
        <v>1</v>
      </c>
      <c r="T132">
        <v>2011</v>
      </c>
      <c r="U132">
        <v>7</v>
      </c>
      <c r="V132">
        <v>3</v>
      </c>
      <c r="W132" s="108">
        <f>VLOOKUP(A132,'pride covariates'!A$2:B$33,2,FALSE)</f>
        <v>0</v>
      </c>
      <c r="X132" s="108">
        <v>1</v>
      </c>
      <c r="Y132" s="108" t="str">
        <f t="shared" si="3"/>
        <v>/* ELI-420 */ 00001000 1 1 1 0 1 3 0;</v>
      </c>
      <c r="Z132" s="108" t="str">
        <f t="shared" si="4"/>
        <v>00001000</v>
      </c>
      <c r="AA132" s="108" t="str">
        <f t="shared" si="5"/>
        <v>/*ELI-420*/ 00001000 1;</v>
      </c>
    </row>
    <row r="133" spans="1:27" x14ac:dyDescent="0.35">
      <c r="A133" t="s">
        <v>422</v>
      </c>
      <c r="B133" t="s">
        <v>299</v>
      </c>
      <c r="C133" t="s">
        <v>300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 s="108">
        <v>1</v>
      </c>
      <c r="M133" s="115">
        <v>1</v>
      </c>
      <c r="N133" s="123">
        <v>1</v>
      </c>
      <c r="O133" s="108">
        <v>0</v>
      </c>
      <c r="P133" s="108">
        <v>1</v>
      </c>
      <c r="Q133" s="108">
        <v>1</v>
      </c>
      <c r="R133" s="110">
        <v>0</v>
      </c>
      <c r="S133">
        <v>1</v>
      </c>
      <c r="T133">
        <v>2012</v>
      </c>
      <c r="U133">
        <v>10</v>
      </c>
      <c r="V133">
        <v>3</v>
      </c>
      <c r="W133" s="108">
        <f>VLOOKUP(A133,'pride covariates'!A$2:B$33,2,FALSE)</f>
        <v>0</v>
      </c>
      <c r="X133" s="108">
        <v>1</v>
      </c>
      <c r="Y133" s="108" t="str">
        <f t="shared" si="3"/>
        <v>/* ELI-564 */ 01000111 1 1 1 0 1 3 0;</v>
      </c>
      <c r="Z133" s="108" t="str">
        <f t="shared" si="4"/>
        <v>01000111</v>
      </c>
      <c r="AA133" s="108" t="str">
        <f t="shared" si="5"/>
        <v>/*ELI-564*/ 01000111 1;</v>
      </c>
    </row>
    <row r="134" spans="1:27" x14ac:dyDescent="0.35">
      <c r="A134" t="s">
        <v>422</v>
      </c>
      <c r="B134" t="s">
        <v>301</v>
      </c>
      <c r="C134" t="s">
        <v>302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 s="108">
        <v>1</v>
      </c>
      <c r="M134" s="115">
        <v>1</v>
      </c>
      <c r="N134" s="123">
        <v>1</v>
      </c>
      <c r="O134" s="108">
        <v>0</v>
      </c>
      <c r="P134" s="108">
        <v>1</v>
      </c>
      <c r="Q134" s="108">
        <v>1</v>
      </c>
      <c r="R134" s="110">
        <v>0</v>
      </c>
      <c r="S134">
        <v>1</v>
      </c>
      <c r="T134">
        <v>2012</v>
      </c>
      <c r="U134">
        <v>10</v>
      </c>
      <c r="V134">
        <v>3</v>
      </c>
      <c r="W134" s="108">
        <f>VLOOKUP(A134,'pride covariates'!A$2:B$33,2,FALSE)</f>
        <v>0</v>
      </c>
      <c r="X134" s="108">
        <v>1</v>
      </c>
      <c r="Y134" s="108" t="str">
        <f t="shared" si="3"/>
        <v>/* ELI-565 */ 01000111 1 1 1 0 1 3 0;</v>
      </c>
      <c r="Z134" s="108" t="str">
        <f t="shared" si="4"/>
        <v>01000111</v>
      </c>
      <c r="AA134" s="108" t="str">
        <f t="shared" si="5"/>
        <v>/*ELI-565*/ 01000111 1;</v>
      </c>
    </row>
    <row r="135" spans="1:27" s="108" customFormat="1" x14ac:dyDescent="0.35">
      <c r="A135" s="108" t="s">
        <v>427</v>
      </c>
      <c r="B135" s="108" t="s">
        <v>385</v>
      </c>
      <c r="C135" s="108" t="s">
        <v>380</v>
      </c>
      <c r="D135" s="108">
        <v>0</v>
      </c>
      <c r="E135" s="108">
        <v>0</v>
      </c>
      <c r="F135" s="108">
        <v>0</v>
      </c>
      <c r="G135" s="108">
        <v>0</v>
      </c>
      <c r="H135" s="108">
        <v>0</v>
      </c>
      <c r="I135" s="108">
        <v>0</v>
      </c>
      <c r="J135" s="108">
        <v>0</v>
      </c>
      <c r="K135" s="108">
        <v>1</v>
      </c>
      <c r="L135" s="108">
        <v>1</v>
      </c>
      <c r="M135" s="108">
        <v>1</v>
      </c>
      <c r="N135" s="123">
        <v>1</v>
      </c>
      <c r="O135" s="108">
        <v>0</v>
      </c>
      <c r="P135" s="108">
        <v>1</v>
      </c>
      <c r="Q135" s="108">
        <v>1</v>
      </c>
      <c r="R135" s="108">
        <v>0</v>
      </c>
      <c r="S135" s="108">
        <v>1</v>
      </c>
      <c r="T135" s="108">
        <v>2013</v>
      </c>
      <c r="U135" s="108">
        <v>8</v>
      </c>
      <c r="V135" s="108">
        <v>4</v>
      </c>
      <c r="W135" s="108">
        <f>VLOOKUP(A135,'pride covariates'!A$2:B$33,2,FALSE)</f>
        <v>0</v>
      </c>
      <c r="X135" s="108">
        <v>1</v>
      </c>
      <c r="Y135" s="108" t="str">
        <f t="shared" si="3"/>
        <v>/* ELI-628 */ 00001111 1 1 1 0 1 4 0;</v>
      </c>
      <c r="Z135" s="108" t="str">
        <f t="shared" si="4"/>
        <v>00001111</v>
      </c>
      <c r="AA135" s="108" t="str">
        <f t="shared" si="5"/>
        <v>/*ELI-628*/ 00001111 1;</v>
      </c>
    </row>
    <row r="136" spans="1:27" s="108" customFormat="1" x14ac:dyDescent="0.35">
      <c r="A136" s="108" t="s">
        <v>427</v>
      </c>
      <c r="B136" s="108" t="s">
        <v>384</v>
      </c>
      <c r="C136" s="108" t="s">
        <v>349</v>
      </c>
      <c r="D136" s="108">
        <v>0</v>
      </c>
      <c r="E136" s="108">
        <v>0</v>
      </c>
      <c r="F136" s="108">
        <v>0</v>
      </c>
      <c r="G136" s="108">
        <v>0</v>
      </c>
      <c r="H136" s="108">
        <v>0</v>
      </c>
      <c r="I136" s="108">
        <v>0</v>
      </c>
      <c r="J136" s="108">
        <v>0</v>
      </c>
      <c r="K136" s="108">
        <v>1</v>
      </c>
      <c r="L136" s="108">
        <v>1</v>
      </c>
      <c r="M136" s="108">
        <v>1</v>
      </c>
      <c r="N136" s="123">
        <v>1</v>
      </c>
      <c r="O136" s="108">
        <v>0</v>
      </c>
      <c r="P136" s="108">
        <v>1</v>
      </c>
      <c r="Q136" s="108">
        <v>1</v>
      </c>
      <c r="R136" s="108">
        <v>0</v>
      </c>
      <c r="S136" s="108">
        <v>1</v>
      </c>
      <c r="T136" s="108">
        <v>2013</v>
      </c>
      <c r="U136" s="108">
        <v>8</v>
      </c>
      <c r="V136" s="108">
        <v>4</v>
      </c>
      <c r="W136" s="108">
        <f>VLOOKUP(A136,'pride covariates'!A$2:B$33,2,FALSE)</f>
        <v>0</v>
      </c>
      <c r="X136" s="108">
        <v>1</v>
      </c>
      <c r="Y136" s="108" t="str">
        <f t="shared" si="3"/>
        <v>/* ELI-629 */ 00001111 1 1 1 0 1 4 0;</v>
      </c>
      <c r="Z136" s="108" t="str">
        <f t="shared" si="4"/>
        <v>00001111</v>
      </c>
      <c r="AA136" s="108" t="str">
        <f t="shared" si="5"/>
        <v>/*ELI-629*/ 00001111 1;</v>
      </c>
    </row>
    <row r="137" spans="1:27" x14ac:dyDescent="0.35">
      <c r="A137" t="s">
        <v>429</v>
      </c>
      <c r="B137" t="s">
        <v>305</v>
      </c>
      <c r="C137" t="s">
        <v>306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 s="108">
        <v>1</v>
      </c>
      <c r="M137" s="108">
        <v>1</v>
      </c>
      <c r="N137" s="123">
        <v>1</v>
      </c>
      <c r="O137" s="108">
        <v>0</v>
      </c>
      <c r="P137" s="108">
        <v>1</v>
      </c>
      <c r="Q137" s="108">
        <v>1</v>
      </c>
      <c r="R137" s="110">
        <v>0</v>
      </c>
      <c r="S137">
        <v>1</v>
      </c>
      <c r="T137">
        <v>2008</v>
      </c>
      <c r="U137">
        <v>10</v>
      </c>
      <c r="V137">
        <v>0</v>
      </c>
      <c r="W137" s="108">
        <f>VLOOKUP(A137,'pride covariates'!A$2:B$33,2,FALSE)</f>
        <v>0</v>
      </c>
      <c r="X137" s="108">
        <v>1</v>
      </c>
      <c r="Y137" s="108" t="str">
        <f t="shared" ref="Y137:Y148" si="6">CONCATENATE("/* ",C137," */ ",G137,H137,I137,J137,K137,L137,M137,N137," 1"," ",P137," ",S137," ",R137," ",X137," ",V137," ",W137,";")</f>
        <v>/* ELI-213 */ 10110111 1 1 1 0 1 0 0;</v>
      </c>
      <c r="Z137" s="108" t="str">
        <f t="shared" si="4"/>
        <v>10110111</v>
      </c>
      <c r="AA137" s="108" t="str">
        <f t="shared" si="5"/>
        <v>/*ELI-213*/ 10110111 1;</v>
      </c>
    </row>
    <row r="138" spans="1:27" x14ac:dyDescent="0.35">
      <c r="A138" t="s">
        <v>429</v>
      </c>
      <c r="B138" t="s">
        <v>307</v>
      </c>
      <c r="C138" t="s">
        <v>308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1</v>
      </c>
      <c r="L138" s="108">
        <v>1</v>
      </c>
      <c r="M138" s="108">
        <v>1</v>
      </c>
      <c r="N138" s="123">
        <v>1</v>
      </c>
      <c r="O138" s="108">
        <v>0</v>
      </c>
      <c r="P138" s="108">
        <v>1</v>
      </c>
      <c r="Q138" s="108">
        <v>1</v>
      </c>
      <c r="R138" s="110">
        <v>0</v>
      </c>
      <c r="S138">
        <v>1</v>
      </c>
      <c r="T138">
        <v>2008</v>
      </c>
      <c r="U138">
        <v>10</v>
      </c>
      <c r="V138">
        <v>0</v>
      </c>
      <c r="W138" s="108">
        <f>VLOOKUP(A138,'pride covariates'!A$2:B$33,2,FALSE)</f>
        <v>0</v>
      </c>
      <c r="X138" s="108">
        <v>1</v>
      </c>
      <c r="Y138" s="108" t="str">
        <f t="shared" si="6"/>
        <v>/* ELI-214 */ 10111111 1 1 1 0 1 0 0;</v>
      </c>
      <c r="Z138" s="108" t="str">
        <f t="shared" ref="Z138:Z148" si="7">CONCATENATE(G138,H138,I138,J138,K138,L138,M138,N138)</f>
        <v>10111111</v>
      </c>
      <c r="AA138" s="108" t="str">
        <f t="shared" ref="AA138:AA148" si="8">CONCATENATE("/*",C138,"*/ ",G138,H138,I138,J138,K138,L138,M138,N138," 1",";")</f>
        <v>/*ELI-214*/ 10111111 1;</v>
      </c>
    </row>
    <row r="139" spans="1:27" x14ac:dyDescent="0.35">
      <c r="A139" t="s">
        <v>429</v>
      </c>
      <c r="B139" t="s">
        <v>309</v>
      </c>
      <c r="C139" t="s">
        <v>310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1</v>
      </c>
      <c r="L139" s="108">
        <v>1</v>
      </c>
      <c r="M139" s="108">
        <v>1</v>
      </c>
      <c r="N139" s="123">
        <v>1</v>
      </c>
      <c r="O139" s="108">
        <v>0</v>
      </c>
      <c r="P139" s="108">
        <v>1</v>
      </c>
      <c r="Q139" s="108">
        <v>1</v>
      </c>
      <c r="R139" s="110">
        <v>0</v>
      </c>
      <c r="S139">
        <v>1</v>
      </c>
      <c r="T139">
        <v>2008</v>
      </c>
      <c r="U139">
        <v>10</v>
      </c>
      <c r="V139">
        <v>2</v>
      </c>
      <c r="W139" s="108">
        <f>VLOOKUP(A139,'pride covariates'!A$2:B$33,2,FALSE)</f>
        <v>0</v>
      </c>
      <c r="X139" s="108">
        <v>1</v>
      </c>
      <c r="Y139" s="108" t="str">
        <f t="shared" si="6"/>
        <v>/* ELI-216 */ 10111111 1 1 1 0 1 2 0;</v>
      </c>
      <c r="Z139" s="108" t="str">
        <f t="shared" si="7"/>
        <v>10111111</v>
      </c>
      <c r="AA139" s="108" t="str">
        <f t="shared" si="8"/>
        <v>/*ELI-216*/ 10111111 1;</v>
      </c>
    </row>
    <row r="140" spans="1:27" x14ac:dyDescent="0.35">
      <c r="A140" t="s">
        <v>430</v>
      </c>
      <c r="B140" t="s">
        <v>313</v>
      </c>
      <c r="C140" t="s">
        <v>314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 s="108">
        <v>0</v>
      </c>
      <c r="M140" s="108">
        <v>0</v>
      </c>
      <c r="N140" s="123">
        <v>0</v>
      </c>
      <c r="O140" s="108">
        <v>0</v>
      </c>
      <c r="P140" s="108">
        <v>1</v>
      </c>
      <c r="Q140" s="108">
        <v>1</v>
      </c>
      <c r="R140" s="110">
        <v>0</v>
      </c>
      <c r="S140">
        <v>1</v>
      </c>
      <c r="T140">
        <v>2009</v>
      </c>
      <c r="U140">
        <v>11</v>
      </c>
      <c r="V140">
        <v>1</v>
      </c>
      <c r="W140" s="108">
        <f>VLOOKUP(A140,'pride covariates'!A$2:B$33,2,FALSE)</f>
        <v>0</v>
      </c>
      <c r="X140" s="108">
        <v>1</v>
      </c>
      <c r="Y140" s="108" t="str">
        <f t="shared" si="6"/>
        <v>/* ELI-267 */ 10000000 1 1 1 0 1 1 0;</v>
      </c>
      <c r="Z140" s="108" t="str">
        <f t="shared" si="7"/>
        <v>10000000</v>
      </c>
      <c r="AA140" s="108" t="str">
        <f t="shared" si="8"/>
        <v>/*ELI-267*/ 10000000 1;</v>
      </c>
    </row>
    <row r="141" spans="1:27" x14ac:dyDescent="0.35">
      <c r="A141" t="s">
        <v>439</v>
      </c>
      <c r="B141" t="s">
        <v>323</v>
      </c>
      <c r="C141" t="s">
        <v>324</v>
      </c>
      <c r="D141">
        <v>0</v>
      </c>
      <c r="E141">
        <v>0</v>
      </c>
      <c r="F141" s="125">
        <v>1</v>
      </c>
      <c r="G141" s="125">
        <v>1</v>
      </c>
      <c r="H141">
        <v>1</v>
      </c>
      <c r="I141">
        <v>1</v>
      </c>
      <c r="J141">
        <v>0</v>
      </c>
      <c r="K141">
        <v>0</v>
      </c>
      <c r="L141" s="108">
        <v>1</v>
      </c>
      <c r="M141" s="108">
        <v>1</v>
      </c>
      <c r="N141" s="123">
        <v>1</v>
      </c>
      <c r="O141" s="108">
        <v>0</v>
      </c>
      <c r="P141" s="108">
        <v>1</v>
      </c>
      <c r="Q141" s="108">
        <v>1</v>
      </c>
      <c r="R141" s="110">
        <v>0</v>
      </c>
      <c r="S141">
        <v>1</v>
      </c>
      <c r="T141">
        <v>2008</v>
      </c>
      <c r="U141">
        <v>7</v>
      </c>
      <c r="V141">
        <v>2</v>
      </c>
      <c r="W141" s="108">
        <f>VLOOKUP(A141,'pride covariates'!A$2:B$33,2,FALSE)</f>
        <v>1</v>
      </c>
      <c r="X141" s="108">
        <v>1</v>
      </c>
      <c r="Y141" s="108" t="str">
        <f t="shared" si="6"/>
        <v>/* ELI-175 */ 11100111 1 1 1 0 1 2 1;</v>
      </c>
      <c r="Z141" s="108" t="str">
        <f t="shared" si="7"/>
        <v>11100111</v>
      </c>
      <c r="AA141" s="108" t="str">
        <f t="shared" si="8"/>
        <v>/*ELI-175*/ 11100111 1;</v>
      </c>
    </row>
    <row r="142" spans="1:27" x14ac:dyDescent="0.35">
      <c r="A142" t="s">
        <v>435</v>
      </c>
      <c r="B142" t="s">
        <v>325</v>
      </c>
      <c r="C142" t="s">
        <v>326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08">
        <v>0</v>
      </c>
      <c r="M142" s="108">
        <v>0</v>
      </c>
      <c r="N142" s="123">
        <v>0</v>
      </c>
      <c r="O142" s="108">
        <v>0</v>
      </c>
      <c r="P142" s="108">
        <v>1</v>
      </c>
      <c r="Q142" s="108">
        <v>0</v>
      </c>
      <c r="R142" s="110">
        <v>0</v>
      </c>
      <c r="S142">
        <v>1</v>
      </c>
      <c r="T142">
        <v>2012</v>
      </c>
      <c r="U142">
        <v>7</v>
      </c>
      <c r="V142">
        <v>6</v>
      </c>
      <c r="W142" s="108">
        <f>VLOOKUP(A142,'pride covariates'!A$2:B$33,2,FALSE)</f>
        <v>0</v>
      </c>
      <c r="X142" s="108">
        <v>0</v>
      </c>
      <c r="Y142" s="108" t="str">
        <f t="shared" si="6"/>
        <v>/* ELI-562 */ 00000000 1 1 1 0 0 6 0;</v>
      </c>
      <c r="Z142" s="108" t="str">
        <f t="shared" si="7"/>
        <v>00000000</v>
      </c>
      <c r="AA142" s="108" t="str">
        <f t="shared" si="8"/>
        <v>/*ELI-562*/ 00000000 1;</v>
      </c>
    </row>
    <row r="143" spans="1:27" x14ac:dyDescent="0.35">
      <c r="A143" t="s">
        <v>435</v>
      </c>
      <c r="B143" t="s">
        <v>327</v>
      </c>
      <c r="C143" t="s">
        <v>328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08">
        <v>0</v>
      </c>
      <c r="M143" s="108">
        <v>0</v>
      </c>
      <c r="N143" s="123">
        <v>0</v>
      </c>
      <c r="O143" s="108">
        <v>0</v>
      </c>
      <c r="P143" s="108">
        <v>1</v>
      </c>
      <c r="Q143" s="108">
        <v>1</v>
      </c>
      <c r="R143" s="110">
        <v>0</v>
      </c>
      <c r="S143">
        <v>1</v>
      </c>
      <c r="T143">
        <v>2010</v>
      </c>
      <c r="U143">
        <v>11</v>
      </c>
      <c r="V143">
        <v>3</v>
      </c>
      <c r="W143" s="108">
        <f>VLOOKUP(A143,'pride covariates'!A$2:B$33,2,FALSE)</f>
        <v>0</v>
      </c>
      <c r="X143" s="108">
        <v>1</v>
      </c>
      <c r="Y143" s="108" t="str">
        <f t="shared" si="6"/>
        <v>/* ELI-402 */ 00000000 1 1 1 0 1 3 0;</v>
      </c>
      <c r="Z143" s="108" t="str">
        <f t="shared" si="7"/>
        <v>00000000</v>
      </c>
      <c r="AA143" s="108" t="str">
        <f t="shared" si="8"/>
        <v>/*ELI-402*/ 00000000 1;</v>
      </c>
    </row>
    <row r="144" spans="1:27" x14ac:dyDescent="0.35">
      <c r="A144" t="s">
        <v>432</v>
      </c>
      <c r="B144" t="s">
        <v>329</v>
      </c>
      <c r="C144" t="s">
        <v>330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 s="108">
        <v>1</v>
      </c>
      <c r="M144" s="108">
        <v>1</v>
      </c>
      <c r="N144" s="123">
        <v>0</v>
      </c>
      <c r="O144" s="108">
        <v>0</v>
      </c>
      <c r="P144" s="108">
        <v>1</v>
      </c>
      <c r="Q144" s="108">
        <v>1</v>
      </c>
      <c r="R144" s="110">
        <v>0</v>
      </c>
      <c r="S144">
        <v>1</v>
      </c>
      <c r="T144">
        <v>2011</v>
      </c>
      <c r="U144">
        <v>9</v>
      </c>
      <c r="V144">
        <v>3</v>
      </c>
      <c r="W144" s="108">
        <f>VLOOKUP(A144,'pride covariates'!A$2:B$33,2,FALSE)</f>
        <v>0</v>
      </c>
      <c r="X144" s="108">
        <v>1</v>
      </c>
      <c r="Y144" s="108" t="str">
        <f t="shared" si="6"/>
        <v>/* ELI-474 */ 01000110 1 1 1 0 1 3 0;</v>
      </c>
      <c r="Z144" s="108" t="str">
        <f t="shared" si="7"/>
        <v>01000110</v>
      </c>
      <c r="AA144" s="108" t="str">
        <f t="shared" si="8"/>
        <v>/*ELI-474*/ 01000110 1;</v>
      </c>
    </row>
    <row r="145" spans="1:27" x14ac:dyDescent="0.35">
      <c r="A145" t="s">
        <v>436</v>
      </c>
      <c r="B145" t="s">
        <v>331</v>
      </c>
      <c r="C145" t="s">
        <v>332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 s="108">
        <v>0</v>
      </c>
      <c r="M145" s="108">
        <v>0</v>
      </c>
      <c r="N145" s="123">
        <v>0</v>
      </c>
      <c r="O145" s="108">
        <v>0</v>
      </c>
      <c r="P145" s="108">
        <v>1</v>
      </c>
      <c r="Q145" s="108">
        <v>1</v>
      </c>
      <c r="R145" s="110">
        <v>0</v>
      </c>
      <c r="S145">
        <v>1</v>
      </c>
      <c r="T145">
        <v>2008</v>
      </c>
      <c r="U145">
        <v>9</v>
      </c>
      <c r="V145">
        <v>2</v>
      </c>
      <c r="W145" s="108">
        <f>VLOOKUP(A145,'pride covariates'!A$2:B$33,2,FALSE)</f>
        <v>0</v>
      </c>
      <c r="X145" s="108">
        <v>1</v>
      </c>
      <c r="Y145" s="108" t="str">
        <f t="shared" si="6"/>
        <v>/* ELI-234 */ 00100000 1 1 1 0 1 2 0;</v>
      </c>
      <c r="Z145" s="108" t="str">
        <f t="shared" si="7"/>
        <v>00100000</v>
      </c>
      <c r="AA145" s="108" t="str">
        <f t="shared" si="8"/>
        <v>/*ELI-234*/ 00100000 1;</v>
      </c>
    </row>
    <row r="146" spans="1:27" x14ac:dyDescent="0.35">
      <c r="A146" t="s">
        <v>433</v>
      </c>
      <c r="B146" t="s">
        <v>350</v>
      </c>
      <c r="C146" t="s">
        <v>224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 s="108">
        <v>0</v>
      </c>
      <c r="M146" s="108">
        <v>0</v>
      </c>
      <c r="N146" s="123">
        <v>0</v>
      </c>
      <c r="O146" s="108">
        <v>0</v>
      </c>
      <c r="P146" s="108">
        <v>1</v>
      </c>
      <c r="Q146" s="108">
        <v>1</v>
      </c>
      <c r="R146" s="110">
        <v>0</v>
      </c>
      <c r="S146">
        <v>1</v>
      </c>
      <c r="T146">
        <v>2008</v>
      </c>
      <c r="U146">
        <v>9</v>
      </c>
      <c r="V146">
        <v>0</v>
      </c>
      <c r="W146" s="108">
        <f>VLOOKUP(A146,'pride covariates'!A$2:B$33,2,FALSE)</f>
        <v>0</v>
      </c>
      <c r="X146" s="108">
        <v>1</v>
      </c>
      <c r="Y146" s="108" t="str">
        <f t="shared" si="6"/>
        <v>/* ELI-130 */ 01001000 1 1 1 0 1 0 0;</v>
      </c>
      <c r="Z146" s="108" t="str">
        <f t="shared" si="7"/>
        <v>01001000</v>
      </c>
      <c r="AA146" s="108" t="str">
        <f t="shared" si="8"/>
        <v>/*ELI-130*/ 01001000 1;</v>
      </c>
    </row>
    <row r="147" spans="1:27" s="108" customFormat="1" x14ac:dyDescent="0.35">
      <c r="A147" s="108" t="s">
        <v>433</v>
      </c>
      <c r="B147" s="108" t="s">
        <v>350</v>
      </c>
      <c r="C147" s="108" t="s">
        <v>359</v>
      </c>
      <c r="D147" s="108">
        <v>0</v>
      </c>
      <c r="E147" s="108">
        <v>0</v>
      </c>
      <c r="F147" s="108">
        <v>0</v>
      </c>
      <c r="G147" s="108">
        <v>1</v>
      </c>
      <c r="H147" s="108">
        <v>1</v>
      </c>
      <c r="I147" s="108">
        <v>0</v>
      </c>
      <c r="J147" s="108">
        <v>0</v>
      </c>
      <c r="K147" s="108">
        <v>1</v>
      </c>
      <c r="L147" s="108">
        <v>0</v>
      </c>
      <c r="M147" s="108">
        <v>0</v>
      </c>
      <c r="N147" s="123">
        <v>0</v>
      </c>
      <c r="O147" s="108">
        <v>0</v>
      </c>
      <c r="P147" s="108">
        <v>1</v>
      </c>
      <c r="Q147" s="108">
        <v>1</v>
      </c>
      <c r="R147" s="108">
        <v>0</v>
      </c>
      <c r="S147" s="108">
        <v>1</v>
      </c>
      <c r="T147" s="108">
        <v>2013</v>
      </c>
      <c r="U147" s="108">
        <v>4</v>
      </c>
      <c r="V147" s="108">
        <v>3</v>
      </c>
      <c r="W147" s="108">
        <f>VLOOKUP(A147,'pride covariates'!A$2:B$33,2,FALSE)</f>
        <v>0</v>
      </c>
      <c r="X147" s="108">
        <v>1</v>
      </c>
      <c r="Y147" s="108" t="str">
        <f t="shared" si="6"/>
        <v>/* ELI-699 */ 11001000 1 1 1 0 1 3 0;</v>
      </c>
      <c r="Z147" s="108" t="str">
        <f t="shared" si="7"/>
        <v>11001000</v>
      </c>
      <c r="AA147" s="108" t="str">
        <f t="shared" si="8"/>
        <v>/*ELI-699*/ 11001000 1;</v>
      </c>
    </row>
    <row r="148" spans="1:27" s="108" customFormat="1" x14ac:dyDescent="0.35">
      <c r="A148" s="108" t="s">
        <v>437</v>
      </c>
      <c r="B148" s="108" t="s">
        <v>390</v>
      </c>
      <c r="C148" s="108" t="s">
        <v>351</v>
      </c>
      <c r="D148" s="108">
        <v>0</v>
      </c>
      <c r="E148" s="108">
        <v>0</v>
      </c>
      <c r="F148" s="108">
        <v>0</v>
      </c>
      <c r="G148" s="108">
        <v>0</v>
      </c>
      <c r="H148" s="108">
        <v>1</v>
      </c>
      <c r="I148" s="108">
        <v>0</v>
      </c>
      <c r="J148" s="108">
        <v>0</v>
      </c>
      <c r="K148" s="108">
        <v>1</v>
      </c>
      <c r="L148" s="108">
        <v>0</v>
      </c>
      <c r="M148" s="108">
        <v>1</v>
      </c>
      <c r="N148" s="123">
        <v>1</v>
      </c>
      <c r="O148" s="108">
        <v>0</v>
      </c>
      <c r="P148" s="108">
        <v>1</v>
      </c>
      <c r="Q148" s="108">
        <v>1</v>
      </c>
      <c r="R148" s="108">
        <v>0</v>
      </c>
      <c r="S148" s="108">
        <v>1</v>
      </c>
      <c r="T148" s="108">
        <v>2013</v>
      </c>
      <c r="U148" s="108">
        <v>5</v>
      </c>
      <c r="V148" s="108">
        <v>4</v>
      </c>
      <c r="W148" s="108">
        <f>VLOOKUP(A148,'pride covariates'!A$2:B$33,2,FALSE)</f>
        <v>0</v>
      </c>
      <c r="X148" s="108">
        <v>1</v>
      </c>
      <c r="Y148" s="108" t="str">
        <f t="shared" si="6"/>
        <v>/* ELI-779 */ 01001011 1 1 1 0 1 4 0;</v>
      </c>
      <c r="Z148" s="108" t="str">
        <f t="shared" si="7"/>
        <v>01001011</v>
      </c>
      <c r="AA148" s="108" t="str">
        <f t="shared" si="8"/>
        <v>/*ELI-779*/ 01001011 1;</v>
      </c>
    </row>
    <row r="149" spans="1:27" s="115" customFormat="1" x14ac:dyDescent="0.35">
      <c r="A149" s="116" t="s">
        <v>634</v>
      </c>
      <c r="B149" s="117" t="s">
        <v>635</v>
      </c>
      <c r="C149" s="117" t="s">
        <v>636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9">
        <v>0</v>
      </c>
      <c r="K149" s="118">
        <v>0</v>
      </c>
      <c r="L149" s="120">
        <v>1</v>
      </c>
      <c r="M149" s="118">
        <v>1</v>
      </c>
      <c r="N149" s="118">
        <v>0</v>
      </c>
      <c r="O149" s="118">
        <v>0</v>
      </c>
      <c r="P149" s="117">
        <v>1</v>
      </c>
      <c r="Q149" s="117">
        <v>1</v>
      </c>
      <c r="R149" s="117">
        <v>0</v>
      </c>
      <c r="S149" s="117">
        <v>1</v>
      </c>
      <c r="T149" s="117">
        <v>2013</v>
      </c>
      <c r="U149" s="117">
        <v>9</v>
      </c>
      <c r="V149" s="117">
        <v>5</v>
      </c>
      <c r="W149" s="117">
        <v>0</v>
      </c>
      <c r="X149" s="115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"/>
  <sheetViews>
    <sheetView workbookViewId="0">
      <selection activeCell="A148" sqref="A1:A148"/>
    </sheetView>
  </sheetViews>
  <sheetFormatPr defaultRowHeight="14.5" x14ac:dyDescent="0.35"/>
  <sheetData>
    <row r="1" spans="1:1" x14ac:dyDescent="0.35">
      <c r="A1" s="108" t="str">
        <f>CONCATENATE("/*",LEFT(allpride!C2,7),"*/ ",allpride!G2,allpride!H2,allpride!I2,allpride!J2,allpride!K2,allpride!L2,allpride!M2,allpride!N2," 1;")</f>
        <v>/*ELI-583*/ 00011111 1;</v>
      </c>
    </row>
    <row r="2" spans="1:1" x14ac:dyDescent="0.35">
      <c r="A2" s="108" t="str">
        <f>CONCATENATE("/*",LEFT(allpride!C3,7),"*/ ",allpride!G3,allpride!H3,allpride!I3,allpride!J3,allpride!K3,allpride!L3,allpride!M3,allpride!N3," 1;")</f>
        <v>/*ELI-584*/ 00011111 1;</v>
      </c>
    </row>
    <row r="3" spans="1:1" x14ac:dyDescent="0.35">
      <c r="A3" s="108" t="str">
        <f>CONCATENATE("/*",LEFT(allpride!C4,7),"*/ ",allpride!G4,allpride!H4,allpride!I4,allpride!J4,allpride!K4,allpride!L4,allpride!M4,allpride!N4," 1;")</f>
        <v>/*ELI-585*/ 00011111 1;</v>
      </c>
    </row>
    <row r="4" spans="1:1" x14ac:dyDescent="0.35">
      <c r="A4" s="108" t="str">
        <f>CONCATENATE("/*",LEFT(allpride!C5,7),"*/ ",allpride!G5,allpride!H5,allpride!I5,allpride!J5,allpride!K5,allpride!L5,allpride!M5,allpride!N5," 1;")</f>
        <v>/*ELI-586*/ 00011111 1;</v>
      </c>
    </row>
    <row r="5" spans="1:1" x14ac:dyDescent="0.35">
      <c r="A5" s="108" t="str">
        <f>CONCATENATE("/*",LEFT(allpride!C6,7),"*/ ",allpride!G6,allpride!H6,allpride!I6,allpride!J6,allpride!K6,allpride!L6,allpride!M6,allpride!N6," 1;")</f>
        <v>/*ELI-587*/ 00011111 1;</v>
      </c>
    </row>
    <row r="6" spans="1:1" x14ac:dyDescent="0.35">
      <c r="A6" s="108" t="str">
        <f>CONCATENATE("/*",LEFT(allpride!C7,7),"*/ ",allpride!G7,allpride!H7,allpride!I7,allpride!J7,allpride!K7,allpride!L7,allpride!M7,allpride!N7," 1;")</f>
        <v>/*ELI-590*/ 10011111 1;</v>
      </c>
    </row>
    <row r="7" spans="1:1" x14ac:dyDescent="0.35">
      <c r="A7" s="108" t="str">
        <f>CONCATENATE("/*",LEFT(allpride!C8,7),"*/ ",allpride!G8,allpride!H8,allpride!I8,allpride!J8,allpride!K8,allpride!L8,allpride!M8,allpride!N8," 1;")</f>
        <v>/*ELI-591*/ 10010000 1;</v>
      </c>
    </row>
    <row r="8" spans="1:1" x14ac:dyDescent="0.35">
      <c r="A8" s="108" t="str">
        <f>CONCATENATE("/*",LEFT(allpride!C9,7),"*/ ",allpride!G9,allpride!H9,allpride!I9,allpride!J9,allpride!K9,allpride!L9,allpride!M9,allpride!N9," 1;")</f>
        <v>/*ELI-592*/ 10011111 1;</v>
      </c>
    </row>
    <row r="9" spans="1:1" x14ac:dyDescent="0.35">
      <c r="A9" s="108" t="str">
        <f>CONCATENATE("/*",LEFT(allpride!C10,7),"*/ ",allpride!G10,allpride!H10,allpride!I10,allpride!J10,allpride!K10,allpride!L10,allpride!M10,allpride!N10," 1;")</f>
        <v>/*ELI-593*/ 00011111 1;</v>
      </c>
    </row>
    <row r="10" spans="1:1" x14ac:dyDescent="0.35">
      <c r="A10" s="108" t="str">
        <f>CONCATENATE("/*",LEFT(allpride!C11,7),"*/ ",allpride!G11,allpride!H11,allpride!I11,allpride!J11,allpride!K11,allpride!L11,allpride!M11,allpride!N11," 1;")</f>
        <v>/*ELI-594*/ 00011110 1;</v>
      </c>
    </row>
    <row r="11" spans="1:1" x14ac:dyDescent="0.35">
      <c r="A11" s="108" t="str">
        <f>CONCATENATE("/*",LEFT(allpride!C12,7),"*/ ",allpride!G12,allpride!H12,allpride!I12,allpride!J12,allpride!K12,allpride!L12,allpride!M12,allpride!N12," 1;")</f>
        <v>/*ELI-595*/ 00010010 1;</v>
      </c>
    </row>
    <row r="12" spans="1:1" x14ac:dyDescent="0.35">
      <c r="A12" s="108" t="str">
        <f>CONCATENATE("/*",LEFT(allpride!C13,7),"*/ ",allpride!G13,allpride!H13,allpride!I13,allpride!J13,allpride!K13,allpride!L13,allpride!M13,allpride!N13," 1;")</f>
        <v>/*ELI-596*/ 00010000 1;</v>
      </c>
    </row>
    <row r="13" spans="1:1" x14ac:dyDescent="0.35">
      <c r="A13" s="108" t="str">
        <f>CONCATENATE("/*",LEFT(allpride!C14,7),"*/ ",allpride!G14,allpride!H14,allpride!I14,allpride!J14,allpride!K14,allpride!L14,allpride!M14,allpride!N14," 1;")</f>
        <v>/*ELI-243*/ 10111111 1;</v>
      </c>
    </row>
    <row r="14" spans="1:1" x14ac:dyDescent="0.35">
      <c r="A14" s="108" t="str">
        <f>CONCATENATE("/*",LEFT(allpride!C15,7),"*/ ",allpride!G15,allpride!H15,allpride!I15,allpride!J15,allpride!K15,allpride!L15,allpride!M15,allpride!N15," 1;")</f>
        <v>/*ELI-242*/ 00111111 1;</v>
      </c>
    </row>
    <row r="15" spans="1:1" x14ac:dyDescent="0.35">
      <c r="A15" s="108" t="str">
        <f>CONCATENATE("/*",LEFT(allpride!C16,7),"*/ ",allpride!G16,allpride!H16,allpride!I16,allpride!J16,allpride!K16,allpride!L16,allpride!M16,allpride!N16," 1;")</f>
        <v>/*ELI-224*/ 00101101 1;</v>
      </c>
    </row>
    <row r="16" spans="1:1" x14ac:dyDescent="0.35">
      <c r="A16" s="108" t="str">
        <f>CONCATENATE("/*",LEFT(allpride!C17,7),"*/ ",allpride!G17,allpride!H17,allpride!I17,allpride!J17,allpride!K17,allpride!L17,allpride!M17,allpride!N17," 1;")</f>
        <v>/*ELI-245*/ 00111111 1;</v>
      </c>
    </row>
    <row r="17" spans="1:1" x14ac:dyDescent="0.35">
      <c r="A17" s="108" t="str">
        <f>CONCATENATE("/*",LEFT(allpride!C18,7),"*/ ",allpride!G18,allpride!H18,allpride!I18,allpride!J18,allpride!K18,allpride!L18,allpride!M18,allpride!N18," 1;")</f>
        <v>/*ELI-223*/ 00111111 1;</v>
      </c>
    </row>
    <row r="18" spans="1:1" x14ac:dyDescent="0.35">
      <c r="A18" s="108" t="str">
        <f>CONCATENATE("/*",LEFT(allpride!C19,7),"*/ ",allpride!G19,allpride!H19,allpride!I19,allpride!J19,allpride!K19,allpride!L19,allpride!M19,allpride!N19," 1;")</f>
        <v>/*ELI-220*/ 00111111 1;</v>
      </c>
    </row>
    <row r="19" spans="1:1" x14ac:dyDescent="0.35">
      <c r="A19" s="108" t="str">
        <f>CONCATENATE("/*",LEFT(allpride!C20,7),"*/ ",allpride!G20,allpride!H20,allpride!I20,allpride!J20,allpride!K20,allpride!L20,allpride!M20,allpride!N20," 1;")</f>
        <v>/*ELI-218*/ 00111111 1;</v>
      </c>
    </row>
    <row r="20" spans="1:1" x14ac:dyDescent="0.35">
      <c r="A20" s="108" t="str">
        <f>CONCATENATE("/*",LEFT(allpride!C21,7),"*/ ",allpride!G21,allpride!H21,allpride!I21,allpride!J21,allpride!K21,allpride!L21,allpride!M21,allpride!N21," 1;")</f>
        <v>/*ELI-143*/ 00100000 1;</v>
      </c>
    </row>
    <row r="21" spans="1:1" x14ac:dyDescent="0.35">
      <c r="A21" s="108" t="str">
        <f>CONCATENATE("/*",LEFT(allpride!C22,7),"*/ ",allpride!G22,allpride!H22,allpride!I22,allpride!J22,allpride!K22,allpride!L22,allpride!M22,allpride!N22," 1;")</f>
        <v>/*ELI-219*/ 00111111 1;</v>
      </c>
    </row>
    <row r="22" spans="1:1" x14ac:dyDescent="0.35">
      <c r="A22" s="108" t="str">
        <f>CONCATENATE("/*",LEFT(allpride!C23,7),"*/ ",allpride!G23,allpride!H23,allpride!I23,allpride!J23,allpride!K23,allpride!L23,allpride!M23,allpride!N23," 1;")</f>
        <v>/*ELI-414*/ 11110111 1;</v>
      </c>
    </row>
    <row r="23" spans="1:1" x14ac:dyDescent="0.35">
      <c r="A23" s="108" t="str">
        <f>CONCATENATE("/*",LEFT(allpride!C24,7),"*/ ",allpride!G24,allpride!H24,allpride!I24,allpride!J24,allpride!K24,allpride!L24,allpride!M24,allpride!N24," 1;")</f>
        <v>/*ELI-493*/ 11100111 1;</v>
      </c>
    </row>
    <row r="24" spans="1:1" x14ac:dyDescent="0.35">
      <c r="A24" s="108" t="str">
        <f>CONCATENATE("/*",LEFT(allpride!C25,7),"*/ ",allpride!G25,allpride!H25,allpride!I25,allpride!J25,allpride!K25,allpride!L25,allpride!M25,allpride!N25," 1;")</f>
        <v>/*ELI-494*/ 11100111 1;</v>
      </c>
    </row>
    <row r="25" spans="1:1" x14ac:dyDescent="0.35">
      <c r="A25" s="108" t="str">
        <f>CONCATENATE("/*",LEFT(allpride!C26,7),"*/ ",allpride!G26,allpride!H26,allpride!I26,allpride!J26,allpride!K26,allpride!L26,allpride!M26,allpride!N26," 1;")</f>
        <v>/*ELI-598*/ 10100111 1;</v>
      </c>
    </row>
    <row r="26" spans="1:1" x14ac:dyDescent="0.35">
      <c r="A26" s="108" t="str">
        <f>CONCATENATE("/*",LEFT(allpride!C27,7),"*/ ",allpride!G27,allpride!H27,allpride!I27,allpride!J27,allpride!K27,allpride!L27,allpride!M27,allpride!N27," 1;")</f>
        <v>/*ELI-599*/ 10100111 1;</v>
      </c>
    </row>
    <row r="27" spans="1:1" x14ac:dyDescent="0.35">
      <c r="A27" s="108" t="str">
        <f>CONCATENATE("/*",LEFT(allpride!C28,7),"*/ ",allpride!G28,allpride!H28,allpride!I28,allpride!J28,allpride!K28,allpride!L28,allpride!M28,allpride!N28," 1;")</f>
        <v>/*ELI-597*/ 10000000 1;</v>
      </c>
    </row>
    <row r="28" spans="1:1" x14ac:dyDescent="0.35">
      <c r="A28" s="108" t="str">
        <f>CONCATENATE("/*",LEFT(allpride!C29,7),"*/ ",allpride!G29,allpride!H29,allpride!I29,allpride!J29,allpride!K29,allpride!L29,allpride!M29,allpride!N29," 1;")</f>
        <v>/*ELI-523*/ 10100100 1;</v>
      </c>
    </row>
    <row r="29" spans="1:1" x14ac:dyDescent="0.35">
      <c r="A29" s="108" t="str">
        <f>CONCATENATE("/*",LEFT(allpride!C30,7),"*/ ",allpride!G30,allpride!H30,allpride!I30,allpride!J30,allpride!K30,allpride!L30,allpride!M30,allpride!N30," 1;")</f>
        <v>/*ELI-524*/ 10100111 1;</v>
      </c>
    </row>
    <row r="30" spans="1:1" x14ac:dyDescent="0.35">
      <c r="A30" s="108" t="str">
        <f>CONCATENATE("/*",LEFT(allpride!C31,7),"*/ ",allpride!G31,allpride!H31,allpride!I31,allpride!J31,allpride!K31,allpride!L31,allpride!M31,allpride!N31," 1;")</f>
        <v>/*ELI-525*/ 10000000 1;</v>
      </c>
    </row>
    <row r="31" spans="1:1" x14ac:dyDescent="0.35">
      <c r="A31" s="108" t="str">
        <f>CONCATENATE("/*",LEFT(allpride!C32,7),"*/ ",allpride!G32,allpride!H32,allpride!I32,allpride!J32,allpride!K32,allpride!L32,allpride!M32,allpride!N32," 1;")</f>
        <v>/*ELI-236*/ 11110100 1;</v>
      </c>
    </row>
    <row r="32" spans="1:1" x14ac:dyDescent="0.35">
      <c r="A32" s="108" t="str">
        <f>CONCATENATE("/*",LEFT(allpride!C33,7),"*/ ",allpride!G33,allpride!H33,allpride!I33,allpride!J33,allpride!K33,allpride!L33,allpride!M33,allpride!N33," 1;")</f>
        <v>/*ELI-235*/ 11110110 1;</v>
      </c>
    </row>
    <row r="33" spans="1:1" x14ac:dyDescent="0.35">
      <c r="A33" s="108" t="str">
        <f>CONCATENATE("/*",LEFT(allpride!C34,7),"*/ ",allpride!G34,allpride!H34,allpride!I34,allpride!J34,allpride!K34,allpride!L34,allpride!M34,allpride!N34," 1;")</f>
        <v>/*ELI-554*/ 11110000 1;</v>
      </c>
    </row>
    <row r="34" spans="1:1" x14ac:dyDescent="0.35">
      <c r="A34" s="108" t="str">
        <f>CONCATENATE("/*",LEFT(allpride!C35,7),"*/ ",allpride!G35,allpride!H35,allpride!I35,allpride!J35,allpride!K35,allpride!L35,allpride!M35,allpride!N35," 1;")</f>
        <v>/*ELI-555*/ 11110000 1;</v>
      </c>
    </row>
    <row r="35" spans="1:1" x14ac:dyDescent="0.35">
      <c r="A35" s="108" t="str">
        <f>CONCATENATE("/*",LEFT(allpride!C36,7),"*/ ",allpride!G36,allpride!H36,allpride!I36,allpride!J36,allpride!K36,allpride!L36,allpride!M36,allpride!N36," 1;")</f>
        <v>/*ELI-556*/ 11110000 1;</v>
      </c>
    </row>
    <row r="36" spans="1:1" x14ac:dyDescent="0.35">
      <c r="A36" s="108" t="str">
        <f>CONCATENATE("/*",LEFT(allpride!C37,7),"*/ ",allpride!G37,allpride!H37,allpride!I37,allpride!J37,allpride!K37,allpride!L37,allpride!M37,allpride!N37," 1;")</f>
        <v>/*ELI-173*/ 01100111 1;</v>
      </c>
    </row>
    <row r="37" spans="1:1" x14ac:dyDescent="0.35">
      <c r="A37" s="108" t="str">
        <f>CONCATENATE("/*",LEFT(allpride!C38,7),"*/ ",allpride!G38,allpride!H38,allpride!I38,allpride!J38,allpride!K38,allpride!L38,allpride!M38,allpride!N38," 1;")</f>
        <v>/*ELI-174*/ 01110101 1;</v>
      </c>
    </row>
    <row r="38" spans="1:1" x14ac:dyDescent="0.35">
      <c r="A38" s="108" t="str">
        <f>CONCATENATE("/*",LEFT(allpride!C39,7),"*/ ",allpride!G39,allpride!H39,allpride!I39,allpride!J39,allpride!K39,allpride!L39,allpride!M39,allpride!N39," 1;")</f>
        <v>/*ELI-247*/ 01100111 1;</v>
      </c>
    </row>
    <row r="39" spans="1:1" x14ac:dyDescent="0.35">
      <c r="A39" s="108" t="str">
        <f>CONCATENATE("/*",LEFT(allpride!C40,7),"*/ ",allpride!G40,allpride!H40,allpride!I40,allpride!J40,allpride!K40,allpride!L40,allpride!M40,allpride!N40," 1;")</f>
        <v>/*ELI-248*/ 01111111 1;</v>
      </c>
    </row>
    <row r="40" spans="1:1" x14ac:dyDescent="0.35">
      <c r="A40" s="108" t="str">
        <f>CONCATENATE("/*",LEFT(allpride!C41,7),"*/ ",allpride!G41,allpride!H41,allpride!I41,allpride!J41,allpride!K41,allpride!L41,allpride!M41,allpride!N41," 1;")</f>
        <v>/*ELI-249*/ 00100000 1;</v>
      </c>
    </row>
    <row r="41" spans="1:1" x14ac:dyDescent="0.35">
      <c r="A41" s="108" t="str">
        <f>CONCATENATE("/*",LEFT(allpride!C42,7),"*/ ",allpride!G42,allpride!H42,allpride!I42,allpride!J42,allpride!K42,allpride!L42,allpride!M42,allpride!N42," 1;")</f>
        <v>/*ELI-250*/ 01101111 1;</v>
      </c>
    </row>
    <row r="42" spans="1:1" x14ac:dyDescent="0.35">
      <c r="A42" s="108" t="str">
        <f>CONCATENATE("/*",LEFT(allpride!C43,7),"*/ ",allpride!G43,allpride!H43,allpride!I43,allpride!J43,allpride!K43,allpride!L43,allpride!M43,allpride!N43," 1;")</f>
        <v>/*ELI-462*/ 01001011 1;</v>
      </c>
    </row>
    <row r="43" spans="1:1" x14ac:dyDescent="0.35">
      <c r="A43" s="108" t="str">
        <f>CONCATENATE("/*",LEFT(allpride!C44,7),"*/ ",allpride!G44,allpride!H44,allpride!I44,allpride!J44,allpride!K44,allpride!L44,allpride!M44,allpride!N44," 1;")</f>
        <v>/*ELI-378*/ 00111101 1;</v>
      </c>
    </row>
    <row r="44" spans="1:1" x14ac:dyDescent="0.35">
      <c r="A44" s="108" t="str">
        <f>CONCATENATE("/*",LEFT(allpride!C45,7),"*/ ",allpride!G45,allpride!H45,allpride!I45,allpride!J45,allpride!K45,allpride!L45,allpride!M45,allpride!N45," 1;")</f>
        <v>/*ELI-463*/ 00101111 1;</v>
      </c>
    </row>
    <row r="45" spans="1:1" x14ac:dyDescent="0.35">
      <c r="A45" s="108" t="str">
        <f>CONCATENATE("/*",LEFT(allpride!C46,7),"*/ ",allpride!G46,allpride!H46,allpride!I46,allpride!J46,allpride!K46,allpride!L46,allpride!M46,allpride!N46," 1;")</f>
        <v>/*ELI-515*/ 01000000 1;</v>
      </c>
    </row>
    <row r="46" spans="1:1" x14ac:dyDescent="0.35">
      <c r="A46" s="108" t="str">
        <f>CONCATENATE("/*",LEFT(allpride!C47,7),"*/ ",allpride!G47,allpride!H47,allpride!I47,allpride!J47,allpride!K47,allpride!L47,allpride!M47,allpride!N47," 1;")</f>
        <v>/*ELI-373*/ 00100111 1;</v>
      </c>
    </row>
    <row r="47" spans="1:1" x14ac:dyDescent="0.35">
      <c r="A47" s="108" t="str">
        <f>CONCATENATE("/*",LEFT(allpride!C48,7),"*/ ",allpride!G48,allpride!H48,allpride!I48,allpride!J48,allpride!K48,allpride!L48,allpride!M48,allpride!N48," 1;")</f>
        <v>/*ELI-375*/ 00100111 1;</v>
      </c>
    </row>
    <row r="48" spans="1:1" x14ac:dyDescent="0.35">
      <c r="A48" s="108" t="str">
        <f>CONCATENATE("/*",LEFT(allpride!C49,7),"*/ ",allpride!G49,allpride!H49,allpride!I49,allpride!J49,allpride!K49,allpride!L49,allpride!M49,allpride!N49," 1;")</f>
        <v>/*ELI-377*/ 01100111 1;</v>
      </c>
    </row>
    <row r="49" spans="1:1" x14ac:dyDescent="0.35">
      <c r="A49" s="108" t="str">
        <f>CONCATENATE("/*",LEFT(allpride!C50,7),"*/ ",allpride!G50,allpride!H50,allpride!I50,allpride!J50,allpride!K50,allpride!L50,allpride!M50,allpride!N50," 1;")</f>
        <v>/*ELI-376*/ 00110111 1;</v>
      </c>
    </row>
    <row r="50" spans="1:1" x14ac:dyDescent="0.35">
      <c r="A50" s="108" t="str">
        <f>CONCATENATE("/*",LEFT(allpride!C51,7),"*/ ",allpride!G51,allpride!H51,allpride!I51,allpride!J51,allpride!K51,allpride!L51,allpride!M51,allpride!N51," 1;")</f>
        <v>/*ELI-464*/ 01111011 1;</v>
      </c>
    </row>
    <row r="51" spans="1:1" x14ac:dyDescent="0.35">
      <c r="A51" s="108" t="str">
        <f>CONCATENATE("/*",LEFT(allpride!C52,7),"*/ ",allpride!G52,allpride!H52,allpride!I52,allpride!J52,allpride!K52,allpride!L52,allpride!M52,allpride!N52," 1;")</f>
        <v>/*ELI-252*/ 01000000 1;</v>
      </c>
    </row>
    <row r="52" spans="1:1" x14ac:dyDescent="0.35">
      <c r="A52" s="108" t="str">
        <f>CONCATENATE("/*",LEFT(allpride!C53,7),"*/ ",allpride!G53,allpride!H53,allpride!I53,allpride!J53,allpride!K53,allpride!L53,allpride!M53,allpride!N53," 1;")</f>
        <v>/*ELI-553*/ 01111011 1;</v>
      </c>
    </row>
    <row r="53" spans="1:1" x14ac:dyDescent="0.35">
      <c r="A53" s="108" t="str">
        <f>CONCATENATE("/*",LEFT(allpride!C54,7),"*/ ",allpride!G54,allpride!H54,allpride!I54,allpride!J54,allpride!K54,allpride!L54,allpride!M54,allpride!N54," 1;")</f>
        <v>/*ELI-254*/ 01000000 1;</v>
      </c>
    </row>
    <row r="54" spans="1:1" x14ac:dyDescent="0.35">
      <c r="A54" s="108" t="str">
        <f>CONCATENATE("/*",LEFT(allpride!C55,7),"*/ ",allpride!G55,allpride!H55,allpride!I55,allpride!J55,allpride!K55,allpride!L55,allpride!M55,allpride!N55," 1;")</f>
        <v>/*ELI-588*/ 01111000 1;</v>
      </c>
    </row>
    <row r="55" spans="1:1" x14ac:dyDescent="0.35">
      <c r="A55" s="108" t="str">
        <f>CONCATENATE("/*",LEFT(allpride!C56,7),"*/ ",allpride!G56,allpride!H56,allpride!I56,allpride!J56,allpride!K56,allpride!L56,allpride!M56,allpride!N56," 1;")</f>
        <v>/*ELI-589*/ 01111111 1;</v>
      </c>
    </row>
    <row r="56" spans="1:1" x14ac:dyDescent="0.35">
      <c r="A56" s="108" t="str">
        <f>CONCATENATE("/*",LEFT(allpride!C57,7),"*/ ",allpride!G57,allpride!H57,allpride!I57,allpride!J57,allpride!K57,allpride!L57,allpride!M57,allpride!N57," 1;")</f>
        <v>/*ELI-600*/ 00000011 1;</v>
      </c>
    </row>
    <row r="57" spans="1:1" x14ac:dyDescent="0.35">
      <c r="A57" s="108" t="str">
        <f>CONCATENATE("/*",LEFT(allpride!C58,7),"*/ ",allpride!G58,allpride!H58,allpride!I58,allpride!J58,allpride!K58,allpride!L58,allpride!M58,allpride!N58," 1;")</f>
        <v>/*ELI-601*/ 00000011 1;</v>
      </c>
    </row>
    <row r="58" spans="1:1" x14ac:dyDescent="0.35">
      <c r="A58" s="108" t="str">
        <f>CONCATENATE("/*",LEFT(allpride!C59,7),"*/ ",allpride!G59,allpride!H59,allpride!I59,allpride!J59,allpride!K59,allpride!L59,allpride!M59,allpride!N59," 1;")</f>
        <v>/*ELI-258*/ 10010101 1;</v>
      </c>
    </row>
    <row r="59" spans="1:1" x14ac:dyDescent="0.35">
      <c r="A59" s="108" t="str">
        <f>CONCATENATE("/*",LEFT(allpride!C60,7),"*/ ",allpride!G60,allpride!H60,allpride!I60,allpride!J60,allpride!K60,allpride!L60,allpride!M60,allpride!N60," 1;")</f>
        <v>/*ELI-608*/ 00010101 1;</v>
      </c>
    </row>
    <row r="60" spans="1:1" x14ac:dyDescent="0.35">
      <c r="A60" s="108" t="str">
        <f>CONCATENATE("/*",LEFT(allpride!C61,7),"*/ ",allpride!G61,allpride!H61,allpride!I61,allpride!J61,allpride!K61,allpride!L61,allpride!M61,allpride!N61," 1;")</f>
        <v>/*ELI-609*/ 00010101 1;</v>
      </c>
    </row>
    <row r="61" spans="1:1" x14ac:dyDescent="0.35">
      <c r="A61" s="108" t="str">
        <f>CONCATENATE("/*",LEFT(allpride!C62,7),"*/ ",allpride!G62,allpride!H62,allpride!I62,allpride!J62,allpride!K62,allpride!L62,allpride!M62,allpride!N62," 1;")</f>
        <v>/*ELI-611*/ 00010101 1;</v>
      </c>
    </row>
    <row r="62" spans="1:1" x14ac:dyDescent="0.35">
      <c r="A62" s="108" t="str">
        <f>CONCATENATE("/*",LEFT(allpride!C63,7),"*/ ",allpride!G63,allpride!H63,allpride!I63,allpride!J63,allpride!K63,allpride!L63,allpride!M63,allpride!N63," 1;")</f>
        <v>/*ELI-256*/ 00010101 1;</v>
      </c>
    </row>
    <row r="63" spans="1:1" x14ac:dyDescent="0.35">
      <c r="A63" s="108" t="str">
        <f>CONCATENATE("/*",LEFT(allpride!C64,7),"*/ ",allpride!G64,allpride!H64,allpride!I64,allpride!J64,allpride!K64,allpride!L64,allpride!M64,allpride!N64," 1;")</f>
        <v>/*ELI-379*/ 00010101 1;</v>
      </c>
    </row>
    <row r="64" spans="1:1" x14ac:dyDescent="0.35">
      <c r="A64" s="108" t="str">
        <f>CONCATENATE("/*",LEFT(allpride!C65,7),"*/ ",allpride!G65,allpride!H65,allpride!I65,allpride!J65,allpride!K65,allpride!L65,allpride!M65,allpride!N65," 1;")</f>
        <v>/*ELI-438*/ 00010010 1;</v>
      </c>
    </row>
    <row r="65" spans="1:1" x14ac:dyDescent="0.35">
      <c r="A65" s="108" t="str">
        <f>CONCATENATE("/*",LEFT(allpride!C66,7),"*/ ",allpride!G66,allpride!H66,allpride!I66,allpride!J66,allpride!K66,allpride!L66,allpride!M66,allpride!N66," 1;")</f>
        <v>/*ELI-398*/ 00010000 1;</v>
      </c>
    </row>
    <row r="66" spans="1:1" x14ac:dyDescent="0.35">
      <c r="A66" s="108" t="str">
        <f>CONCATENATE("/*",LEFT(allpride!C67,7),"*/ ",allpride!G67,allpride!H67,allpride!I67,allpride!J67,allpride!K67,allpride!L67,allpride!M67,allpride!N67," 1;")</f>
        <v>/*ELI-444*/ 00010100 1;</v>
      </c>
    </row>
    <row r="67" spans="1:1" x14ac:dyDescent="0.35">
      <c r="A67" s="108" t="str">
        <f>CONCATENATE("/*",LEFT(allpride!C68,7),"*/ ",allpride!G68,allpride!H68,allpride!I68,allpride!J68,allpride!K68,allpride!L68,allpride!M68,allpride!N68," 1;")</f>
        <v>/*ELI-440*/ 00010010 1;</v>
      </c>
    </row>
    <row r="68" spans="1:1" x14ac:dyDescent="0.35">
      <c r="A68" s="108" t="str">
        <f>CONCATENATE("/*",LEFT(allpride!C69,7),"*/ ",allpride!G69,allpride!H69,allpride!I69,allpride!J69,allpride!K69,allpride!L69,allpride!M69,allpride!N69," 1;")</f>
        <v>/*ELI-192*/ 00000100 1;</v>
      </c>
    </row>
    <row r="69" spans="1:1" x14ac:dyDescent="0.35">
      <c r="A69" s="108" t="str">
        <f>CONCATENATE("/*",LEFT(allpride!C70,7),"*/ ",allpride!G70,allpride!H70,allpride!I70,allpride!J70,allpride!K70,allpride!L70,allpride!M70,allpride!N70," 1;")</f>
        <v>/*ELI-194*/ 00000100 1;</v>
      </c>
    </row>
    <row r="70" spans="1:1" x14ac:dyDescent="0.35">
      <c r="A70" s="108" t="str">
        <f>CONCATENATE("/*",LEFT(allpride!C71,7),"*/ ",allpride!G71,allpride!H71,allpride!I71,allpride!J71,allpride!K71,allpride!L71,allpride!M71,allpride!N71," 1;")</f>
        <v>/*ELI-442*/ 00000110 1;</v>
      </c>
    </row>
    <row r="71" spans="1:1" x14ac:dyDescent="0.35">
      <c r="A71" s="108" t="str">
        <f>CONCATENATE("/*",LEFT(allpride!C72,7),"*/ ",allpride!G72,allpride!H72,allpride!I72,allpride!J72,allpride!K72,allpride!L72,allpride!M72,allpride!N72," 1;")</f>
        <v>/*ELI-918*/ 00000100 1;</v>
      </c>
    </row>
    <row r="72" spans="1:1" x14ac:dyDescent="0.35">
      <c r="A72" s="108" t="str">
        <f>CONCATENATE("/*",LEFT(allpride!C73,7),"*/ ",allpride!G73,allpride!H73,allpride!I73,allpride!J73,allpride!K73,allpride!L73,allpride!M73,allpride!N73," 1;")</f>
        <v>/*ELI-919*/ 00000100 1;</v>
      </c>
    </row>
    <row r="73" spans="1:1" x14ac:dyDescent="0.35">
      <c r="A73" s="108" t="str">
        <f>CONCATENATE("/*",LEFT(allpride!C74,7),"*/ ",allpride!G74,allpride!H74,allpride!I74,allpride!J74,allpride!K74,allpride!L74,allpride!M74,allpride!N74," 1;")</f>
        <v>/*ELI-228*/ 00000010 1;</v>
      </c>
    </row>
    <row r="74" spans="1:1" x14ac:dyDescent="0.35">
      <c r="A74" s="108" t="str">
        <f>CONCATENATE("/*",LEFT(allpride!C75,7),"*/ ",allpride!G75,allpride!H75,allpride!I75,allpride!J75,allpride!K75,allpride!L75,allpride!M75,allpride!N75," 1;")</f>
        <v>/*ELI-441*/ 00000010 1;</v>
      </c>
    </row>
    <row r="75" spans="1:1" x14ac:dyDescent="0.35">
      <c r="A75" s="108" t="str">
        <f>CONCATENATE("/*",LEFT(allpride!C76,7),"*/ ",allpride!G76,allpride!H76,allpride!I76,allpride!J76,allpride!K76,allpride!L76,allpride!M76,allpride!N76," 1;")</f>
        <v>/*ELI-233*/ 01000000 1;</v>
      </c>
    </row>
    <row r="76" spans="1:1" x14ac:dyDescent="0.35">
      <c r="A76" s="108" t="str">
        <f>CONCATENATE("/*",LEFT(allpride!C77,7),"*/ ",allpride!G77,allpride!H77,allpride!I77,allpride!J77,allpride!K77,allpride!L77,allpride!M77,allpride!N77," 1;")</f>
        <v>/*ELI-197*/ 01000110 1;</v>
      </c>
    </row>
    <row r="77" spans="1:1" x14ac:dyDescent="0.35">
      <c r="A77" s="108" t="str">
        <f>CONCATENATE("/*",LEFT(allpride!C78,7),"*/ ",allpride!G78,allpride!H78,allpride!I78,allpride!J78,allpride!K78,allpride!L78,allpride!M78,allpride!N78," 1;")</f>
        <v>/*ELI-198*/ 00000110 1;</v>
      </c>
    </row>
    <row r="78" spans="1:1" x14ac:dyDescent="0.35">
      <c r="A78" s="108" t="str">
        <f>CONCATENATE("/*",LEFT(allpride!C79,7),"*/ ",allpride!G79,allpride!H79,allpride!I79,allpride!J79,allpride!K79,allpride!L79,allpride!M79,allpride!N79," 1;")</f>
        <v>/*ELI-230*/ 00000110 1;</v>
      </c>
    </row>
    <row r="79" spans="1:1" x14ac:dyDescent="0.35">
      <c r="A79" s="108" t="str">
        <f>CONCATENATE("/*",LEFT(allpride!C80,7),"*/ ",allpride!G80,allpride!H80,allpride!I80,allpride!J80,allpride!K80,allpride!L80,allpride!M80,allpride!N80," 1;")</f>
        <v>/*ELI-231*/ 00010110 1;</v>
      </c>
    </row>
    <row r="80" spans="1:1" x14ac:dyDescent="0.35">
      <c r="A80" s="108" t="str">
        <f>CONCATENATE("/*",LEFT(allpride!C81,7),"*/ ",allpride!G81,allpride!H81,allpride!I81,allpride!J81,allpride!K81,allpride!L81,allpride!M81,allpride!N81," 1;")</f>
        <v>/*ELI-232*/ 01000000 1;</v>
      </c>
    </row>
    <row r="81" spans="1:1" x14ac:dyDescent="0.35">
      <c r="A81" s="108" t="str">
        <f>CONCATENATE("/*",LEFT(allpride!C82,7),"*/ ",allpride!G82,allpride!H82,allpride!I82,allpride!J82,allpride!K82,allpride!L82,allpride!M82,allpride!N82," 1;")</f>
        <v>/*ELI-424*/ 01000010 1;</v>
      </c>
    </row>
    <row r="82" spans="1:1" x14ac:dyDescent="0.35">
      <c r="A82" s="108" t="str">
        <f>CONCATENATE("/*",LEFT(allpride!C83,7),"*/ ",allpride!G83,allpride!H83,allpride!I83,allpride!J83,allpride!K83,allpride!L83,allpride!M83,allpride!N83," 1;")</f>
        <v>/*ELI-425*/ 00010110 1;</v>
      </c>
    </row>
    <row r="83" spans="1:1" x14ac:dyDescent="0.35">
      <c r="A83" s="108" t="str">
        <f>CONCATENATE("/*",LEFT(allpride!C84,7),"*/ ",allpride!G84,allpride!H84,allpride!I84,allpride!J84,allpride!K84,allpride!L84,allpride!M84,allpride!N84," 1;")</f>
        <v>/*ELI-612*/ 00000110 1;</v>
      </c>
    </row>
    <row r="84" spans="1:1" x14ac:dyDescent="0.35">
      <c r="A84" s="108" t="str">
        <f>CONCATENATE("/*",LEFT(allpride!C85,7),"*/ ",allpride!G85,allpride!H85,allpride!I85,allpride!J85,allpride!K85,allpride!L85,allpride!M85,allpride!N85," 1;")</f>
        <v>/*ELI-613*/ 00000110 1;</v>
      </c>
    </row>
    <row r="85" spans="1:1" x14ac:dyDescent="0.35">
      <c r="A85" s="108" t="str">
        <f>CONCATENATE("/*",LEFT(allpride!C86,7),"*/ ",allpride!G86,allpride!H86,allpride!I86,allpride!J86,allpride!K86,allpride!L86,allpride!M86,allpride!N86," 1;")</f>
        <v>/*ELI-615*/ 00000110 1;</v>
      </c>
    </row>
    <row r="86" spans="1:1" x14ac:dyDescent="0.35">
      <c r="A86" s="108" t="str">
        <f>CONCATENATE("/*",LEFT(allpride!C87,7),"*/ ",allpride!G87,allpride!H87,allpride!I87,allpride!J87,allpride!K87,allpride!L87,allpride!M87,allpride!N87," 1;")</f>
        <v>/*ELI-616*/ 00000110 1;</v>
      </c>
    </row>
    <row r="87" spans="1:1" x14ac:dyDescent="0.35">
      <c r="A87" s="108" t="str">
        <f>CONCATENATE("/*",LEFT(allpride!C88,7),"*/ ",allpride!G88,allpride!H88,allpride!I88,allpride!J88,allpride!K88,allpride!L88,allpride!M88,allpride!N88," 1;")</f>
        <v>/*ELI-617*/ 00000110 1;</v>
      </c>
    </row>
    <row r="88" spans="1:1" x14ac:dyDescent="0.35">
      <c r="A88" s="108" t="str">
        <f>CONCATENATE("/*",LEFT(allpride!C89,7),"*/ ",allpride!G89,allpride!H89,allpride!I89,allpride!J89,allpride!K89,allpride!L89,allpride!M89,allpride!N89," 1;")</f>
        <v>/*ELI-618*/ 00000110 1;</v>
      </c>
    </row>
    <row r="89" spans="1:1" x14ac:dyDescent="0.35">
      <c r="A89" s="108" t="str">
        <f>CONCATENATE("/*",LEFT(allpride!C90,7),"*/ ",allpride!G90,allpride!H90,allpride!I90,allpride!J90,allpride!K90,allpride!L90,allpride!M90,allpride!N90," 1;")</f>
        <v>/*ELI-619*/ 00000010 1;</v>
      </c>
    </row>
    <row r="90" spans="1:1" x14ac:dyDescent="0.35">
      <c r="A90" s="108" t="str">
        <f>CONCATENATE("/*",LEFT(allpride!C91,7),"*/ ",allpride!G91,allpride!H91,allpride!I91,allpride!J91,allpride!K91,allpride!L91,allpride!M91,allpride!N91," 1;")</f>
        <v>/*ELI-HW2*/ 00000010 1;</v>
      </c>
    </row>
    <row r="91" spans="1:1" x14ac:dyDescent="0.35">
      <c r="A91" s="108" t="str">
        <f>CONCATENATE("/*",LEFT(allpride!C92,7),"*/ ",allpride!G92,allpride!H92,allpride!I92,allpride!J92,allpride!K92,allpride!L92,allpride!M92,allpride!N92," 1;")</f>
        <v>/*ELI-154*/ 11000001 1;</v>
      </c>
    </row>
    <row r="92" spans="1:1" x14ac:dyDescent="0.35">
      <c r="A92" s="108" t="str">
        <f>CONCATENATE("/*",LEFT(allpride!C93,7),"*/ ",allpride!G93,allpride!H93,allpride!I93,allpride!J93,allpride!K93,allpride!L93,allpride!M93,allpride!N93," 1;")</f>
        <v>/*ELI-155*/ 01001011 1;</v>
      </c>
    </row>
    <row r="93" spans="1:1" x14ac:dyDescent="0.35">
      <c r="A93" s="108" t="str">
        <f>CONCATENATE("/*",LEFT(allpride!C94,7),"*/ ",allpride!G94,allpride!H94,allpride!I94,allpride!J94,allpride!K94,allpride!L94,allpride!M94,allpride!N94," 1;")</f>
        <v>/*ELI-369*/ 01000011 1;</v>
      </c>
    </row>
    <row r="94" spans="1:1" x14ac:dyDescent="0.35">
      <c r="A94" s="108" t="str">
        <f>CONCATENATE("/*",LEFT(allpride!C95,7),"*/ ",allpride!G95,allpride!H95,allpride!I95,allpride!J95,allpride!K95,allpride!L95,allpride!M95,allpride!N95," 1;")</f>
        <v>/*ELI-370*/ 01000011 1;</v>
      </c>
    </row>
    <row r="95" spans="1:1" x14ac:dyDescent="0.35">
      <c r="A95" s="108" t="str">
        <f>CONCATENATE("/*",LEFT(allpride!C96,7),"*/ ",allpride!G96,allpride!H96,allpride!I96,allpride!J96,allpride!K96,allpride!L96,allpride!M96,allpride!N96," 1;")</f>
        <v>/*ELI-159*/ 01000011 1;</v>
      </c>
    </row>
    <row r="96" spans="1:1" x14ac:dyDescent="0.35">
      <c r="A96" s="108" t="str">
        <f>CONCATENATE("/*",LEFT(allpride!C97,7),"*/ ",allpride!G97,allpride!H97,allpride!I97,allpride!J97,allpride!K97,allpride!L97,allpride!M97,allpride!N97," 1;")</f>
        <v>/*ELI-124*/ 00001001 1;</v>
      </c>
    </row>
    <row r="97" spans="1:1" x14ac:dyDescent="0.35">
      <c r="A97" s="108" t="str">
        <f>CONCATENATE("/*",LEFT(allpride!C98,7),"*/ ",allpride!G98,allpride!H98,allpride!I98,allpride!J98,allpride!K98,allpride!L98,allpride!M98,allpride!N98," 1;")</f>
        <v>/*ELI-125*/ 00001001 1;</v>
      </c>
    </row>
    <row r="98" spans="1:1" x14ac:dyDescent="0.35">
      <c r="A98" s="108" t="str">
        <f>CONCATENATE("/*",LEFT(allpride!C99,7),"*/ ",allpride!G99,allpride!H99,allpride!I99,allpride!J99,allpride!K99,allpride!L99,allpride!M99,allpride!N99," 1;")</f>
        <v>/*ELI-126*/ 00001001 1;</v>
      </c>
    </row>
    <row r="99" spans="1:1" x14ac:dyDescent="0.35">
      <c r="A99" s="108" t="str">
        <f>CONCATENATE("/*",LEFT(allpride!C100,7),"*/ ",allpride!G100,allpride!H100,allpride!I100,allpride!J100,allpride!K100,allpride!L100,allpride!M100,allpride!N100," 1;")</f>
        <v>/*ELI-127*/ 00001001 1;</v>
      </c>
    </row>
    <row r="100" spans="1:1" x14ac:dyDescent="0.35">
      <c r="A100" s="108" t="str">
        <f>CONCATENATE("/*",LEFT(allpride!C101,7),"*/ ",allpride!G101,allpride!H101,allpride!I101,allpride!J101,allpride!K101,allpride!L101,allpride!M101,allpride!N101," 1;")</f>
        <v>/*ELI-657*/ 00001101 1;</v>
      </c>
    </row>
    <row r="101" spans="1:1" x14ac:dyDescent="0.35">
      <c r="A101" s="108" t="str">
        <f>CONCATENATE("/*",LEFT(allpride!C102,7),"*/ ",allpride!G102,allpride!H102,allpride!I102,allpride!J102,allpride!K102,allpride!L102,allpride!M102,allpride!N102," 1;")</f>
        <v>/*ELI-658*/ 00000001 1;</v>
      </c>
    </row>
    <row r="102" spans="1:1" x14ac:dyDescent="0.35">
      <c r="A102" s="108" t="str">
        <f>CONCATENATE("/*",LEFT(allpride!C103,7),"*/ ",allpride!G103,allpride!H103,allpride!I103,allpride!J103,allpride!K103,allpride!L103,allpride!M103,allpride!N103," 1;")</f>
        <v>/*ELI-659*/ 00001001 1;</v>
      </c>
    </row>
    <row r="103" spans="1:1" x14ac:dyDescent="0.35">
      <c r="A103" s="108" t="str">
        <f>CONCATENATE("/*",LEFT(allpride!C104,7),"*/ ",allpride!G104,allpride!H104,allpride!I104,allpride!J104,allpride!K104,allpride!L104,allpride!M104,allpride!N104," 1;")</f>
        <v>/*ELI-660*/ 00001001 1;</v>
      </c>
    </row>
    <row r="104" spans="1:1" x14ac:dyDescent="0.35">
      <c r="A104" s="108" t="str">
        <f>CONCATENATE("/*",LEFT(allpride!C105,7),"*/ ",allpride!G105,allpride!H105,allpride!I105,allpride!J105,allpride!K105,allpride!L105,allpride!M105,allpride!N105," 1;")</f>
        <v>/*ELI-661*/ 00001001 1;</v>
      </c>
    </row>
    <row r="105" spans="1:1" x14ac:dyDescent="0.35">
      <c r="A105" s="108" t="str">
        <f>CONCATENATE("/*",LEFT(allpride!C106,7),"*/ ",allpride!G106,allpride!H106,allpride!I106,allpride!J106,allpride!K106,allpride!L106,allpride!M106,allpride!N106," 1;")</f>
        <v>/*ELI-662*/ 00001001 1;</v>
      </c>
    </row>
    <row r="106" spans="1:1" x14ac:dyDescent="0.35">
      <c r="A106" s="108" t="str">
        <f>CONCATENATE("/*",LEFT(allpride!C107,7),"*/ ",allpride!G107,allpride!H107,allpride!I107,allpride!J107,allpride!K107,allpride!L107,allpride!M107,allpride!N107," 1;")</f>
        <v>/*ELI-663*/ 00001001 1;</v>
      </c>
    </row>
    <row r="107" spans="1:1" x14ac:dyDescent="0.35">
      <c r="A107" s="108" t="str">
        <f>CONCATENATE("/*",LEFT(allpride!C108,7),"*/ ",allpride!G108,allpride!H108,allpride!I108,allpride!J108,allpride!K108,allpride!L108,allpride!M108,allpride!N108," 1;")</f>
        <v>/*ELI-664*/ 00001001 1;</v>
      </c>
    </row>
    <row r="108" spans="1:1" x14ac:dyDescent="0.35">
      <c r="A108" s="108" t="str">
        <f>CONCATENATE("/*",LEFT(allpride!C109,7),"*/ ",allpride!G109,allpride!H109,allpride!I109,allpride!J109,allpride!K109,allpride!L109,allpride!M109,allpride!N109," 1;")</f>
        <v>/*ELI-665*/ 00001001 1;</v>
      </c>
    </row>
    <row r="109" spans="1:1" x14ac:dyDescent="0.35">
      <c r="A109" s="108" t="str">
        <f>CONCATENATE("/*",LEFT(allpride!C110,7),"*/ ",allpride!G110,allpride!H110,allpride!I110,allpride!J110,allpride!K110,allpride!L110,allpride!M110,allpride!N110," 1;")</f>
        <v>/*ELI-666*/ 00000001 1;</v>
      </c>
    </row>
    <row r="110" spans="1:1" x14ac:dyDescent="0.35">
      <c r="A110" s="108" t="str">
        <f>CONCATENATE("/*",LEFT(allpride!C111,7),"*/ ",allpride!G111,allpride!H111,allpride!I111,allpride!J111,allpride!K111,allpride!L111,allpride!M111,allpride!N111," 1;")</f>
        <v>/*ELI-697*/ 00000001 1;</v>
      </c>
    </row>
    <row r="111" spans="1:1" x14ac:dyDescent="0.35">
      <c r="A111" s="108" t="str">
        <f>CONCATENATE("/*",LEFT(allpride!C112,7),"*/ ",allpride!G112,allpride!H112,allpride!I112,allpride!J112,allpride!K112,allpride!L112,allpride!M112,allpride!N112," 1;")</f>
        <v>/*ELI-138*/ 00001101 1;</v>
      </c>
    </row>
    <row r="112" spans="1:1" x14ac:dyDescent="0.35">
      <c r="A112" s="108" t="str">
        <f>CONCATENATE("/*",LEFT(allpride!C113,7),"*/ ",allpride!G113,allpride!H113,allpride!I113,allpride!J113,allpride!K113,allpride!L113,allpride!M113,allpride!N113," 1;")</f>
        <v>/*ELI-134*/ 00000100 1;</v>
      </c>
    </row>
    <row r="113" spans="1:1" x14ac:dyDescent="0.35">
      <c r="A113" s="108" t="str">
        <f>CONCATENATE("/*",LEFT(allpride!C114,7),"*/ ",allpride!G114,allpride!H114,allpride!I114,allpride!J114,allpride!K114,allpride!L114,allpride!M114,allpride!N114," 1;")</f>
        <v>/*ELI-135*/ 00000100 1;</v>
      </c>
    </row>
    <row r="114" spans="1:1" x14ac:dyDescent="0.35">
      <c r="A114" s="108" t="str">
        <f>CONCATENATE("/*",LEFT(allpride!C115,7),"*/ ",allpride!G115,allpride!H115,allpride!I115,allpride!J115,allpride!K115,allpride!L115,allpride!M115,allpride!N115," 1;")</f>
        <v>/*ELI-136*/ 00000100 1;</v>
      </c>
    </row>
    <row r="115" spans="1:1" x14ac:dyDescent="0.35">
      <c r="A115" s="108" t="str">
        <f>CONCATENATE("/*",LEFT(allpride!C116,7),"*/ ",allpride!G116,allpride!H116,allpride!I116,allpride!J116,allpride!K116,allpride!L116,allpride!M116,allpride!N116," 1;")</f>
        <v>/*ELI-139*/ 00000100 1;</v>
      </c>
    </row>
    <row r="116" spans="1:1" x14ac:dyDescent="0.35">
      <c r="A116" s="108" t="str">
        <f>CONCATENATE("/*",LEFT(allpride!C117,7),"*/ ",allpride!G117,allpride!H117,allpride!I117,allpride!J117,allpride!K117,allpride!L117,allpride!M117,allpride!N117," 1;")</f>
        <v>/*ELI-647*/ 00001100 1;</v>
      </c>
    </row>
    <row r="117" spans="1:1" x14ac:dyDescent="0.35">
      <c r="A117" s="108" t="str">
        <f>CONCATENATE("/*",LEFT(allpride!C118,7),"*/ ",allpride!G118,allpride!H118,allpride!I118,allpride!J118,allpride!K118,allpride!L118,allpride!M118,allpride!N118," 1;")</f>
        <v>/*ELI-648*/ 00001000 1;</v>
      </c>
    </row>
    <row r="118" spans="1:1" x14ac:dyDescent="0.35">
      <c r="A118" s="108" t="str">
        <f>CONCATENATE("/*",LEFT(allpride!C119,7),"*/ ",allpride!G119,allpride!H119,allpride!I119,allpride!J119,allpride!K119,allpride!L119,allpride!M119,allpride!N119," 1;")</f>
        <v>/*ELI-649*/ 00001000 1;</v>
      </c>
    </row>
    <row r="119" spans="1:1" x14ac:dyDescent="0.35">
      <c r="A119" s="108" t="str">
        <f>CONCATENATE("/*",LEFT(allpride!C120,7),"*/ ",allpride!G120,allpride!H120,allpride!I120,allpride!J120,allpride!K120,allpride!L120,allpride!M120,allpride!N120," 1;")</f>
        <v>/*ELI-650*/ 00001000 1;</v>
      </c>
    </row>
    <row r="120" spans="1:1" x14ac:dyDescent="0.35">
      <c r="A120" s="108" t="str">
        <f>CONCATENATE("/*",LEFT(allpride!C121,7),"*/ ",allpride!G121,allpride!H121,allpride!I121,allpride!J121,allpride!K121,allpride!L121,allpride!M121,allpride!N121," 1;")</f>
        <v>/*ELI-651*/ 00001000 1;</v>
      </c>
    </row>
    <row r="121" spans="1:1" x14ac:dyDescent="0.35">
      <c r="A121" s="108" t="str">
        <f>CONCATENATE("/*",LEFT(allpride!C122,7),"*/ ",allpride!G122,allpride!H122,allpride!I122,allpride!J122,allpride!K122,allpride!L122,allpride!M122,allpride!N122," 1;")</f>
        <v>/*ELI-652*/ 00001000 1;</v>
      </c>
    </row>
    <row r="122" spans="1:1" x14ac:dyDescent="0.35">
      <c r="A122" s="108" t="str">
        <f>CONCATENATE("/*",LEFT(allpride!C123,7),"*/ ",allpride!G123,allpride!H123,allpride!I123,allpride!J123,allpride!K123,allpride!L123,allpride!M123,allpride!N123," 1;")</f>
        <v>/*ELI-653*/ 00001000 1;</v>
      </c>
    </row>
    <row r="123" spans="1:1" x14ac:dyDescent="0.35">
      <c r="A123" s="108" t="str">
        <f>CONCATENATE("/*",LEFT(allpride!C124,7),"*/ ",allpride!G124,allpride!H124,allpride!I124,allpride!J124,allpride!K124,allpride!L124,allpride!M124,allpride!N124," 1;")</f>
        <v>/*ELI-215*/ 11010000 1;</v>
      </c>
    </row>
    <row r="124" spans="1:1" x14ac:dyDescent="0.35">
      <c r="A124" s="108" t="str">
        <f>CONCATENATE("/*",LEFT(allpride!C125,7),"*/ ",allpride!G125,allpride!H125,allpride!I125,allpride!J125,allpride!K125,allpride!L125,allpride!M125,allpride!N125," 1;")</f>
        <v>/*ELI-209*/ 11000000 1;</v>
      </c>
    </row>
    <row r="125" spans="1:1" x14ac:dyDescent="0.35">
      <c r="A125" s="108" t="str">
        <f>CONCATENATE("/*",LEFT(allpride!C126,7),"*/ ",allpride!G126,allpride!H126,allpride!I126,allpride!J126,allpride!K126,allpride!L126,allpride!M126,allpride!N126," 1;")</f>
        <v>/*ELI-210*/ 11010000 1;</v>
      </c>
    </row>
    <row r="126" spans="1:1" x14ac:dyDescent="0.35">
      <c r="A126" s="108" t="str">
        <f>CONCATENATE("/*",LEFT(allpride!C127,7),"*/ ",allpride!G127,allpride!H127,allpride!I127,allpride!J127,allpride!K127,allpride!L127,allpride!M127,allpride!N127," 1;")</f>
        <v>/*ELI-700*/ 10001001 1;</v>
      </c>
    </row>
    <row r="127" spans="1:1" x14ac:dyDescent="0.35">
      <c r="A127" s="108" t="str">
        <f>CONCATENATE("/*",LEFT(allpride!C128,7),"*/ ",allpride!G128,allpride!H128,allpride!I128,allpride!J128,allpride!K128,allpride!L128,allpride!M128,allpride!N128," 1;")</f>
        <v>/*ELI-701*/ 10001001 1;</v>
      </c>
    </row>
    <row r="128" spans="1:1" x14ac:dyDescent="0.35">
      <c r="A128" s="108" t="str">
        <f>CONCATENATE("/*",LEFT(allpride!C129,7),"*/ ",allpride!G129,allpride!H129,allpride!I129,allpride!J129,allpride!K129,allpride!L129,allpride!M129,allpride!N129," 1;")</f>
        <v>/*ELI-702*/ 10001001 1;</v>
      </c>
    </row>
    <row r="129" spans="1:1" x14ac:dyDescent="0.35">
      <c r="A129" s="108" t="str">
        <f>CONCATENATE("/*",LEFT(allpride!C130,7),"*/ ",allpride!G130,allpride!H130,allpride!I130,allpride!J130,allpride!K130,allpride!L130,allpride!M130,allpride!N130," 1;")</f>
        <v>/*ELI-421*/ 00001001 1;</v>
      </c>
    </row>
    <row r="130" spans="1:1" x14ac:dyDescent="0.35">
      <c r="A130" s="108" t="str">
        <f>CONCATENATE("/*",LEFT(allpride!C131,7),"*/ ",allpride!G131,allpride!H131,allpride!I131,allpride!J131,allpride!K131,allpride!L131,allpride!M131,allpride!N131," 1;")</f>
        <v>/*ELI-422*/ 00000000 1;</v>
      </c>
    </row>
    <row r="131" spans="1:1" x14ac:dyDescent="0.35">
      <c r="A131" s="108" t="str">
        <f>CONCATENATE("/*",LEFT(allpride!C132,7),"*/ ",allpride!G132,allpride!H132,allpride!I132,allpride!J132,allpride!K132,allpride!L132,allpride!M132,allpride!N132," 1;")</f>
        <v>/*ELI-420*/ 00001000 1;</v>
      </c>
    </row>
    <row r="132" spans="1:1" x14ac:dyDescent="0.35">
      <c r="A132" s="108" t="str">
        <f>CONCATENATE("/*",LEFT(allpride!C133,7),"*/ ",allpride!G133,allpride!H133,allpride!I133,allpride!J133,allpride!K133,allpride!L133,allpride!M133,allpride!N133," 1;")</f>
        <v>/*ELI-564*/ 01000111 1;</v>
      </c>
    </row>
    <row r="133" spans="1:1" x14ac:dyDescent="0.35">
      <c r="A133" s="108" t="str">
        <f>CONCATENATE("/*",LEFT(allpride!C134,7),"*/ ",allpride!G134,allpride!H134,allpride!I134,allpride!J134,allpride!K134,allpride!L134,allpride!M134,allpride!N134," 1;")</f>
        <v>/*ELI-565*/ 01000111 1;</v>
      </c>
    </row>
    <row r="134" spans="1:1" x14ac:dyDescent="0.35">
      <c r="A134" s="108" t="str">
        <f>CONCATENATE("/*",LEFT(allpride!C135,7),"*/ ",allpride!G135,allpride!H135,allpride!I135,allpride!J135,allpride!K135,allpride!L135,allpride!M135,allpride!N135," 1;")</f>
        <v>/*ELI-628*/ 00001111 1;</v>
      </c>
    </row>
    <row r="135" spans="1:1" x14ac:dyDescent="0.35">
      <c r="A135" s="108" t="str">
        <f>CONCATENATE("/*",LEFT(allpride!C136,7),"*/ ",allpride!G136,allpride!H136,allpride!I136,allpride!J136,allpride!K136,allpride!L136,allpride!M136,allpride!N136," 1;")</f>
        <v>/*ELI-629*/ 00001111 1;</v>
      </c>
    </row>
    <row r="136" spans="1:1" x14ac:dyDescent="0.35">
      <c r="A136" s="108" t="str">
        <f>CONCATENATE("/*",LEFT(allpride!C137,7),"*/ ",allpride!G137,allpride!H137,allpride!I137,allpride!J137,allpride!K137,allpride!L137,allpride!M137,allpride!N137," 1;")</f>
        <v>/*ELI-213*/ 10110111 1;</v>
      </c>
    </row>
    <row r="137" spans="1:1" x14ac:dyDescent="0.35">
      <c r="A137" s="108" t="str">
        <f>CONCATENATE("/*",LEFT(allpride!C138,7),"*/ ",allpride!G138,allpride!H138,allpride!I138,allpride!J138,allpride!K138,allpride!L138,allpride!M138,allpride!N138," 1;")</f>
        <v>/*ELI-214*/ 10111111 1;</v>
      </c>
    </row>
    <row r="138" spans="1:1" x14ac:dyDescent="0.35">
      <c r="A138" s="108" t="str">
        <f>CONCATENATE("/*",LEFT(allpride!C139,7),"*/ ",allpride!G139,allpride!H139,allpride!I139,allpride!J139,allpride!K139,allpride!L139,allpride!M139,allpride!N139," 1;")</f>
        <v>/*ELI-216*/ 10111111 1;</v>
      </c>
    </row>
    <row r="139" spans="1:1" x14ac:dyDescent="0.35">
      <c r="A139" s="108" t="str">
        <f>CONCATENATE("/*",LEFT(allpride!C140,7),"*/ ",allpride!G140,allpride!H140,allpride!I140,allpride!J140,allpride!K140,allpride!L140,allpride!M140,allpride!N140," 1;")</f>
        <v>/*ELI-267*/ 10000000 1;</v>
      </c>
    </row>
    <row r="140" spans="1:1" x14ac:dyDescent="0.35">
      <c r="A140" s="108" t="str">
        <f>CONCATENATE("/*",LEFT(allpride!C141,7),"*/ ",allpride!G141,allpride!H141,allpride!I141,allpride!J141,allpride!K141,allpride!L141,allpride!M141,allpride!N141," 1;")</f>
        <v>/*ELI-175*/ 11100111 1;</v>
      </c>
    </row>
    <row r="141" spans="1:1" x14ac:dyDescent="0.35">
      <c r="A141" s="108" t="str">
        <f>CONCATENATE("/*",LEFT(allpride!C142,7),"*/ ",allpride!G142,allpride!H142,allpride!I142,allpride!J142,allpride!K142,allpride!L142,allpride!M142,allpride!N142," 1;")</f>
        <v>/*ELI-562*/ 00000000 1;</v>
      </c>
    </row>
    <row r="142" spans="1:1" x14ac:dyDescent="0.35">
      <c r="A142" s="108" t="str">
        <f>CONCATENATE("/*",LEFT(allpride!C143,7),"*/ ",allpride!G143,allpride!H143,allpride!I143,allpride!J143,allpride!K143,allpride!L143,allpride!M143,allpride!N143," 1;")</f>
        <v>/*ELI-402*/ 00000000 1;</v>
      </c>
    </row>
    <row r="143" spans="1:1" x14ac:dyDescent="0.35">
      <c r="A143" s="108" t="str">
        <f>CONCATENATE("/*",LEFT(allpride!C144,7),"*/ ",allpride!G144,allpride!H144,allpride!I144,allpride!J144,allpride!K144,allpride!L144,allpride!M144,allpride!N144," 1;")</f>
        <v>/*ELI-474*/ 01000110 1;</v>
      </c>
    </row>
    <row r="144" spans="1:1" x14ac:dyDescent="0.35">
      <c r="A144" s="108" t="str">
        <f>CONCATENATE("/*",LEFT(allpride!C145,7),"*/ ",allpride!G145,allpride!H145,allpride!I145,allpride!J145,allpride!K145,allpride!L145,allpride!M145,allpride!N145," 1;")</f>
        <v>/*ELI-234*/ 00100000 1;</v>
      </c>
    </row>
    <row r="145" spans="1:1" x14ac:dyDescent="0.35">
      <c r="A145" s="108" t="str">
        <f>CONCATENATE("/*",LEFT(allpride!C146,7),"*/ ",allpride!G146,allpride!H146,allpride!I146,allpride!J146,allpride!K146,allpride!L146,allpride!M146,allpride!N146," 1;")</f>
        <v>/*ELI-130*/ 01001000 1;</v>
      </c>
    </row>
    <row r="146" spans="1:1" x14ac:dyDescent="0.35">
      <c r="A146" s="108" t="str">
        <f>CONCATENATE("/*",LEFT(allpride!C147,7),"*/ ",allpride!G147,allpride!H147,allpride!I147,allpride!J147,allpride!K147,allpride!L147,allpride!M147,allpride!N147," 1;")</f>
        <v>/*ELI-699*/ 11001000 1;</v>
      </c>
    </row>
    <row r="147" spans="1:1" x14ac:dyDescent="0.35">
      <c r="A147" s="108" t="str">
        <f>CONCATENATE("/*",LEFT(allpride!C148,7),"*/ ",allpride!G148,allpride!H148,allpride!I148,allpride!J148,allpride!K148,allpride!L148,allpride!M148,allpride!N148," 1;")</f>
        <v>/*ELI-779*/ 01001011 1;</v>
      </c>
    </row>
    <row r="148" spans="1:1" x14ac:dyDescent="0.35">
      <c r="A148" s="108" t="str">
        <f>CONCATENATE("/*",LEFT(allpride!C149,7),"*/ ",allpride!G149,allpride!H149,allpride!I149,allpride!J149,allpride!K149,allpride!L149,allpride!M149,allpride!N149," 1;")</f>
        <v>/*ELI-972*/ 00000110 1;</v>
      </c>
    </row>
    <row r="149" spans="1:1" x14ac:dyDescent="0.35">
      <c r="A149" s="10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8"/>
  <sheetViews>
    <sheetView tabSelected="1" topLeftCell="A97" workbookViewId="0">
      <selection sqref="A1:A148"/>
    </sheetView>
  </sheetViews>
  <sheetFormatPr defaultRowHeight="14.5" x14ac:dyDescent="0.35"/>
  <sheetData>
    <row r="1" spans="1:1" x14ac:dyDescent="0.35">
      <c r="A1" t="s">
        <v>499</v>
      </c>
    </row>
    <row r="2" spans="1:1" x14ac:dyDescent="0.35">
      <c r="A2" t="s">
        <v>500</v>
      </c>
    </row>
    <row r="3" spans="1:1" x14ac:dyDescent="0.35">
      <c r="A3" t="s">
        <v>501</v>
      </c>
    </row>
    <row r="4" spans="1:1" x14ac:dyDescent="0.35">
      <c r="A4" t="s">
        <v>502</v>
      </c>
    </row>
    <row r="5" spans="1:1" x14ac:dyDescent="0.35">
      <c r="A5" t="s">
        <v>503</v>
      </c>
    </row>
    <row r="6" spans="1:1" x14ac:dyDescent="0.35">
      <c r="A6" t="s">
        <v>504</v>
      </c>
    </row>
    <row r="7" spans="1:1" x14ac:dyDescent="0.35">
      <c r="A7" t="s">
        <v>505</v>
      </c>
    </row>
    <row r="8" spans="1:1" x14ac:dyDescent="0.35">
      <c r="A8" t="s">
        <v>506</v>
      </c>
    </row>
    <row r="9" spans="1:1" x14ac:dyDescent="0.35">
      <c r="A9" t="s">
        <v>507</v>
      </c>
    </row>
    <row r="10" spans="1:1" x14ac:dyDescent="0.35">
      <c r="A10" t="s">
        <v>508</v>
      </c>
    </row>
    <row r="11" spans="1:1" x14ac:dyDescent="0.35">
      <c r="A11" t="s">
        <v>509</v>
      </c>
    </row>
    <row r="12" spans="1:1" x14ac:dyDescent="0.35">
      <c r="A12" t="s">
        <v>510</v>
      </c>
    </row>
    <row r="13" spans="1:1" x14ac:dyDescent="0.35">
      <c r="A13" t="s">
        <v>511</v>
      </c>
    </row>
    <row r="14" spans="1:1" x14ac:dyDescent="0.35">
      <c r="A14" t="s">
        <v>512</v>
      </c>
    </row>
    <row r="15" spans="1:1" x14ac:dyDescent="0.35">
      <c r="A15" t="s">
        <v>513</v>
      </c>
    </row>
    <row r="16" spans="1:1" x14ac:dyDescent="0.35">
      <c r="A16" t="s">
        <v>514</v>
      </c>
    </row>
    <row r="17" spans="1:1" x14ac:dyDescent="0.35">
      <c r="A17" t="s">
        <v>515</v>
      </c>
    </row>
    <row r="18" spans="1:1" x14ac:dyDescent="0.35">
      <c r="A18" t="s">
        <v>516</v>
      </c>
    </row>
    <row r="19" spans="1:1" x14ac:dyDescent="0.35">
      <c r="A19" t="s">
        <v>517</v>
      </c>
    </row>
    <row r="20" spans="1:1" x14ac:dyDescent="0.35">
      <c r="A20" t="s">
        <v>518</v>
      </c>
    </row>
    <row r="21" spans="1:1" x14ac:dyDescent="0.35">
      <c r="A21" t="s">
        <v>519</v>
      </c>
    </row>
    <row r="22" spans="1:1" x14ac:dyDescent="0.35">
      <c r="A22" t="s">
        <v>648</v>
      </c>
    </row>
    <row r="23" spans="1:1" x14ac:dyDescent="0.35">
      <c r="A23" t="s">
        <v>520</v>
      </c>
    </row>
    <row r="24" spans="1:1" x14ac:dyDescent="0.35">
      <c r="A24" t="s">
        <v>521</v>
      </c>
    </row>
    <row r="25" spans="1:1" x14ac:dyDescent="0.35">
      <c r="A25" t="s">
        <v>522</v>
      </c>
    </row>
    <row r="26" spans="1:1" x14ac:dyDescent="0.35">
      <c r="A26" t="s">
        <v>523</v>
      </c>
    </row>
    <row r="27" spans="1:1" x14ac:dyDescent="0.35">
      <c r="A27" t="s">
        <v>524</v>
      </c>
    </row>
    <row r="28" spans="1:1" x14ac:dyDescent="0.35">
      <c r="A28" t="s">
        <v>525</v>
      </c>
    </row>
    <row r="29" spans="1:1" x14ac:dyDescent="0.35">
      <c r="A29" t="s">
        <v>526</v>
      </c>
    </row>
    <row r="30" spans="1:1" x14ac:dyDescent="0.35">
      <c r="A30" t="s">
        <v>527</v>
      </c>
    </row>
    <row r="31" spans="1:1" x14ac:dyDescent="0.35">
      <c r="A31" t="s">
        <v>528</v>
      </c>
    </row>
    <row r="32" spans="1:1" x14ac:dyDescent="0.35">
      <c r="A32" t="s">
        <v>529</v>
      </c>
    </row>
    <row r="33" spans="1:1" x14ac:dyDescent="0.35">
      <c r="A33" t="s">
        <v>530</v>
      </c>
    </row>
    <row r="34" spans="1:1" x14ac:dyDescent="0.35">
      <c r="A34" t="s">
        <v>531</v>
      </c>
    </row>
    <row r="35" spans="1:1" x14ac:dyDescent="0.35">
      <c r="A35" t="s">
        <v>532</v>
      </c>
    </row>
    <row r="36" spans="1:1" x14ac:dyDescent="0.35">
      <c r="A36" t="s">
        <v>649</v>
      </c>
    </row>
    <row r="37" spans="1:1" x14ac:dyDescent="0.35">
      <c r="A37" t="s">
        <v>533</v>
      </c>
    </row>
    <row r="38" spans="1:1" x14ac:dyDescent="0.35">
      <c r="A38" t="s">
        <v>534</v>
      </c>
    </row>
    <row r="39" spans="1:1" x14ac:dyDescent="0.35">
      <c r="A39" t="s">
        <v>535</v>
      </c>
    </row>
    <row r="40" spans="1:1" x14ac:dyDescent="0.35">
      <c r="A40" t="s">
        <v>536</v>
      </c>
    </row>
    <row r="41" spans="1:1" x14ac:dyDescent="0.35">
      <c r="A41" t="s">
        <v>537</v>
      </c>
    </row>
    <row r="42" spans="1:1" x14ac:dyDescent="0.35">
      <c r="A42" t="s">
        <v>538</v>
      </c>
    </row>
    <row r="43" spans="1:1" x14ac:dyDescent="0.35">
      <c r="A43" t="s">
        <v>650</v>
      </c>
    </row>
    <row r="44" spans="1:1" x14ac:dyDescent="0.35">
      <c r="A44" t="s">
        <v>539</v>
      </c>
    </row>
    <row r="45" spans="1:1" x14ac:dyDescent="0.35">
      <c r="A45" t="s">
        <v>540</v>
      </c>
    </row>
    <row r="46" spans="1:1" x14ac:dyDescent="0.35">
      <c r="A46" t="s">
        <v>541</v>
      </c>
    </row>
    <row r="47" spans="1:1" x14ac:dyDescent="0.35">
      <c r="A47" t="s">
        <v>651</v>
      </c>
    </row>
    <row r="48" spans="1:1" x14ac:dyDescent="0.35">
      <c r="A48" t="s">
        <v>542</v>
      </c>
    </row>
    <row r="49" spans="1:1" x14ac:dyDescent="0.35">
      <c r="A49" t="s">
        <v>543</v>
      </c>
    </row>
    <row r="50" spans="1:1" x14ac:dyDescent="0.35">
      <c r="A50" t="s">
        <v>544</v>
      </c>
    </row>
    <row r="51" spans="1:1" x14ac:dyDescent="0.35">
      <c r="A51" t="s">
        <v>545</v>
      </c>
    </row>
    <row r="52" spans="1:1" x14ac:dyDescent="0.35">
      <c r="A52" t="s">
        <v>546</v>
      </c>
    </row>
    <row r="53" spans="1:1" x14ac:dyDescent="0.35">
      <c r="A53" t="s">
        <v>547</v>
      </c>
    </row>
    <row r="54" spans="1:1" x14ac:dyDescent="0.35">
      <c r="A54" t="s">
        <v>548</v>
      </c>
    </row>
    <row r="55" spans="1:1" x14ac:dyDescent="0.35">
      <c r="A55" t="s">
        <v>549</v>
      </c>
    </row>
    <row r="56" spans="1:1" x14ac:dyDescent="0.35">
      <c r="A56" t="s">
        <v>550</v>
      </c>
    </row>
    <row r="57" spans="1:1" x14ac:dyDescent="0.35">
      <c r="A57" t="s">
        <v>551</v>
      </c>
    </row>
    <row r="58" spans="1:1" x14ac:dyDescent="0.35">
      <c r="A58" t="s">
        <v>652</v>
      </c>
    </row>
    <row r="59" spans="1:1" x14ac:dyDescent="0.35">
      <c r="A59" t="s">
        <v>552</v>
      </c>
    </row>
    <row r="60" spans="1:1" x14ac:dyDescent="0.35">
      <c r="A60" t="s">
        <v>553</v>
      </c>
    </row>
    <row r="61" spans="1:1" x14ac:dyDescent="0.35">
      <c r="A61" t="s">
        <v>554</v>
      </c>
    </row>
    <row r="62" spans="1:1" x14ac:dyDescent="0.35">
      <c r="A62" t="s">
        <v>555</v>
      </c>
    </row>
    <row r="63" spans="1:1" x14ac:dyDescent="0.35">
      <c r="A63" t="s">
        <v>556</v>
      </c>
    </row>
    <row r="64" spans="1:1" x14ac:dyDescent="0.35">
      <c r="A64" t="s">
        <v>637</v>
      </c>
    </row>
    <row r="65" spans="1:1" x14ac:dyDescent="0.35">
      <c r="A65" t="s">
        <v>557</v>
      </c>
    </row>
    <row r="66" spans="1:1" x14ac:dyDescent="0.35">
      <c r="A66" t="s">
        <v>638</v>
      </c>
    </row>
    <row r="67" spans="1:1" x14ac:dyDescent="0.35">
      <c r="A67" t="s">
        <v>639</v>
      </c>
    </row>
    <row r="68" spans="1:1" x14ac:dyDescent="0.35">
      <c r="A68" t="s">
        <v>647</v>
      </c>
    </row>
    <row r="69" spans="1:1" x14ac:dyDescent="0.35">
      <c r="A69" t="s">
        <v>646</v>
      </c>
    </row>
    <row r="70" spans="1:1" x14ac:dyDescent="0.35">
      <c r="A70" t="s">
        <v>645</v>
      </c>
    </row>
    <row r="71" spans="1:1" x14ac:dyDescent="0.35">
      <c r="A71" t="s">
        <v>644</v>
      </c>
    </row>
    <row r="72" spans="1:1" x14ac:dyDescent="0.35">
      <c r="A72" t="s">
        <v>643</v>
      </c>
    </row>
    <row r="73" spans="1:1" x14ac:dyDescent="0.35">
      <c r="A73" t="s">
        <v>642</v>
      </c>
    </row>
    <row r="74" spans="1:1" x14ac:dyDescent="0.35">
      <c r="A74" t="s">
        <v>640</v>
      </c>
    </row>
    <row r="75" spans="1:1" x14ac:dyDescent="0.35">
      <c r="A75" t="s">
        <v>558</v>
      </c>
    </row>
    <row r="76" spans="1:1" x14ac:dyDescent="0.35">
      <c r="A76" t="s">
        <v>559</v>
      </c>
    </row>
    <row r="77" spans="1:1" x14ac:dyDescent="0.35">
      <c r="A77" t="s">
        <v>560</v>
      </c>
    </row>
    <row r="78" spans="1:1" x14ac:dyDescent="0.35">
      <c r="A78" t="s">
        <v>561</v>
      </c>
    </row>
    <row r="79" spans="1:1" x14ac:dyDescent="0.35">
      <c r="A79" t="s">
        <v>653</v>
      </c>
    </row>
    <row r="80" spans="1:1" x14ac:dyDescent="0.35">
      <c r="A80" t="s">
        <v>562</v>
      </c>
    </row>
    <row r="81" spans="1:1" x14ac:dyDescent="0.35">
      <c r="A81" t="s">
        <v>563</v>
      </c>
    </row>
    <row r="82" spans="1:1" x14ac:dyDescent="0.35">
      <c r="A82" t="s">
        <v>654</v>
      </c>
    </row>
    <row r="83" spans="1:1" x14ac:dyDescent="0.35">
      <c r="A83" t="s">
        <v>564</v>
      </c>
    </row>
    <row r="84" spans="1:1" x14ac:dyDescent="0.35">
      <c r="A84" t="s">
        <v>565</v>
      </c>
    </row>
    <row r="85" spans="1:1" x14ac:dyDescent="0.35">
      <c r="A85" t="s">
        <v>566</v>
      </c>
    </row>
    <row r="86" spans="1:1" x14ac:dyDescent="0.35">
      <c r="A86" t="s">
        <v>567</v>
      </c>
    </row>
    <row r="87" spans="1:1" x14ac:dyDescent="0.35">
      <c r="A87" t="s">
        <v>568</v>
      </c>
    </row>
    <row r="88" spans="1:1" x14ac:dyDescent="0.35">
      <c r="A88" t="s">
        <v>569</v>
      </c>
    </row>
    <row r="89" spans="1:1" x14ac:dyDescent="0.35">
      <c r="A89" t="s">
        <v>570</v>
      </c>
    </row>
    <row r="90" spans="1:1" x14ac:dyDescent="0.35">
      <c r="A90" t="s">
        <v>571</v>
      </c>
    </row>
    <row r="91" spans="1:1" x14ac:dyDescent="0.35">
      <c r="A91" t="s">
        <v>655</v>
      </c>
    </row>
    <row r="92" spans="1:1" x14ac:dyDescent="0.35">
      <c r="A92" t="s">
        <v>572</v>
      </c>
    </row>
    <row r="93" spans="1:1" x14ac:dyDescent="0.35">
      <c r="A93" t="s">
        <v>573</v>
      </c>
    </row>
    <row r="94" spans="1:1" x14ac:dyDescent="0.35">
      <c r="A94" t="s">
        <v>574</v>
      </c>
    </row>
    <row r="95" spans="1:1" x14ac:dyDescent="0.35">
      <c r="A95" t="s">
        <v>575</v>
      </c>
    </row>
    <row r="96" spans="1:1" x14ac:dyDescent="0.35">
      <c r="A96" t="s">
        <v>576</v>
      </c>
    </row>
    <row r="97" spans="1:1" x14ac:dyDescent="0.35">
      <c r="A97" t="s">
        <v>577</v>
      </c>
    </row>
    <row r="98" spans="1:1" x14ac:dyDescent="0.35">
      <c r="A98" t="s">
        <v>578</v>
      </c>
    </row>
    <row r="99" spans="1:1" x14ac:dyDescent="0.35">
      <c r="A99" t="s">
        <v>579</v>
      </c>
    </row>
    <row r="100" spans="1:1" x14ac:dyDescent="0.35">
      <c r="A100" t="s">
        <v>580</v>
      </c>
    </row>
    <row r="101" spans="1:1" x14ac:dyDescent="0.35">
      <c r="A101" t="s">
        <v>581</v>
      </c>
    </row>
    <row r="102" spans="1:1" x14ac:dyDescent="0.35">
      <c r="A102" t="s">
        <v>582</v>
      </c>
    </row>
    <row r="103" spans="1:1" x14ac:dyDescent="0.35">
      <c r="A103" t="s">
        <v>583</v>
      </c>
    </row>
    <row r="104" spans="1:1" x14ac:dyDescent="0.35">
      <c r="A104" t="s">
        <v>584</v>
      </c>
    </row>
    <row r="105" spans="1:1" x14ac:dyDescent="0.35">
      <c r="A105" t="s">
        <v>585</v>
      </c>
    </row>
    <row r="106" spans="1:1" x14ac:dyDescent="0.35">
      <c r="A106" t="s">
        <v>586</v>
      </c>
    </row>
    <row r="107" spans="1:1" x14ac:dyDescent="0.35">
      <c r="A107" t="s">
        <v>587</v>
      </c>
    </row>
    <row r="108" spans="1:1" x14ac:dyDescent="0.35">
      <c r="A108" t="s">
        <v>588</v>
      </c>
    </row>
    <row r="109" spans="1:1" x14ac:dyDescent="0.35">
      <c r="A109" t="s">
        <v>589</v>
      </c>
    </row>
    <row r="110" spans="1:1" x14ac:dyDescent="0.35">
      <c r="A110" t="s">
        <v>590</v>
      </c>
    </row>
    <row r="111" spans="1:1" x14ac:dyDescent="0.35">
      <c r="A111" t="s">
        <v>591</v>
      </c>
    </row>
    <row r="112" spans="1:1" x14ac:dyDescent="0.35">
      <c r="A112" t="s">
        <v>592</v>
      </c>
    </row>
    <row r="113" spans="1:1" x14ac:dyDescent="0.35">
      <c r="A113" t="s">
        <v>593</v>
      </c>
    </row>
    <row r="114" spans="1:1" x14ac:dyDescent="0.35">
      <c r="A114" t="s">
        <v>594</v>
      </c>
    </row>
    <row r="115" spans="1:1" x14ac:dyDescent="0.35">
      <c r="A115" t="s">
        <v>595</v>
      </c>
    </row>
    <row r="116" spans="1:1" x14ac:dyDescent="0.35">
      <c r="A116" t="s">
        <v>596</v>
      </c>
    </row>
    <row r="117" spans="1:1" x14ac:dyDescent="0.35">
      <c r="A117" t="s">
        <v>597</v>
      </c>
    </row>
    <row r="118" spans="1:1" x14ac:dyDescent="0.35">
      <c r="A118" t="s">
        <v>598</v>
      </c>
    </row>
    <row r="119" spans="1:1" x14ac:dyDescent="0.35">
      <c r="A119" t="s">
        <v>599</v>
      </c>
    </row>
    <row r="120" spans="1:1" x14ac:dyDescent="0.35">
      <c r="A120" t="s">
        <v>600</v>
      </c>
    </row>
    <row r="121" spans="1:1" x14ac:dyDescent="0.35">
      <c r="A121" t="s">
        <v>601</v>
      </c>
    </row>
    <row r="122" spans="1:1" x14ac:dyDescent="0.35">
      <c r="A122" t="s">
        <v>602</v>
      </c>
    </row>
    <row r="123" spans="1:1" x14ac:dyDescent="0.35">
      <c r="A123" t="s">
        <v>603</v>
      </c>
    </row>
    <row r="124" spans="1:1" x14ac:dyDescent="0.35">
      <c r="A124" t="s">
        <v>656</v>
      </c>
    </row>
    <row r="125" spans="1:1" x14ac:dyDescent="0.35">
      <c r="A125" t="s">
        <v>604</v>
      </c>
    </row>
    <row r="126" spans="1:1" x14ac:dyDescent="0.35">
      <c r="A126" t="s">
        <v>605</v>
      </c>
    </row>
    <row r="127" spans="1:1" x14ac:dyDescent="0.35">
      <c r="A127" t="s">
        <v>606</v>
      </c>
    </row>
    <row r="128" spans="1:1" x14ac:dyDescent="0.35">
      <c r="A128" t="s">
        <v>607</v>
      </c>
    </row>
    <row r="129" spans="1:1" x14ac:dyDescent="0.35">
      <c r="A129" t="s">
        <v>608</v>
      </c>
    </row>
    <row r="130" spans="1:1" x14ac:dyDescent="0.35">
      <c r="A130" t="s">
        <v>609</v>
      </c>
    </row>
    <row r="131" spans="1:1" x14ac:dyDescent="0.35">
      <c r="A131" t="s">
        <v>610</v>
      </c>
    </row>
    <row r="132" spans="1:1" x14ac:dyDescent="0.35">
      <c r="A132" t="s">
        <v>657</v>
      </c>
    </row>
    <row r="133" spans="1:1" x14ac:dyDescent="0.35">
      <c r="A133" t="s">
        <v>658</v>
      </c>
    </row>
    <row r="134" spans="1:1" x14ac:dyDescent="0.35">
      <c r="A134" t="s">
        <v>611</v>
      </c>
    </row>
    <row r="135" spans="1:1" x14ac:dyDescent="0.35">
      <c r="A135" t="s">
        <v>612</v>
      </c>
    </row>
    <row r="136" spans="1:1" x14ac:dyDescent="0.35">
      <c r="A136" t="s">
        <v>613</v>
      </c>
    </row>
    <row r="137" spans="1:1" x14ac:dyDescent="0.35">
      <c r="A137" t="s">
        <v>614</v>
      </c>
    </row>
    <row r="138" spans="1:1" x14ac:dyDescent="0.35">
      <c r="A138" t="s">
        <v>615</v>
      </c>
    </row>
    <row r="139" spans="1:1" x14ac:dyDescent="0.35">
      <c r="A139" t="s">
        <v>616</v>
      </c>
    </row>
    <row r="140" spans="1:1" x14ac:dyDescent="0.35">
      <c r="A140" t="s">
        <v>659</v>
      </c>
    </row>
    <row r="141" spans="1:1" x14ac:dyDescent="0.35">
      <c r="A141" t="s">
        <v>617</v>
      </c>
    </row>
    <row r="142" spans="1:1" x14ac:dyDescent="0.35">
      <c r="A142" t="s">
        <v>618</v>
      </c>
    </row>
    <row r="143" spans="1:1" x14ac:dyDescent="0.35">
      <c r="A143" t="s">
        <v>619</v>
      </c>
    </row>
    <row r="144" spans="1:1" x14ac:dyDescent="0.35">
      <c r="A144" t="s">
        <v>620</v>
      </c>
    </row>
    <row r="145" spans="1:1" x14ac:dyDescent="0.35">
      <c r="A145" t="s">
        <v>621</v>
      </c>
    </row>
    <row r="146" spans="1:1" x14ac:dyDescent="0.35">
      <c r="A146" t="s">
        <v>622</v>
      </c>
    </row>
    <row r="147" spans="1:1" x14ac:dyDescent="0.35">
      <c r="A147" t="s">
        <v>623</v>
      </c>
    </row>
    <row r="148" spans="1:1" x14ac:dyDescent="0.35">
      <c r="A148" t="s">
        <v>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8"/>
  <sheetViews>
    <sheetView topLeftCell="A73" workbookViewId="0">
      <selection activeCell="A148" sqref="A148"/>
    </sheetView>
  </sheetViews>
  <sheetFormatPr defaultRowHeight="14.5" x14ac:dyDescent="0.35"/>
  <sheetData>
    <row r="1" spans="1:1" x14ac:dyDescent="0.35">
      <c r="A1" t="str">
        <f>CONCATENATE("/*",allpride!C2,"*/ ",allpride!F2,allpride!G2,allpride!H2,allpride!L2,allpride!M2,allpride!N2," 1;")</f>
        <v>/*ELI-583*/ 000111 1;</v>
      </c>
    </row>
    <row r="2" spans="1:1" x14ac:dyDescent="0.35">
      <c r="A2" t="str">
        <f>CONCATENATE("/*",allpride!C3,"*/ ",allpride!F3,allpride!G3,allpride!H3,allpride!L3,allpride!M3,allpride!N3," 1;")</f>
        <v>/*ELI-584*/ 000111 1;</v>
      </c>
    </row>
    <row r="3" spans="1:1" x14ac:dyDescent="0.35">
      <c r="A3" t="str">
        <f>CONCATENATE("/*",allpride!C4,"*/ ",allpride!F4,allpride!G4,allpride!H4,allpride!L4,allpride!M4,allpride!N4," 1;")</f>
        <v>/*ELI-585*/ 000111 1;</v>
      </c>
    </row>
    <row r="4" spans="1:1" x14ac:dyDescent="0.35">
      <c r="A4" t="str">
        <f>CONCATENATE("/*",allpride!C5,"*/ ",allpride!F5,allpride!G5,allpride!H5,allpride!L5,allpride!M5,allpride!N5," 1;")</f>
        <v>/*ELI-586*/ 000111 1;</v>
      </c>
    </row>
    <row r="5" spans="1:1" x14ac:dyDescent="0.35">
      <c r="A5" t="str">
        <f>CONCATENATE("/*",allpride!C6,"*/ ",allpride!F6,allpride!G6,allpride!H6,allpride!L6,allpride!M6,allpride!N6," 1;")</f>
        <v>/*ELI-587*/ 000111 1;</v>
      </c>
    </row>
    <row r="6" spans="1:1" x14ac:dyDescent="0.35">
      <c r="A6" t="str">
        <f>CONCATENATE("/*",allpride!C7,"*/ ",allpride!F7,allpride!G7,allpride!H7,allpride!L7,allpride!M7,allpride!N7," 1;")</f>
        <v>/*ELI-590*/ 010111 1;</v>
      </c>
    </row>
    <row r="7" spans="1:1" x14ac:dyDescent="0.35">
      <c r="A7" t="str">
        <f>CONCATENATE("/*",allpride!C8,"*/ ",allpride!F8,allpride!G8,allpride!H8,allpride!L8,allpride!M8,allpride!N8," 1;")</f>
        <v>/*ELI-591*/ 010000 1;</v>
      </c>
    </row>
    <row r="8" spans="1:1" x14ac:dyDescent="0.35">
      <c r="A8" t="str">
        <f>CONCATENATE("/*",allpride!C9,"*/ ",allpride!F9,allpride!G9,allpride!H9,allpride!L9,allpride!M9,allpride!N9," 1;")</f>
        <v>/*ELI-592*/ 010111 1;</v>
      </c>
    </row>
    <row r="9" spans="1:1" x14ac:dyDescent="0.35">
      <c r="A9" t="str">
        <f>CONCATENATE("/*",allpride!C10,"*/ ",allpride!F10,allpride!G10,allpride!H10,allpride!L10,allpride!M10,allpride!N10," 1;")</f>
        <v>/*ELI-593*/ 000111 1;</v>
      </c>
    </row>
    <row r="10" spans="1:1" x14ac:dyDescent="0.35">
      <c r="A10" t="str">
        <f>CONCATENATE("/*",allpride!C11,"*/ ",allpride!F11,allpride!G11,allpride!H11,allpride!L11,allpride!M11,allpride!N11," 1;")</f>
        <v>/*ELI-594*/ 000110 1;</v>
      </c>
    </row>
    <row r="11" spans="1:1" x14ac:dyDescent="0.35">
      <c r="A11" t="str">
        <f>CONCATENATE("/*",allpride!C12,"*/ ",allpride!F12,allpride!G12,allpride!H12,allpride!L12,allpride!M12,allpride!N12," 1;")</f>
        <v>/*ELI-595*/ 000010 1;</v>
      </c>
    </row>
    <row r="12" spans="1:1" x14ac:dyDescent="0.35">
      <c r="A12" t="str">
        <f>CONCATENATE("/*",allpride!C13,"*/ ",allpride!F13,allpride!G13,allpride!H13,allpride!L13,allpride!M13,allpride!N13," 1;")</f>
        <v>/*ELI-596*/ 000000 1;</v>
      </c>
    </row>
    <row r="13" spans="1:1" x14ac:dyDescent="0.35">
      <c r="A13" t="str">
        <f>CONCATENATE("/*",allpride!C14,"*/ ",allpride!F14,allpride!G14,allpride!H14,allpride!L14,allpride!M14,allpride!N14," 1;")</f>
        <v>/*ELI-243*/ 110111 1;</v>
      </c>
    </row>
    <row r="14" spans="1:1" x14ac:dyDescent="0.35">
      <c r="A14" t="str">
        <f>CONCATENATE("/*",allpride!C15,"*/ ",allpride!F15,allpride!G15,allpride!H15,allpride!L15,allpride!M15,allpride!N15," 1;")</f>
        <v>/*ELI-242*/ 000111 1;</v>
      </c>
    </row>
    <row r="15" spans="1:1" x14ac:dyDescent="0.35">
      <c r="A15" t="str">
        <f>CONCATENATE("/*",allpride!C16,"*/ ",allpride!F16,allpride!G16,allpride!H16,allpride!L16,allpride!M16,allpride!N16," 1;")</f>
        <v>/*ELI-224*/ 000101 1;</v>
      </c>
    </row>
    <row r="16" spans="1:1" x14ac:dyDescent="0.35">
      <c r="A16" t="str">
        <f>CONCATENATE("/*",allpride!C17,"*/ ",allpride!F17,allpride!G17,allpride!H17,allpride!L17,allpride!M17,allpride!N17," 1;")</f>
        <v>/*ELI-245*/ 000111 1;</v>
      </c>
    </row>
    <row r="17" spans="1:1" x14ac:dyDescent="0.35">
      <c r="A17" t="str">
        <f>CONCATENATE("/*",allpride!C18,"*/ ",allpride!F18,allpride!G18,allpride!H18,allpride!L18,allpride!M18,allpride!N18," 1;")</f>
        <v>/*ELI-223*/ 000111 1;</v>
      </c>
    </row>
    <row r="18" spans="1:1" x14ac:dyDescent="0.35">
      <c r="A18" t="str">
        <f>CONCATENATE("/*",allpride!C19,"*/ ",allpride!F19,allpride!G19,allpride!H19,allpride!L19,allpride!M19,allpride!N19," 1;")</f>
        <v>/*ELI-220*/ 000111 1;</v>
      </c>
    </row>
    <row r="19" spans="1:1" x14ac:dyDescent="0.35">
      <c r="A19" t="str">
        <f>CONCATENATE("/*",allpride!C20,"*/ ",allpride!F20,allpride!G20,allpride!H20,allpride!L20,allpride!M20,allpride!N20," 1;")</f>
        <v>/*ELI-218*/ 000111 1;</v>
      </c>
    </row>
    <row r="20" spans="1:1" x14ac:dyDescent="0.35">
      <c r="A20" t="str">
        <f>CONCATENATE("/*",allpride!C21,"*/ ",allpride!F21,allpride!G21,allpride!H21,allpride!L21,allpride!M21,allpride!N21," 1;")</f>
        <v>/*ELI-143*/ 000000 1;</v>
      </c>
    </row>
    <row r="21" spans="1:1" x14ac:dyDescent="0.35">
      <c r="A21" t="str">
        <f>CONCATENATE("/*",allpride!C22,"*/ ",allpride!F22,allpride!G22,allpride!H22,allpride!L22,allpride!M22,allpride!N22," 1;")</f>
        <v>/*ELI-219*/ 000111 1;</v>
      </c>
    </row>
    <row r="22" spans="1:1" x14ac:dyDescent="0.35">
      <c r="A22" t="str">
        <f>CONCATENATE("/*",allpride!C23,"*/ ",allpride!F23,allpride!G23,allpride!H23,allpride!L23,allpride!M23,allpride!N23," 1;")</f>
        <v>/*ELI-414*/ 111111 1;</v>
      </c>
    </row>
    <row r="23" spans="1:1" x14ac:dyDescent="0.35">
      <c r="A23" t="str">
        <f>CONCATENATE("/*",allpride!C24,"*/ ",allpride!F24,allpride!G24,allpride!H24,allpride!L24,allpride!M24,allpride!N24," 1;")</f>
        <v>/*ELI-493*/ 011111 1;</v>
      </c>
    </row>
    <row r="24" spans="1:1" x14ac:dyDescent="0.35">
      <c r="A24" t="str">
        <f>CONCATENATE("/*",allpride!C25,"*/ ",allpride!F25,allpride!G25,allpride!H25,allpride!L25,allpride!M25,allpride!N25," 1;")</f>
        <v>/*ELI-494*/ 011111 1;</v>
      </c>
    </row>
    <row r="25" spans="1:1" x14ac:dyDescent="0.35">
      <c r="A25" t="str">
        <f>CONCATENATE("/*",allpride!C26,"*/ ",allpride!F26,allpride!G26,allpride!H26,allpride!L26,allpride!M26,allpride!N26," 1;")</f>
        <v>/*ELI-598*/ 010111 1;</v>
      </c>
    </row>
    <row r="26" spans="1:1" x14ac:dyDescent="0.35">
      <c r="A26" t="str">
        <f>CONCATENATE("/*",allpride!C27,"*/ ",allpride!F27,allpride!G27,allpride!H27,allpride!L27,allpride!M27,allpride!N27," 1;")</f>
        <v>/*ELI-599*/ 010111 1;</v>
      </c>
    </row>
    <row r="27" spans="1:1" x14ac:dyDescent="0.35">
      <c r="A27" t="str">
        <f>CONCATENATE("/*",allpride!C28,"*/ ",allpride!F28,allpride!G28,allpride!H28,allpride!L28,allpride!M28,allpride!N28," 1;")</f>
        <v>/*ELI-597*/ 010000 1;</v>
      </c>
    </row>
    <row r="28" spans="1:1" x14ac:dyDescent="0.35">
      <c r="A28" t="str">
        <f>CONCATENATE("/*",allpride!C29,"*/ ",allpride!F29,allpride!G29,allpride!H29,allpride!L29,allpride!M29,allpride!N29," 1;")</f>
        <v>/*ELI-523*/ 010100 1;</v>
      </c>
    </row>
    <row r="29" spans="1:1" x14ac:dyDescent="0.35">
      <c r="A29" t="str">
        <f>CONCATENATE("/*",allpride!C30,"*/ ",allpride!F30,allpride!G30,allpride!H30,allpride!L30,allpride!M30,allpride!N30," 1;")</f>
        <v>/*ELI-524*/ 010111 1;</v>
      </c>
    </row>
    <row r="30" spans="1:1" x14ac:dyDescent="0.35">
      <c r="A30" t="str">
        <f>CONCATENATE("/*",allpride!C31,"*/ ",allpride!F31,allpride!G31,allpride!H31,allpride!L31,allpride!M31,allpride!N31," 1;")</f>
        <v>/*ELI-525*/ 010000 1;</v>
      </c>
    </row>
    <row r="31" spans="1:1" x14ac:dyDescent="0.35">
      <c r="A31" t="str">
        <f>CONCATENATE("/*",allpride!C32,"*/ ",allpride!F32,allpride!G32,allpride!H32,allpride!L32,allpride!M32,allpride!N32," 1;")</f>
        <v>/*ELI-236*/ 111100 1;</v>
      </c>
    </row>
    <row r="32" spans="1:1" x14ac:dyDescent="0.35">
      <c r="A32" t="str">
        <f>CONCATENATE("/*",allpride!C33,"*/ ",allpride!F33,allpride!G33,allpride!H33,allpride!L33,allpride!M33,allpride!N33," 1;")</f>
        <v>/*ELI-235*/ 111110 1;</v>
      </c>
    </row>
    <row r="33" spans="1:1" x14ac:dyDescent="0.35">
      <c r="A33" t="str">
        <f>CONCATENATE("/*",allpride!C34,"*/ ",allpride!F34,allpride!G34,allpride!H34,allpride!L34,allpride!M34,allpride!N34," 1;")</f>
        <v>/*ELI-554*/ 111000 1;</v>
      </c>
    </row>
    <row r="34" spans="1:1" x14ac:dyDescent="0.35">
      <c r="A34" t="str">
        <f>CONCATENATE("/*",allpride!C35,"*/ ",allpride!F35,allpride!G35,allpride!H35,allpride!L35,allpride!M35,allpride!N35," 1;")</f>
        <v>/*ELI-555*/ 111000 1;</v>
      </c>
    </row>
    <row r="35" spans="1:1" x14ac:dyDescent="0.35">
      <c r="A35" t="str">
        <f>CONCATENATE("/*",allpride!C36,"*/ ",allpride!F36,allpride!G36,allpride!H36,allpride!L36,allpride!M36,allpride!N36," 1;")</f>
        <v>/*ELI-556*/ 111000 1;</v>
      </c>
    </row>
    <row r="36" spans="1:1" x14ac:dyDescent="0.35">
      <c r="A36" t="str">
        <f>CONCATENATE("/*",allpride!C37,"*/ ",allpride!F37,allpride!G37,allpride!H37,allpride!L37,allpride!M37,allpride!N37," 1;")</f>
        <v>/*ELI-173*/ 001111 1;</v>
      </c>
    </row>
    <row r="37" spans="1:1" x14ac:dyDescent="0.35">
      <c r="A37" t="str">
        <f>CONCATENATE("/*",allpride!C38,"*/ ",allpride!F38,allpride!G38,allpride!H38,allpride!L38,allpride!M38,allpride!N38," 1;")</f>
        <v>/*ELI-174*/ 001101 1;</v>
      </c>
    </row>
    <row r="38" spans="1:1" x14ac:dyDescent="0.35">
      <c r="A38" t="str">
        <f>CONCATENATE("/*",allpride!C39,"*/ ",allpride!F39,allpride!G39,allpride!H39,allpride!L39,allpride!M39,allpride!N39," 1;")</f>
        <v>/*ELI-247*/ 001111 1;</v>
      </c>
    </row>
    <row r="39" spans="1:1" x14ac:dyDescent="0.35">
      <c r="A39" t="str">
        <f>CONCATENATE("/*",allpride!C40,"*/ ",allpride!F40,allpride!G40,allpride!H40,allpride!L40,allpride!M40,allpride!N40," 1;")</f>
        <v>/*ELI-248*/ 001111 1;</v>
      </c>
    </row>
    <row r="40" spans="1:1" x14ac:dyDescent="0.35">
      <c r="A40" t="str">
        <f>CONCATENATE("/*",allpride!C41,"*/ ",allpride!F41,allpride!G41,allpride!H41,allpride!L41,allpride!M41,allpride!N41," 1;")</f>
        <v>/*ELI-249*/ 000000 1;</v>
      </c>
    </row>
    <row r="41" spans="1:1" x14ac:dyDescent="0.35">
      <c r="A41" t="str">
        <f>CONCATENATE("/*",allpride!C42,"*/ ",allpride!F42,allpride!G42,allpride!H42,allpride!L42,allpride!M42,allpride!N42," 1;")</f>
        <v>/*ELI-250*/ 001111 1;</v>
      </c>
    </row>
    <row r="42" spans="1:1" x14ac:dyDescent="0.35">
      <c r="A42" t="str">
        <f>CONCATENATE("/*",allpride!C43,"*/ ",allpride!F43,allpride!G43,allpride!H43,allpride!L43,allpride!M43,allpride!N43," 1;")</f>
        <v>/*ELI-462*/ 001011 1;</v>
      </c>
    </row>
    <row r="43" spans="1:1" x14ac:dyDescent="0.35">
      <c r="A43" t="str">
        <f>CONCATENATE("/*",allpride!C44,"*/ ",allpride!F44,allpride!G44,allpride!H44,allpride!L44,allpride!M44,allpride!N44," 1;")</f>
        <v>/*ELI-378*/ 000101 1;</v>
      </c>
    </row>
    <row r="44" spans="1:1" x14ac:dyDescent="0.35">
      <c r="A44" t="str">
        <f>CONCATENATE("/*",allpride!C45,"*/ ",allpride!F45,allpride!G45,allpride!H45,allpride!L45,allpride!M45,allpride!N45," 1;")</f>
        <v>/*ELI-463*/ 000111 1;</v>
      </c>
    </row>
    <row r="45" spans="1:1" x14ac:dyDescent="0.35">
      <c r="A45" t="str">
        <f>CONCATENATE("/*",allpride!C46,"*/ ",allpride!F46,allpride!G46,allpride!H46,allpride!L46,allpride!M46,allpride!N46," 1;")</f>
        <v>/*ELI-515*/ 001000 1;</v>
      </c>
    </row>
    <row r="46" spans="1:1" x14ac:dyDescent="0.35">
      <c r="A46" t="str">
        <f>CONCATENATE("/*",allpride!C47,"*/ ",allpride!F47,allpride!G47,allpride!H47,allpride!L47,allpride!M47,allpride!N47," 1;")</f>
        <v>/*ELI-373*/ 000111 1;</v>
      </c>
    </row>
    <row r="47" spans="1:1" x14ac:dyDescent="0.35">
      <c r="A47" t="str">
        <f>CONCATENATE("/*",allpride!C48,"*/ ",allpride!F48,allpride!G48,allpride!H48,allpride!L48,allpride!M48,allpride!N48," 1;")</f>
        <v>/*ELI-375*/ 000111 1;</v>
      </c>
    </row>
    <row r="48" spans="1:1" x14ac:dyDescent="0.35">
      <c r="A48" t="str">
        <f>CONCATENATE("/*",allpride!C49,"*/ ",allpride!F49,allpride!G49,allpride!H49,allpride!L49,allpride!M49,allpride!N49," 1;")</f>
        <v>/*ELI-377*/ 001111 1;</v>
      </c>
    </row>
    <row r="49" spans="1:1" x14ac:dyDescent="0.35">
      <c r="A49" t="str">
        <f>CONCATENATE("/*",allpride!C50,"*/ ",allpride!F50,allpride!G50,allpride!H50,allpride!L50,allpride!M50,allpride!N50," 1;")</f>
        <v>/*ELI-376*/ 000111 1;</v>
      </c>
    </row>
    <row r="50" spans="1:1" x14ac:dyDescent="0.35">
      <c r="A50" t="str">
        <f>CONCATENATE("/*",allpride!C51,"*/ ",allpride!F51,allpride!G51,allpride!H51,allpride!L51,allpride!M51,allpride!N51," 1;")</f>
        <v>/*ELI-464*/ 001011 1;</v>
      </c>
    </row>
    <row r="51" spans="1:1" x14ac:dyDescent="0.35">
      <c r="A51" t="str">
        <f>CONCATENATE("/*",allpride!C52,"*/ ",allpride!F52,allpride!G52,allpride!H52,allpride!L52,allpride!M52,allpride!N52," 1;")</f>
        <v>/*ELI-252*/ 001000 1;</v>
      </c>
    </row>
    <row r="52" spans="1:1" x14ac:dyDescent="0.35">
      <c r="A52" t="str">
        <f>CONCATENATE("/*",allpride!C53,"*/ ",allpride!F53,allpride!G53,allpride!H53,allpride!L53,allpride!M53,allpride!N53," 1;")</f>
        <v>/*ELI-553*/ 001011 1;</v>
      </c>
    </row>
    <row r="53" spans="1:1" x14ac:dyDescent="0.35">
      <c r="A53" t="str">
        <f>CONCATENATE("/*",allpride!C54,"*/ ",allpride!F54,allpride!G54,allpride!H54,allpride!L54,allpride!M54,allpride!N54," 1;")</f>
        <v>/*ELI-254*/ 001000 1;</v>
      </c>
    </row>
    <row r="54" spans="1:1" x14ac:dyDescent="0.35">
      <c r="A54" t="str">
        <f>CONCATENATE("/*",allpride!C55,"*/ ",allpride!F55,allpride!G55,allpride!H55,allpride!L55,allpride!M55,allpride!N55," 1;")</f>
        <v>/*ELI-588*/ 001000 1;</v>
      </c>
    </row>
    <row r="55" spans="1:1" x14ac:dyDescent="0.35">
      <c r="A55" t="str">
        <f>CONCATENATE("/*",allpride!C56,"*/ ",allpride!F56,allpride!G56,allpride!H56,allpride!L56,allpride!M56,allpride!N56," 1;")</f>
        <v>/*ELI-589*/ 001111 1;</v>
      </c>
    </row>
    <row r="56" spans="1:1" x14ac:dyDescent="0.35">
      <c r="A56" t="str">
        <f>CONCATENATE("/*",allpride!C57,"*/ ",allpride!F57,allpride!G57,allpride!H57,allpride!L57,allpride!M57,allpride!N57," 1;")</f>
        <v>/*ELI-600*/ 000011 1;</v>
      </c>
    </row>
    <row r="57" spans="1:1" x14ac:dyDescent="0.35">
      <c r="A57" t="str">
        <f>CONCATENATE("/*",allpride!C58,"*/ ",allpride!F58,allpride!G58,allpride!H58,allpride!L58,allpride!M58,allpride!N58," 1;")</f>
        <v>/*ELI-601*/ 000011 1;</v>
      </c>
    </row>
    <row r="58" spans="1:1" x14ac:dyDescent="0.35">
      <c r="A58" t="str">
        <f>CONCATENATE("/*",allpride!C59,"*/ ",allpride!F59,allpride!G59,allpride!H59,allpride!L59,allpride!M59,allpride!N59," 1;")</f>
        <v>/*ELI-258*/ 110101 1;</v>
      </c>
    </row>
    <row r="59" spans="1:1" x14ac:dyDescent="0.35">
      <c r="A59" t="str">
        <f>CONCATENATE("/*",allpride!C60,"*/ ",allpride!F60,allpride!G60,allpride!H60,allpride!L60,allpride!M60,allpride!N60," 1;")</f>
        <v>/*ELI-608*/ 000101 1;</v>
      </c>
    </row>
    <row r="60" spans="1:1" x14ac:dyDescent="0.35">
      <c r="A60" t="str">
        <f>CONCATENATE("/*",allpride!C61,"*/ ",allpride!F61,allpride!G61,allpride!H61,allpride!L61,allpride!M61,allpride!N61," 1;")</f>
        <v>/*ELI-609*/ 000101 1;</v>
      </c>
    </row>
    <row r="61" spans="1:1" x14ac:dyDescent="0.35">
      <c r="A61" t="str">
        <f>CONCATENATE("/*",allpride!C62,"*/ ",allpride!F62,allpride!G62,allpride!H62,allpride!L62,allpride!M62,allpride!N62," 1;")</f>
        <v>/*ELI-611*/ 000101 1;</v>
      </c>
    </row>
    <row r="62" spans="1:1" x14ac:dyDescent="0.35">
      <c r="A62" t="str">
        <f>CONCATENATE("/*",allpride!C63,"*/ ",allpride!F63,allpride!G63,allpride!H63,allpride!L63,allpride!M63,allpride!N63," 1;")</f>
        <v>/*ELI-256*/ 000101 1;</v>
      </c>
    </row>
    <row r="63" spans="1:1" x14ac:dyDescent="0.35">
      <c r="A63" t="str">
        <f>CONCATENATE("/*",allpride!C64,"*/ ",allpride!F64,allpride!G64,allpride!H64,allpride!L64,allpride!M64,allpride!N64," 1;")</f>
        <v>/*ELI-379*/ 000101 1;</v>
      </c>
    </row>
    <row r="64" spans="1:1" x14ac:dyDescent="0.35">
      <c r="A64" t="str">
        <f>CONCATENATE("/*",allpride!C65,"*/ ",allpride!F65,allpride!G65,allpride!H65,allpride!L65,allpride!M65,allpride!N65," 1;")</f>
        <v>/*ELI-438*/ 000010 1;</v>
      </c>
    </row>
    <row r="65" spans="1:1" x14ac:dyDescent="0.35">
      <c r="A65" t="str">
        <f>CONCATENATE("/*",allpride!C66,"*/ ",allpride!F66,allpride!G66,allpride!H66,allpride!L66,allpride!M66,allpride!N66," 1;")</f>
        <v>/*ELI-398*/ 000000 1;</v>
      </c>
    </row>
    <row r="66" spans="1:1" x14ac:dyDescent="0.35">
      <c r="A66" t="str">
        <f>CONCATENATE("/*",allpride!C67,"*/ ",allpride!F67,allpride!G67,allpride!H67,allpride!L67,allpride!M67,allpride!N67," 1;")</f>
        <v>/*ELI-444*/ 000100 1;</v>
      </c>
    </row>
    <row r="67" spans="1:1" x14ac:dyDescent="0.35">
      <c r="A67" t="str">
        <f>CONCATENATE("/*",allpride!C68,"*/ ",allpride!F68,allpride!G68,allpride!H68,allpride!L68,allpride!M68,allpride!N68," 1;")</f>
        <v>/*ELI-440*/ 000010 1;</v>
      </c>
    </row>
    <row r="68" spans="1:1" x14ac:dyDescent="0.35">
      <c r="A68" t="str">
        <f>CONCATENATE("/*",allpride!C69,"*/ ",allpride!F69,allpride!G69,allpride!H69,allpride!L69,allpride!M69,allpride!N69," 1;")</f>
        <v>/*ELI-192F*/ 000100 1;</v>
      </c>
    </row>
    <row r="69" spans="1:1" x14ac:dyDescent="0.35">
      <c r="A69" t="str">
        <f>CONCATENATE("/*",allpride!C70,"*/ ",allpride!F70,allpride!G70,allpride!H70,allpride!L70,allpride!M70,allpride!N70," 1;")</f>
        <v>/*ELI-194F*/ 000100 1;</v>
      </c>
    </row>
    <row r="70" spans="1:1" x14ac:dyDescent="0.35">
      <c r="A70" t="str">
        <f>CONCATENATE("/*",allpride!C71,"*/ ",allpride!F71,allpride!G71,allpride!H71,allpride!L71,allpride!M71,allpride!N71," 1;")</f>
        <v>/*ELI-442F*/ 000110 1;</v>
      </c>
    </row>
    <row r="71" spans="1:1" x14ac:dyDescent="0.35">
      <c r="A71" t="str">
        <f>CONCATENATE("/*",allpride!C72,"*/ ",allpride!F72,allpride!G72,allpride!H72,allpride!L72,allpride!M72,allpride!N72," 1;")</f>
        <v>/*ELI-918F*/ 000100 1;</v>
      </c>
    </row>
    <row r="72" spans="1:1" x14ac:dyDescent="0.35">
      <c r="A72" t="str">
        <f>CONCATENATE("/*",allpride!C73,"*/ ",allpride!F73,allpride!G73,allpride!H73,allpride!L73,allpride!M73,allpride!N73," 1;")</f>
        <v>/*ELI-919F*/ 000100 1;</v>
      </c>
    </row>
    <row r="73" spans="1:1" x14ac:dyDescent="0.35">
      <c r="A73" t="str">
        <f>CONCATENATE("/*",allpride!C74,"*/ ",allpride!F74,allpride!G74,allpride!H74,allpride!L74,allpride!M74,allpride!N74," 1;")</f>
        <v>/*ELI-228F*/ 000010 1;</v>
      </c>
    </row>
    <row r="74" spans="1:1" x14ac:dyDescent="0.35">
      <c r="A74" t="str">
        <f>CONCATENATE("/*",allpride!C75,"*/ ",allpride!F75,allpride!G75,allpride!H75,allpride!L75,allpride!M75,allpride!N75," 1;")</f>
        <v>/*ELI-441*/ 000010 1;</v>
      </c>
    </row>
    <row r="75" spans="1:1" x14ac:dyDescent="0.35">
      <c r="A75" t="str">
        <f>CONCATENATE("/*",allpride!C76,"*/ ",allpride!F76,allpride!G76,allpride!H76,allpride!L76,allpride!M76,allpride!N76," 1;")</f>
        <v>/*ELI-233*/ 001000 1;</v>
      </c>
    </row>
    <row r="76" spans="1:1" x14ac:dyDescent="0.35">
      <c r="A76" t="str">
        <f>CONCATENATE("/*",allpride!C77,"*/ ",allpride!F77,allpride!G77,allpride!H77,allpride!L77,allpride!M77,allpride!N77," 1;")</f>
        <v>/*ELI-197*/ 001110 1;</v>
      </c>
    </row>
    <row r="77" spans="1:1" x14ac:dyDescent="0.35">
      <c r="A77" t="str">
        <f>CONCATENATE("/*",allpride!C78,"*/ ",allpride!F78,allpride!G78,allpride!H78,allpride!L78,allpride!M78,allpride!N78," 1;")</f>
        <v>/*ELI-198*/ 000110 1;</v>
      </c>
    </row>
    <row r="78" spans="1:1" x14ac:dyDescent="0.35">
      <c r="A78" t="str">
        <f>CONCATENATE("/*",allpride!C79,"*/ ",allpride!F79,allpride!G79,allpride!H79,allpride!L79,allpride!M79,allpride!N79," 1;")</f>
        <v>/*ELI-230*/ 000110 1;</v>
      </c>
    </row>
    <row r="79" spans="1:1" x14ac:dyDescent="0.35">
      <c r="A79" t="str">
        <f>CONCATENATE("/*",allpride!C80,"*/ ",allpride!F80,allpride!G80,allpride!H80,allpride!L80,allpride!M80,allpride!N80," 1;")</f>
        <v>/*ELI-231*/ 000110 1;</v>
      </c>
    </row>
    <row r="80" spans="1:1" x14ac:dyDescent="0.35">
      <c r="A80" t="str">
        <f>CONCATENATE("/*",allpride!C81,"*/ ",allpride!F81,allpride!G81,allpride!H81,allpride!L81,allpride!M81,allpride!N81," 1;")</f>
        <v>/*ELI-232*/ 001000 1;</v>
      </c>
    </row>
    <row r="81" spans="1:1" x14ac:dyDescent="0.35">
      <c r="A81" t="str">
        <f>CONCATENATE("/*",allpride!C82,"*/ ",allpride!F82,allpride!G82,allpride!H82,allpride!L82,allpride!M82,allpride!N82," 1;")</f>
        <v>/*ELI-424*/ 001010 1;</v>
      </c>
    </row>
    <row r="82" spans="1:1" x14ac:dyDescent="0.35">
      <c r="A82" t="str">
        <f>CONCATENATE("/*",allpride!C83,"*/ ",allpride!F83,allpride!G83,allpride!H83,allpride!L83,allpride!M83,allpride!N83," 1;")</f>
        <v>/*ELI-425*/ 000110 1;</v>
      </c>
    </row>
    <row r="83" spans="1:1" x14ac:dyDescent="0.35">
      <c r="A83" t="str">
        <f>CONCATENATE("/*",allpride!C84,"*/ ",allpride!F84,allpride!G84,allpride!H84,allpride!L84,allpride!M84,allpride!N84," 1;")</f>
        <v>/*ELI-612*/ 000110 1;</v>
      </c>
    </row>
    <row r="84" spans="1:1" x14ac:dyDescent="0.35">
      <c r="A84" t="str">
        <f>CONCATENATE("/*",allpride!C85,"*/ ",allpride!F85,allpride!G85,allpride!H85,allpride!L85,allpride!M85,allpride!N85," 1;")</f>
        <v>/*ELI-613*/ 000110 1;</v>
      </c>
    </row>
    <row r="85" spans="1:1" x14ac:dyDescent="0.35">
      <c r="A85" t="str">
        <f>CONCATENATE("/*",allpride!C86,"*/ ",allpride!F86,allpride!G86,allpride!H86,allpride!L86,allpride!M86,allpride!N86," 1;")</f>
        <v>/*ELI-615*/ 000110 1;</v>
      </c>
    </row>
    <row r="86" spans="1:1" x14ac:dyDescent="0.35">
      <c r="A86" t="str">
        <f>CONCATENATE("/*",allpride!C87,"*/ ",allpride!F87,allpride!G87,allpride!H87,allpride!L87,allpride!M87,allpride!N87," 1;")</f>
        <v>/*ELI-616*/ 000110 1;</v>
      </c>
    </row>
    <row r="87" spans="1:1" x14ac:dyDescent="0.35">
      <c r="A87" t="str">
        <f>CONCATENATE("/*",allpride!C88,"*/ ",allpride!F88,allpride!G88,allpride!H88,allpride!L88,allpride!M88,allpride!N88," 1;")</f>
        <v>/*ELI-617*/ 000110 1;</v>
      </c>
    </row>
    <row r="88" spans="1:1" x14ac:dyDescent="0.35">
      <c r="A88" t="str">
        <f>CONCATENATE("/*",allpride!C89,"*/ ",allpride!F89,allpride!G89,allpride!H89,allpride!L89,allpride!M89,allpride!N89," 1;")</f>
        <v>/*ELI-618*/ 000110 1;</v>
      </c>
    </row>
    <row r="89" spans="1:1" x14ac:dyDescent="0.35">
      <c r="A89" t="str">
        <f>CONCATENATE("/*",allpride!C90,"*/ ",allpride!F90,allpride!G90,allpride!H90,allpride!L90,allpride!M90,allpride!N90," 1;")</f>
        <v>/*ELI-619*/ 000010 1;</v>
      </c>
    </row>
    <row r="90" spans="1:1" x14ac:dyDescent="0.35">
      <c r="A90" t="str">
        <f>CONCATENATE("/*",allpride!C91,"*/ ",allpride!F91,allpride!G91,allpride!H91,allpride!L91,allpride!M91,allpride!N91," 1;")</f>
        <v>/*ELI-HW2*/ 000010 1;</v>
      </c>
    </row>
    <row r="91" spans="1:1" x14ac:dyDescent="0.35">
      <c r="A91" t="str">
        <f>CONCATENATE("/*",allpride!C92,"*/ ",allpride!F92,allpride!G92,allpride!H92,allpride!L92,allpride!M92,allpride!N92," 1;")</f>
        <v>/*ELI-154*/ 111001 1;</v>
      </c>
    </row>
    <row r="92" spans="1:1" x14ac:dyDescent="0.35">
      <c r="A92" t="str">
        <f>CONCATENATE("/*",allpride!C93,"*/ ",allpride!F93,allpride!G93,allpride!H93,allpride!L93,allpride!M93,allpride!N93," 1;")</f>
        <v>/*ELI-155*/ 001011 1;</v>
      </c>
    </row>
    <row r="93" spans="1:1" x14ac:dyDescent="0.35">
      <c r="A93" t="str">
        <f>CONCATENATE("/*",allpride!C94,"*/ ",allpride!F94,allpride!G94,allpride!H94,allpride!L94,allpride!M94,allpride!N94," 1;")</f>
        <v>/*ELI-369*/ 001011 1;</v>
      </c>
    </row>
    <row r="94" spans="1:1" x14ac:dyDescent="0.35">
      <c r="A94" t="str">
        <f>CONCATENATE("/*",allpride!C95,"*/ ",allpride!F95,allpride!G95,allpride!H95,allpride!L95,allpride!M95,allpride!N95," 1;")</f>
        <v>/*ELI-370*/ 001011 1;</v>
      </c>
    </row>
    <row r="95" spans="1:1" x14ac:dyDescent="0.35">
      <c r="A95" t="str">
        <f>CONCATENATE("/*",allpride!C96,"*/ ",allpride!F96,allpride!G96,allpride!H96,allpride!L96,allpride!M96,allpride!N96," 1;")</f>
        <v>/*ELI-159*/ 001011 1;</v>
      </c>
    </row>
    <row r="96" spans="1:1" x14ac:dyDescent="0.35">
      <c r="A96" t="str">
        <f>CONCATENATE("/*",allpride!C97,"*/ ",allpride!F97,allpride!G97,allpride!H97,allpride!L97,allpride!M97,allpride!N97," 1;")</f>
        <v>/*ELI-124*/ 000001 1;</v>
      </c>
    </row>
    <row r="97" spans="1:1" x14ac:dyDescent="0.35">
      <c r="A97" t="str">
        <f>CONCATENATE("/*",allpride!C98,"*/ ",allpride!F98,allpride!G98,allpride!H98,allpride!L98,allpride!M98,allpride!N98," 1;")</f>
        <v>/*ELI-125*/ 000001 1;</v>
      </c>
    </row>
    <row r="98" spans="1:1" x14ac:dyDescent="0.35">
      <c r="A98" t="str">
        <f>CONCATENATE("/*",allpride!C99,"*/ ",allpride!F99,allpride!G99,allpride!H99,allpride!L99,allpride!M99,allpride!N99," 1;")</f>
        <v>/*ELI-126*/ 000001 1;</v>
      </c>
    </row>
    <row r="99" spans="1:1" x14ac:dyDescent="0.35">
      <c r="A99" t="str">
        <f>CONCATENATE("/*",allpride!C100,"*/ ",allpride!F100,allpride!G100,allpride!H100,allpride!L100,allpride!M100,allpride!N100," 1;")</f>
        <v>/*ELI-127*/ 000001 1;</v>
      </c>
    </row>
    <row r="100" spans="1:1" x14ac:dyDescent="0.35">
      <c r="A100" t="str">
        <f>CONCATENATE("/*",allpride!C101,"*/ ",allpride!F101,allpride!G101,allpride!H101,allpride!L101,allpride!M101,allpride!N101," 1;")</f>
        <v>/*ELI-657*/ 000101 1;</v>
      </c>
    </row>
    <row r="101" spans="1:1" x14ac:dyDescent="0.35">
      <c r="A101" t="str">
        <f>CONCATENATE("/*",allpride!C102,"*/ ",allpride!F102,allpride!G102,allpride!H102,allpride!L102,allpride!M102,allpride!N102," 1;")</f>
        <v>/*ELI-658*/ 000001 1;</v>
      </c>
    </row>
    <row r="102" spans="1:1" x14ac:dyDescent="0.35">
      <c r="A102" t="str">
        <f>CONCATENATE("/*",allpride!C103,"*/ ",allpride!F103,allpride!G103,allpride!H103,allpride!L103,allpride!M103,allpride!N103," 1;")</f>
        <v>/*ELI-659*/ 000001 1;</v>
      </c>
    </row>
    <row r="103" spans="1:1" x14ac:dyDescent="0.35">
      <c r="A103" t="str">
        <f>CONCATENATE("/*",allpride!C104,"*/ ",allpride!F104,allpride!G104,allpride!H104,allpride!L104,allpride!M104,allpride!N104," 1;")</f>
        <v>/*ELI-660*/ 000001 1;</v>
      </c>
    </row>
    <row r="104" spans="1:1" x14ac:dyDescent="0.35">
      <c r="A104" t="str">
        <f>CONCATENATE("/*",allpride!C105,"*/ ",allpride!F105,allpride!G105,allpride!H105,allpride!L105,allpride!M105,allpride!N105," 1;")</f>
        <v>/*ELI-661*/ 000001 1;</v>
      </c>
    </row>
    <row r="105" spans="1:1" x14ac:dyDescent="0.35">
      <c r="A105" t="str">
        <f>CONCATENATE("/*",allpride!C106,"*/ ",allpride!F106,allpride!G106,allpride!H106,allpride!L106,allpride!M106,allpride!N106," 1;")</f>
        <v>/*ELI-662*/ 000001 1;</v>
      </c>
    </row>
    <row r="106" spans="1:1" x14ac:dyDescent="0.35">
      <c r="A106" t="str">
        <f>CONCATENATE("/*",allpride!C107,"*/ ",allpride!F107,allpride!G107,allpride!H107,allpride!L107,allpride!M107,allpride!N107," 1;")</f>
        <v>/*ELI-663*/ 000001 1;</v>
      </c>
    </row>
    <row r="107" spans="1:1" x14ac:dyDescent="0.35">
      <c r="A107" t="str">
        <f>CONCATENATE("/*",allpride!C108,"*/ ",allpride!F108,allpride!G108,allpride!H108,allpride!L108,allpride!M108,allpride!N108," 1;")</f>
        <v>/*ELI-664*/ 000001 1;</v>
      </c>
    </row>
    <row r="108" spans="1:1" x14ac:dyDescent="0.35">
      <c r="A108" t="str">
        <f>CONCATENATE("/*",allpride!C109,"*/ ",allpride!F109,allpride!G109,allpride!H109,allpride!L109,allpride!M109,allpride!N109," 1;")</f>
        <v>/*ELI-665*/ 000001 1;</v>
      </c>
    </row>
    <row r="109" spans="1:1" x14ac:dyDescent="0.35">
      <c r="A109" t="str">
        <f>CONCATENATE("/*",allpride!C110,"*/ ",allpride!F110,allpride!G110,allpride!H110,allpride!L110,allpride!M110,allpride!N110," 1;")</f>
        <v>/*ELI-666*/ 000001 1;</v>
      </c>
    </row>
    <row r="110" spans="1:1" x14ac:dyDescent="0.35">
      <c r="A110" t="str">
        <f>CONCATENATE("/*",allpride!C111,"*/ ",allpride!F111,allpride!G111,allpride!H111,allpride!L111,allpride!M111,allpride!N111," 1;")</f>
        <v>/*ELI-697*/ 000001 1;</v>
      </c>
    </row>
    <row r="111" spans="1:1" x14ac:dyDescent="0.35">
      <c r="A111" t="str">
        <f>CONCATENATE("/*",allpride!C112,"*/ ",allpride!F112,allpride!G112,allpride!H112,allpride!L112,allpride!M112,allpride!N112," 1;")</f>
        <v>/*ELI-138*/ 000101 1;</v>
      </c>
    </row>
    <row r="112" spans="1:1" x14ac:dyDescent="0.35">
      <c r="A112" t="str">
        <f>CONCATENATE("/*",allpride!C113,"*/ ",allpride!F113,allpride!G113,allpride!H113,allpride!L113,allpride!M113,allpride!N113," 1;")</f>
        <v>/*ELI-134*/ 000100 1;</v>
      </c>
    </row>
    <row r="113" spans="1:1" x14ac:dyDescent="0.35">
      <c r="A113" t="str">
        <f>CONCATENATE("/*",allpride!C114,"*/ ",allpride!F114,allpride!G114,allpride!H114,allpride!L114,allpride!M114,allpride!N114," 1;")</f>
        <v>/*ELI-135*/ 000100 1;</v>
      </c>
    </row>
    <row r="114" spans="1:1" x14ac:dyDescent="0.35">
      <c r="A114" t="str">
        <f>CONCATENATE("/*",allpride!C115,"*/ ",allpride!F115,allpride!G115,allpride!H115,allpride!L115,allpride!M115,allpride!N115," 1;")</f>
        <v>/*ELI-136*/ 000100 1;</v>
      </c>
    </row>
    <row r="115" spans="1:1" x14ac:dyDescent="0.35">
      <c r="A115" t="str">
        <f>CONCATENATE("/*",allpride!C116,"*/ ",allpride!F116,allpride!G116,allpride!H116,allpride!L116,allpride!M116,allpride!N116," 1;")</f>
        <v>/*ELI-139*/ 000100 1;</v>
      </c>
    </row>
    <row r="116" spans="1:1" x14ac:dyDescent="0.35">
      <c r="A116" t="str">
        <f>CONCATENATE("/*",allpride!C117,"*/ ",allpride!F117,allpride!G117,allpride!H117,allpride!L117,allpride!M117,allpride!N117," 1;")</f>
        <v>/*ELI-647*/ 000100 1;</v>
      </c>
    </row>
    <row r="117" spans="1:1" x14ac:dyDescent="0.35">
      <c r="A117" t="str">
        <f>CONCATENATE("/*",allpride!C118,"*/ ",allpride!F118,allpride!G118,allpride!H118,allpride!L118,allpride!M118,allpride!N118," 1;")</f>
        <v>/*ELI-648*/ 000000 1;</v>
      </c>
    </row>
    <row r="118" spans="1:1" x14ac:dyDescent="0.35">
      <c r="A118" t="str">
        <f>CONCATENATE("/*",allpride!C119,"*/ ",allpride!F119,allpride!G119,allpride!H119,allpride!L119,allpride!M119,allpride!N119," 1;")</f>
        <v>/*ELI-649*/ 000000 1;</v>
      </c>
    </row>
    <row r="119" spans="1:1" x14ac:dyDescent="0.35">
      <c r="A119" t="str">
        <f>CONCATENATE("/*",allpride!C120,"*/ ",allpride!F120,allpride!G120,allpride!H120,allpride!L120,allpride!M120,allpride!N120," 1;")</f>
        <v>/*ELI-650*/ 000000 1;</v>
      </c>
    </row>
    <row r="120" spans="1:1" x14ac:dyDescent="0.35">
      <c r="A120" t="str">
        <f>CONCATENATE("/*",allpride!C121,"*/ ",allpride!F121,allpride!G121,allpride!H121,allpride!L121,allpride!M121,allpride!N121," 1;")</f>
        <v>/*ELI-651*/ 000000 1;</v>
      </c>
    </row>
    <row r="121" spans="1:1" x14ac:dyDescent="0.35">
      <c r="A121" t="str">
        <f>CONCATENATE("/*",allpride!C122,"*/ ",allpride!F122,allpride!G122,allpride!H122,allpride!L122,allpride!M122,allpride!N122," 1;")</f>
        <v>/*ELI-652*/ 000000 1;</v>
      </c>
    </row>
    <row r="122" spans="1:1" x14ac:dyDescent="0.35">
      <c r="A122" t="str">
        <f>CONCATENATE("/*",allpride!C123,"*/ ",allpride!F123,allpride!G123,allpride!H123,allpride!L123,allpride!M123,allpride!N123," 1;")</f>
        <v>/*ELI-653*/ 000000 1;</v>
      </c>
    </row>
    <row r="123" spans="1:1" x14ac:dyDescent="0.35">
      <c r="A123" t="str">
        <f>CONCATENATE("/*",allpride!C124,"*/ ",allpride!F124,allpride!G124,allpride!H124,allpride!L124,allpride!M124,allpride!N124," 1;")</f>
        <v>/*ELI-215*/ 011000 1;</v>
      </c>
    </row>
    <row r="124" spans="1:1" x14ac:dyDescent="0.35">
      <c r="A124" t="str">
        <f>CONCATENATE("/*",allpride!C125,"*/ ",allpride!F125,allpride!G125,allpride!H125,allpride!L125,allpride!M125,allpride!N125," 1;")</f>
        <v>/*ELI-209*/ 111000 1;</v>
      </c>
    </row>
    <row r="125" spans="1:1" x14ac:dyDescent="0.35">
      <c r="A125" t="str">
        <f>CONCATENATE("/*",allpride!C126,"*/ ",allpride!F126,allpride!G126,allpride!H126,allpride!L126,allpride!M126,allpride!N126," 1;")</f>
        <v>/*ELI-210*/ 011000 1;</v>
      </c>
    </row>
    <row r="126" spans="1:1" x14ac:dyDescent="0.35">
      <c r="A126" t="str">
        <f>CONCATENATE("/*",allpride!C127,"*/ ",allpride!F127,allpride!G127,allpride!H127,allpride!L127,allpride!M127,allpride!N127," 1;")</f>
        <v>/*ELI-700*/ 010001 1;</v>
      </c>
    </row>
    <row r="127" spans="1:1" x14ac:dyDescent="0.35">
      <c r="A127" t="str">
        <f>CONCATENATE("/*",allpride!C128,"*/ ",allpride!F128,allpride!G128,allpride!H128,allpride!L128,allpride!M128,allpride!N128," 1;")</f>
        <v>/*ELI-701*/ 010001 1;</v>
      </c>
    </row>
    <row r="128" spans="1:1" x14ac:dyDescent="0.35">
      <c r="A128" t="str">
        <f>CONCATENATE("/*",allpride!C129,"*/ ",allpride!F129,allpride!G129,allpride!H129,allpride!L129,allpride!M129,allpride!N129," 1;")</f>
        <v>/*ELI-702*/ 010001 1;</v>
      </c>
    </row>
    <row r="129" spans="1:1" x14ac:dyDescent="0.35">
      <c r="A129" t="str">
        <f>CONCATENATE("/*",allpride!C130,"*/ ",allpride!F130,allpride!G130,allpride!H130,allpride!L130,allpride!M130,allpride!N130," 1;")</f>
        <v>/*ELI-421*/ 000001 1;</v>
      </c>
    </row>
    <row r="130" spans="1:1" x14ac:dyDescent="0.35">
      <c r="A130" t="str">
        <f>CONCATENATE("/*",allpride!C131,"*/ ",allpride!F131,allpride!G131,allpride!H131,allpride!L131,allpride!M131,allpride!N131," 1;")</f>
        <v>/*ELI-422*/ 000000 1;</v>
      </c>
    </row>
    <row r="131" spans="1:1" x14ac:dyDescent="0.35">
      <c r="A131" t="str">
        <f>CONCATENATE("/*",allpride!C132,"*/ ",allpride!F132,allpride!G132,allpride!H132,allpride!L132,allpride!M132,allpride!N132," 1;")</f>
        <v>/*ELI-420*/ 000000 1;</v>
      </c>
    </row>
    <row r="132" spans="1:1" x14ac:dyDescent="0.35">
      <c r="A132" t="str">
        <f>CONCATENATE("/*",allpride!C133,"*/ ",allpride!F133,allpride!G133,allpride!H133,allpride!L133,allpride!M133,allpride!N133," 1;")</f>
        <v>/*ELI-564*/ 001111 1;</v>
      </c>
    </row>
    <row r="133" spans="1:1" x14ac:dyDescent="0.35">
      <c r="A133" t="str">
        <f>CONCATENATE("/*",allpride!C134,"*/ ",allpride!F134,allpride!G134,allpride!H134,allpride!L134,allpride!M134,allpride!N134," 1;")</f>
        <v>/*ELI-565*/ 001111 1;</v>
      </c>
    </row>
    <row r="134" spans="1:1" x14ac:dyDescent="0.35">
      <c r="A134" t="str">
        <f>CONCATENATE("/*",allpride!C135,"*/ ",allpride!F135,allpride!G135,allpride!H135,allpride!L135,allpride!M135,allpride!N135," 1;")</f>
        <v>/*ELI-628*/ 000111 1;</v>
      </c>
    </row>
    <row r="135" spans="1:1" x14ac:dyDescent="0.35">
      <c r="A135" t="str">
        <f>CONCATENATE("/*",allpride!C136,"*/ ",allpride!F136,allpride!G136,allpride!H136,allpride!L136,allpride!M136,allpride!N136," 1;")</f>
        <v>/*ELI-629*/ 000111 1;</v>
      </c>
    </row>
    <row r="136" spans="1:1" x14ac:dyDescent="0.35">
      <c r="A136" t="str">
        <f>CONCATENATE("/*",allpride!C137,"*/ ",allpride!F137,allpride!G137,allpride!H137,allpride!L137,allpride!M137,allpride!N137," 1;")</f>
        <v>/*ELI-213*/ 010111 1;</v>
      </c>
    </row>
    <row r="137" spans="1:1" x14ac:dyDescent="0.35">
      <c r="A137" t="str">
        <f>CONCATENATE("/*",allpride!C138,"*/ ",allpride!F138,allpride!G138,allpride!H138,allpride!L138,allpride!M138,allpride!N138," 1;")</f>
        <v>/*ELI-214*/ 010111 1;</v>
      </c>
    </row>
    <row r="138" spans="1:1" x14ac:dyDescent="0.35">
      <c r="A138" t="str">
        <f>CONCATENATE("/*",allpride!C139,"*/ ",allpride!F139,allpride!G139,allpride!H139,allpride!L139,allpride!M139,allpride!N139," 1;")</f>
        <v>/*ELI-216*/ 010111 1;</v>
      </c>
    </row>
    <row r="139" spans="1:1" x14ac:dyDescent="0.35">
      <c r="A139" t="str">
        <f>CONCATENATE("/*",allpride!C140,"*/ ",allpride!F140,allpride!G140,allpride!H140,allpride!L140,allpride!M140,allpride!N140," 1;")</f>
        <v>/*ELI-267*/ 010000 1;</v>
      </c>
    </row>
    <row r="140" spans="1:1" x14ac:dyDescent="0.35">
      <c r="A140" t="str">
        <f>CONCATENATE("/*",allpride!C141,"*/ ",allpride!F141,allpride!G141,allpride!H141,allpride!L141,allpride!M141,allpride!N141," 1;")</f>
        <v>/*ELI-175*/ 111111 1;</v>
      </c>
    </row>
    <row r="141" spans="1:1" x14ac:dyDescent="0.35">
      <c r="A141" t="str">
        <f>CONCATENATE("/*",allpride!C142,"*/ ",allpride!F142,allpride!G142,allpride!H142,allpride!L142,allpride!M142,allpride!N142," 1;")</f>
        <v>/*ELI-562*/ 000000 1;</v>
      </c>
    </row>
    <row r="142" spans="1:1" x14ac:dyDescent="0.35">
      <c r="A142" t="str">
        <f>CONCATENATE("/*",allpride!C143,"*/ ",allpride!F143,allpride!G143,allpride!H143,allpride!L143,allpride!M143,allpride!N143," 1;")</f>
        <v>/*ELI-402*/ 000000 1;</v>
      </c>
    </row>
    <row r="143" spans="1:1" x14ac:dyDescent="0.35">
      <c r="A143" t="str">
        <f>CONCATENATE("/*",allpride!C144,"*/ ",allpride!F144,allpride!G144,allpride!H144,allpride!L144,allpride!M144,allpride!N144," 1;")</f>
        <v>/*ELI-474*/ 101110 1;</v>
      </c>
    </row>
    <row r="144" spans="1:1" x14ac:dyDescent="0.35">
      <c r="A144" t="str">
        <f>CONCATENATE("/*",allpride!C145,"*/ ",allpride!F145,allpride!G145,allpride!H145,allpride!L145,allpride!M145,allpride!N145," 1;")</f>
        <v>/*ELI-234*/ 000000 1;</v>
      </c>
    </row>
    <row r="145" spans="1:1" x14ac:dyDescent="0.35">
      <c r="A145" t="str">
        <f>CONCATENATE("/*",allpride!C146,"*/ ",allpride!F146,allpride!G146,allpride!H146,allpride!L146,allpride!M146,allpride!N146," 1;")</f>
        <v>/*ELI-130*/ 001000 1;</v>
      </c>
    </row>
    <row r="146" spans="1:1" x14ac:dyDescent="0.35">
      <c r="A146" t="str">
        <f>CONCATENATE("/*",allpride!C147,"*/ ",allpride!F147,allpride!G147,allpride!H147,allpride!L147,allpride!M147,allpride!N147," 1;")</f>
        <v>/*ELI-699*/ 011000 1;</v>
      </c>
    </row>
    <row r="147" spans="1:1" x14ac:dyDescent="0.35">
      <c r="A147" t="str">
        <f>CONCATENATE("/*",allpride!C148,"*/ ",allpride!F148,allpride!G148,allpride!H148,allpride!L148,allpride!M148,allpride!N148," 1;")</f>
        <v>/*ELI-779*/ 001011 1;</v>
      </c>
    </row>
    <row r="148" spans="1:1" x14ac:dyDescent="0.35">
      <c r="A148" t="str">
        <f>CONCATENATE("/*",allpride!C149,"*/ ",allpride!F149,allpride!G149,allpride!H149,allpride!L149,allpride!M149,allpride!N149," 1;")</f>
        <v>/*ELI-972*/ 000110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BCC</vt:lpstr>
      <vt:lpstr>NHK</vt:lpstr>
      <vt:lpstr>CH</vt:lpstr>
      <vt:lpstr>LM</vt:lpstr>
      <vt:lpstr>NS</vt:lpstr>
      <vt:lpstr>Coa</vt:lpstr>
      <vt:lpstr>pride covariates</vt:lpstr>
      <vt:lpstr>allpride</vt:lpstr>
      <vt:lpstr>input_format</vt:lpstr>
      <vt:lpstr>2013_slnp_lion_ch</vt:lpstr>
      <vt:lpstr>2013_slnp_lion_3monRD</vt:lpstr>
      <vt:lpstr>BCC!Print_Area</vt:lpstr>
      <vt:lpstr>NHK!Print_Area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Egil</dc:creator>
  <cp:lastModifiedBy>DaveC</cp:lastModifiedBy>
  <cp:lastPrinted>2013-07-01T12:32:28Z</cp:lastPrinted>
  <dcterms:created xsi:type="dcterms:W3CDTF">2011-04-01T14:46:56Z</dcterms:created>
  <dcterms:modified xsi:type="dcterms:W3CDTF">2017-05-03T21:13:18Z</dcterms:modified>
</cp:coreProperties>
</file>